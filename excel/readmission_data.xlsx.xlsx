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-PC\Documents\Mini Project\Hospital Readmission Risk Analysis\"/>
    </mc:Choice>
  </mc:AlternateContent>
  <xr:revisionPtr revIDLastSave="0" documentId="8_{9CC710E4-C11C-44F2-A899-75916A4B6F92}" xr6:coauthVersionLast="47" xr6:coauthVersionMax="47" xr10:uidLastSave="{00000000-0000-0000-0000-000000000000}"/>
  <bookViews>
    <workbookView xWindow="-120" yWindow="-120" windowWidth="20730" windowHeight="11040" activeTab="1" xr2:uid="{CE937597-174D-480E-B661-DA10D589CC1F}"/>
  </bookViews>
  <sheets>
    <sheet name="readmission_formula" sheetId="1" r:id="rId1"/>
    <sheet name="readmission_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F3" i="1"/>
  <c r="G3" i="1"/>
  <c r="I3" i="1"/>
  <c r="J3" i="1"/>
  <c r="K3" i="1"/>
  <c r="L3" i="1"/>
  <c r="A4" i="1"/>
  <c r="B4" i="1"/>
  <c r="C4" i="1"/>
  <c r="D4" i="1"/>
  <c r="E4" i="1" s="1"/>
  <c r="F4" i="1"/>
  <c r="G4" i="1"/>
  <c r="I4" i="1"/>
  <c r="J4" i="1"/>
  <c r="K4" i="1"/>
  <c r="L4" i="1"/>
  <c r="A5" i="1"/>
  <c r="B5" i="1"/>
  <c r="C5" i="1"/>
  <c r="D5" i="1"/>
  <c r="E5" i="1" s="1"/>
  <c r="F5" i="1"/>
  <c r="G5" i="1"/>
  <c r="I5" i="1"/>
  <c r="J5" i="1"/>
  <c r="K5" i="1"/>
  <c r="L5" i="1"/>
  <c r="A6" i="1"/>
  <c r="B6" i="1"/>
  <c r="C6" i="1"/>
  <c r="D6" i="1"/>
  <c r="E6" i="1" s="1"/>
  <c r="F6" i="1"/>
  <c r="G6" i="1"/>
  <c r="I6" i="1"/>
  <c r="J6" i="1"/>
  <c r="K6" i="1"/>
  <c r="L6" i="1"/>
  <c r="A7" i="1"/>
  <c r="B7" i="1"/>
  <c r="C7" i="1"/>
  <c r="D7" i="1"/>
  <c r="F7" i="1"/>
  <c r="G7" i="1"/>
  <c r="I7" i="1"/>
  <c r="J7" i="1"/>
  <c r="K7" i="1"/>
  <c r="L7" i="1"/>
  <c r="A8" i="1"/>
  <c r="B8" i="1"/>
  <c r="C8" i="1"/>
  <c r="D8" i="1"/>
  <c r="E8" i="1" s="1"/>
  <c r="F8" i="1"/>
  <c r="G8" i="1"/>
  <c r="I8" i="1"/>
  <c r="J8" i="1"/>
  <c r="K8" i="1"/>
  <c r="L8" i="1"/>
  <c r="A9" i="1"/>
  <c r="B9" i="1"/>
  <c r="C9" i="1"/>
  <c r="D9" i="1"/>
  <c r="E9" i="1" s="1"/>
  <c r="F9" i="1"/>
  <c r="G9" i="1"/>
  <c r="I9" i="1"/>
  <c r="J9" i="1"/>
  <c r="K9" i="1"/>
  <c r="L9" i="1"/>
  <c r="A10" i="1"/>
  <c r="B10" i="1"/>
  <c r="C10" i="1"/>
  <c r="D10" i="1"/>
  <c r="E10" i="1" s="1"/>
  <c r="F10" i="1"/>
  <c r="G10" i="1"/>
  <c r="I10" i="1"/>
  <c r="J10" i="1"/>
  <c r="K10" i="1"/>
  <c r="L10" i="1"/>
  <c r="A11" i="1"/>
  <c r="B11" i="1"/>
  <c r="C11" i="1"/>
  <c r="D11" i="1"/>
  <c r="F11" i="1"/>
  <c r="G11" i="1"/>
  <c r="I11" i="1"/>
  <c r="J11" i="1"/>
  <c r="K11" i="1"/>
  <c r="L11" i="1"/>
  <c r="A12" i="1"/>
  <c r="B12" i="1"/>
  <c r="C12" i="1"/>
  <c r="D12" i="1"/>
  <c r="E12" i="1" s="1"/>
  <c r="F12" i="1"/>
  <c r="G12" i="1"/>
  <c r="I12" i="1"/>
  <c r="J12" i="1"/>
  <c r="K12" i="1"/>
  <c r="L12" i="1"/>
  <c r="A13" i="1"/>
  <c r="B13" i="1"/>
  <c r="C13" i="1"/>
  <c r="D13" i="1"/>
  <c r="E13" i="1" s="1"/>
  <c r="F13" i="1"/>
  <c r="G13" i="1"/>
  <c r="I13" i="1"/>
  <c r="J13" i="1"/>
  <c r="K13" i="1"/>
  <c r="L13" i="1"/>
  <c r="A14" i="1"/>
  <c r="B14" i="1"/>
  <c r="C14" i="1"/>
  <c r="D14" i="1"/>
  <c r="F14" i="1"/>
  <c r="G14" i="1"/>
  <c r="I14" i="1"/>
  <c r="J14" i="1"/>
  <c r="K14" i="1"/>
  <c r="L14" i="1"/>
  <c r="A15" i="1"/>
  <c r="B15" i="1"/>
  <c r="C15" i="1"/>
  <c r="D15" i="1"/>
  <c r="F15" i="1"/>
  <c r="G15" i="1"/>
  <c r="I15" i="1"/>
  <c r="J15" i="1"/>
  <c r="K15" i="1"/>
  <c r="L15" i="1"/>
  <c r="A16" i="1"/>
  <c r="B16" i="1"/>
  <c r="C16" i="1"/>
  <c r="D16" i="1"/>
  <c r="E16" i="1" s="1"/>
  <c r="F16" i="1"/>
  <c r="G16" i="1"/>
  <c r="I16" i="1"/>
  <c r="J16" i="1"/>
  <c r="K16" i="1"/>
  <c r="L16" i="1"/>
  <c r="A17" i="1"/>
  <c r="B17" i="1"/>
  <c r="C17" i="1"/>
  <c r="D17" i="1"/>
  <c r="E17" i="1" s="1"/>
  <c r="F17" i="1"/>
  <c r="G17" i="1"/>
  <c r="I17" i="1"/>
  <c r="J17" i="1"/>
  <c r="K17" i="1"/>
  <c r="L17" i="1"/>
  <c r="A18" i="1"/>
  <c r="B18" i="1"/>
  <c r="C18" i="1"/>
  <c r="D18" i="1"/>
  <c r="E18" i="1" s="1"/>
  <c r="F18" i="1"/>
  <c r="G18" i="1"/>
  <c r="I18" i="1"/>
  <c r="J18" i="1"/>
  <c r="K18" i="1"/>
  <c r="L18" i="1"/>
  <c r="A19" i="1"/>
  <c r="B19" i="1"/>
  <c r="C19" i="1"/>
  <c r="D19" i="1"/>
  <c r="F19" i="1"/>
  <c r="G19" i="1"/>
  <c r="I19" i="1"/>
  <c r="J19" i="1"/>
  <c r="K19" i="1"/>
  <c r="L19" i="1"/>
  <c r="A20" i="1"/>
  <c r="B20" i="1"/>
  <c r="C20" i="1"/>
  <c r="D20" i="1"/>
  <c r="E20" i="1" s="1"/>
  <c r="F20" i="1"/>
  <c r="G20" i="1"/>
  <c r="I20" i="1"/>
  <c r="J20" i="1"/>
  <c r="K20" i="1"/>
  <c r="L20" i="1"/>
  <c r="A21" i="1"/>
  <c r="B21" i="1"/>
  <c r="C21" i="1"/>
  <c r="D21" i="1"/>
  <c r="E21" i="1" s="1"/>
  <c r="F21" i="1"/>
  <c r="G21" i="1"/>
  <c r="I21" i="1"/>
  <c r="J21" i="1"/>
  <c r="K21" i="1"/>
  <c r="L21" i="1"/>
  <c r="A22" i="1"/>
  <c r="B22" i="1"/>
  <c r="C22" i="1"/>
  <c r="D22" i="1"/>
  <c r="E22" i="1" s="1"/>
  <c r="F22" i="1"/>
  <c r="G22" i="1"/>
  <c r="I22" i="1"/>
  <c r="J22" i="1"/>
  <c r="K22" i="1"/>
  <c r="L22" i="1"/>
  <c r="A23" i="1"/>
  <c r="B23" i="1"/>
  <c r="C23" i="1"/>
  <c r="D23" i="1"/>
  <c r="F23" i="1"/>
  <c r="G23" i="1"/>
  <c r="I23" i="1"/>
  <c r="J23" i="1"/>
  <c r="K23" i="1"/>
  <c r="L23" i="1"/>
  <c r="A24" i="1"/>
  <c r="B24" i="1"/>
  <c r="C24" i="1"/>
  <c r="D24" i="1"/>
  <c r="E24" i="1" s="1"/>
  <c r="F24" i="1"/>
  <c r="G24" i="1"/>
  <c r="I24" i="1"/>
  <c r="J24" i="1"/>
  <c r="K24" i="1"/>
  <c r="L24" i="1"/>
  <c r="A25" i="1"/>
  <c r="B25" i="1"/>
  <c r="C25" i="1"/>
  <c r="D25" i="1"/>
  <c r="E25" i="1" s="1"/>
  <c r="F25" i="1"/>
  <c r="G25" i="1"/>
  <c r="I25" i="1"/>
  <c r="J25" i="1"/>
  <c r="K25" i="1"/>
  <c r="L25" i="1"/>
  <c r="A26" i="1"/>
  <c r="B26" i="1"/>
  <c r="C26" i="1"/>
  <c r="D26" i="1"/>
  <c r="F26" i="1"/>
  <c r="G26" i="1"/>
  <c r="I26" i="1"/>
  <c r="J26" i="1"/>
  <c r="K26" i="1"/>
  <c r="L26" i="1"/>
  <c r="A27" i="1"/>
  <c r="B27" i="1"/>
  <c r="C27" i="1"/>
  <c r="D27" i="1"/>
  <c r="F27" i="1"/>
  <c r="G27" i="1"/>
  <c r="I27" i="1"/>
  <c r="J27" i="1"/>
  <c r="K27" i="1"/>
  <c r="L27" i="1"/>
  <c r="A28" i="1"/>
  <c r="B28" i="1"/>
  <c r="C28" i="1"/>
  <c r="D28" i="1"/>
  <c r="F28" i="1"/>
  <c r="G28" i="1"/>
  <c r="I28" i="1"/>
  <c r="J28" i="1"/>
  <c r="K28" i="1"/>
  <c r="L28" i="1"/>
  <c r="A29" i="1"/>
  <c r="B29" i="1"/>
  <c r="C29" i="1"/>
  <c r="D29" i="1"/>
  <c r="E29" i="1" s="1"/>
  <c r="F29" i="1"/>
  <c r="G29" i="1"/>
  <c r="I29" i="1"/>
  <c r="J29" i="1"/>
  <c r="K29" i="1"/>
  <c r="L29" i="1"/>
  <c r="A30" i="1"/>
  <c r="B30" i="1"/>
  <c r="C30" i="1"/>
  <c r="D30" i="1"/>
  <c r="E30" i="1" s="1"/>
  <c r="F30" i="1"/>
  <c r="G30" i="1"/>
  <c r="I30" i="1"/>
  <c r="J30" i="1"/>
  <c r="K30" i="1"/>
  <c r="L30" i="1"/>
  <c r="A31" i="1"/>
  <c r="B31" i="1"/>
  <c r="C31" i="1"/>
  <c r="D31" i="1"/>
  <c r="F31" i="1"/>
  <c r="G31" i="1"/>
  <c r="I31" i="1"/>
  <c r="J31" i="1"/>
  <c r="K31" i="1"/>
  <c r="L31" i="1"/>
  <c r="A32" i="1"/>
  <c r="B32" i="1"/>
  <c r="C32" i="1"/>
  <c r="D32" i="1"/>
  <c r="E32" i="1" s="1"/>
  <c r="F32" i="1"/>
  <c r="G32" i="1"/>
  <c r="I32" i="1"/>
  <c r="J32" i="1"/>
  <c r="K32" i="1"/>
  <c r="L32" i="1"/>
  <c r="A33" i="1"/>
  <c r="B33" i="1"/>
  <c r="C33" i="1"/>
  <c r="D33" i="1"/>
  <c r="E33" i="1" s="1"/>
  <c r="F33" i="1"/>
  <c r="G33" i="1"/>
  <c r="I33" i="1"/>
  <c r="J33" i="1"/>
  <c r="K33" i="1"/>
  <c r="L33" i="1"/>
  <c r="A34" i="1"/>
  <c r="B34" i="1"/>
  <c r="C34" i="1"/>
  <c r="D34" i="1"/>
  <c r="F34" i="1"/>
  <c r="G34" i="1"/>
  <c r="I34" i="1"/>
  <c r="J34" i="1"/>
  <c r="K34" i="1"/>
  <c r="L34" i="1"/>
  <c r="A35" i="1"/>
  <c r="B35" i="1"/>
  <c r="C35" i="1"/>
  <c r="D35" i="1"/>
  <c r="F35" i="1"/>
  <c r="G35" i="1"/>
  <c r="I35" i="1"/>
  <c r="J35" i="1"/>
  <c r="K35" i="1"/>
  <c r="L35" i="1"/>
  <c r="A36" i="1"/>
  <c r="B36" i="1"/>
  <c r="C36" i="1"/>
  <c r="D36" i="1"/>
  <c r="E36" i="1" s="1"/>
  <c r="F36" i="1"/>
  <c r="G36" i="1"/>
  <c r="I36" i="1"/>
  <c r="J36" i="1"/>
  <c r="K36" i="1"/>
  <c r="L36" i="1"/>
  <c r="A37" i="1"/>
  <c r="B37" i="1"/>
  <c r="C37" i="1"/>
  <c r="D37" i="1"/>
  <c r="E37" i="1" s="1"/>
  <c r="F37" i="1"/>
  <c r="G37" i="1"/>
  <c r="I37" i="1"/>
  <c r="J37" i="1"/>
  <c r="K37" i="1"/>
  <c r="L37" i="1"/>
  <c r="A38" i="1"/>
  <c r="B38" i="1"/>
  <c r="C38" i="1"/>
  <c r="D38" i="1"/>
  <c r="E38" i="1" s="1"/>
  <c r="F38" i="1"/>
  <c r="G38" i="1"/>
  <c r="I38" i="1"/>
  <c r="J38" i="1"/>
  <c r="K38" i="1"/>
  <c r="L38" i="1"/>
  <c r="A39" i="1"/>
  <c r="B39" i="1"/>
  <c r="C39" i="1"/>
  <c r="D39" i="1"/>
  <c r="F39" i="1"/>
  <c r="G39" i="1"/>
  <c r="I39" i="1"/>
  <c r="J39" i="1"/>
  <c r="K39" i="1"/>
  <c r="L39" i="1"/>
  <c r="A40" i="1"/>
  <c r="B40" i="1"/>
  <c r="C40" i="1"/>
  <c r="D40" i="1"/>
  <c r="E40" i="1" s="1"/>
  <c r="F40" i="1"/>
  <c r="G40" i="1"/>
  <c r="I40" i="1"/>
  <c r="J40" i="1"/>
  <c r="K40" i="1"/>
  <c r="L40" i="1"/>
  <c r="A41" i="1"/>
  <c r="B41" i="1"/>
  <c r="C41" i="1"/>
  <c r="D41" i="1"/>
  <c r="E41" i="1" s="1"/>
  <c r="F41" i="1"/>
  <c r="G41" i="1"/>
  <c r="I41" i="1"/>
  <c r="J41" i="1"/>
  <c r="K41" i="1"/>
  <c r="L41" i="1"/>
  <c r="A42" i="1"/>
  <c r="B42" i="1"/>
  <c r="C42" i="1"/>
  <c r="D42" i="1"/>
  <c r="F42" i="1"/>
  <c r="G42" i="1"/>
  <c r="I42" i="1"/>
  <c r="J42" i="1"/>
  <c r="K42" i="1"/>
  <c r="L42" i="1"/>
  <c r="A43" i="1"/>
  <c r="B43" i="1"/>
  <c r="C43" i="1"/>
  <c r="D43" i="1"/>
  <c r="F43" i="1"/>
  <c r="G43" i="1"/>
  <c r="I43" i="1"/>
  <c r="J43" i="1"/>
  <c r="K43" i="1"/>
  <c r="L43" i="1"/>
  <c r="A44" i="1"/>
  <c r="B44" i="1"/>
  <c r="C44" i="1"/>
  <c r="D44" i="1"/>
  <c r="F44" i="1"/>
  <c r="G44" i="1"/>
  <c r="I44" i="1"/>
  <c r="J44" i="1"/>
  <c r="K44" i="1"/>
  <c r="L44" i="1"/>
  <c r="A45" i="1"/>
  <c r="B45" i="1"/>
  <c r="C45" i="1"/>
  <c r="D45" i="1"/>
  <c r="E45" i="1" s="1"/>
  <c r="F45" i="1"/>
  <c r="G45" i="1"/>
  <c r="I45" i="1"/>
  <c r="J45" i="1"/>
  <c r="K45" i="1"/>
  <c r="L45" i="1"/>
  <c r="A46" i="1"/>
  <c r="B46" i="1"/>
  <c r="C46" i="1"/>
  <c r="D46" i="1"/>
  <c r="E46" i="1" s="1"/>
  <c r="F46" i="1"/>
  <c r="G46" i="1"/>
  <c r="I46" i="1"/>
  <c r="J46" i="1"/>
  <c r="K46" i="1"/>
  <c r="L46" i="1"/>
  <c r="A47" i="1"/>
  <c r="B47" i="1"/>
  <c r="C47" i="1"/>
  <c r="D47" i="1"/>
  <c r="F47" i="1"/>
  <c r="G47" i="1"/>
  <c r="I47" i="1"/>
  <c r="J47" i="1"/>
  <c r="K47" i="1"/>
  <c r="L47" i="1"/>
  <c r="A48" i="1"/>
  <c r="B48" i="1"/>
  <c r="C48" i="1"/>
  <c r="D48" i="1"/>
  <c r="E48" i="1" s="1"/>
  <c r="F48" i="1"/>
  <c r="G48" i="1"/>
  <c r="I48" i="1"/>
  <c r="J48" i="1"/>
  <c r="K48" i="1"/>
  <c r="L48" i="1"/>
  <c r="A49" i="1"/>
  <c r="B49" i="1"/>
  <c r="C49" i="1"/>
  <c r="D49" i="1"/>
  <c r="E49" i="1" s="1"/>
  <c r="F49" i="1"/>
  <c r="G49" i="1"/>
  <c r="I49" i="1"/>
  <c r="J49" i="1"/>
  <c r="K49" i="1"/>
  <c r="L49" i="1"/>
  <c r="A50" i="1"/>
  <c r="B50" i="1"/>
  <c r="C50" i="1"/>
  <c r="D50" i="1"/>
  <c r="F50" i="1"/>
  <c r="G50" i="1"/>
  <c r="I50" i="1"/>
  <c r="J50" i="1"/>
  <c r="K50" i="1"/>
  <c r="L50" i="1"/>
  <c r="A51" i="1"/>
  <c r="B51" i="1"/>
  <c r="C51" i="1"/>
  <c r="D51" i="1"/>
  <c r="F51" i="1"/>
  <c r="G51" i="1"/>
  <c r="I51" i="1"/>
  <c r="J51" i="1"/>
  <c r="K51" i="1"/>
  <c r="L51" i="1"/>
  <c r="A52" i="1"/>
  <c r="B52" i="1"/>
  <c r="C52" i="1"/>
  <c r="D52" i="1"/>
  <c r="E52" i="1" s="1"/>
  <c r="F52" i="1"/>
  <c r="G52" i="1"/>
  <c r="I52" i="1"/>
  <c r="J52" i="1"/>
  <c r="K52" i="1"/>
  <c r="L52" i="1"/>
  <c r="A53" i="1"/>
  <c r="B53" i="1"/>
  <c r="C53" i="1"/>
  <c r="D53" i="1"/>
  <c r="E53" i="1" s="1"/>
  <c r="F53" i="1"/>
  <c r="G53" i="1"/>
  <c r="I53" i="1"/>
  <c r="J53" i="1"/>
  <c r="K53" i="1"/>
  <c r="L53" i="1"/>
  <c r="A54" i="1"/>
  <c r="B54" i="1"/>
  <c r="C54" i="1"/>
  <c r="D54" i="1"/>
  <c r="E54" i="1" s="1"/>
  <c r="F54" i="1"/>
  <c r="G54" i="1"/>
  <c r="I54" i="1"/>
  <c r="J54" i="1"/>
  <c r="K54" i="1"/>
  <c r="L54" i="1"/>
  <c r="A55" i="1"/>
  <c r="B55" i="1"/>
  <c r="C55" i="1"/>
  <c r="D55" i="1"/>
  <c r="F55" i="1"/>
  <c r="G55" i="1"/>
  <c r="I55" i="1"/>
  <c r="J55" i="1"/>
  <c r="K55" i="1"/>
  <c r="L55" i="1"/>
  <c r="A56" i="1"/>
  <c r="B56" i="1"/>
  <c r="C56" i="1"/>
  <c r="D56" i="1"/>
  <c r="E56" i="1" s="1"/>
  <c r="F56" i="1"/>
  <c r="G56" i="1"/>
  <c r="I56" i="1"/>
  <c r="J56" i="1"/>
  <c r="K56" i="1"/>
  <c r="L56" i="1"/>
  <c r="A57" i="1"/>
  <c r="B57" i="1"/>
  <c r="C57" i="1"/>
  <c r="D57" i="1"/>
  <c r="E57" i="1" s="1"/>
  <c r="F57" i="1"/>
  <c r="G57" i="1"/>
  <c r="I57" i="1"/>
  <c r="J57" i="1"/>
  <c r="K57" i="1"/>
  <c r="L57" i="1"/>
  <c r="A58" i="1"/>
  <c r="B58" i="1"/>
  <c r="C58" i="1"/>
  <c r="D58" i="1"/>
  <c r="F58" i="1"/>
  <c r="G58" i="1"/>
  <c r="I58" i="1"/>
  <c r="J58" i="1"/>
  <c r="K58" i="1"/>
  <c r="L58" i="1"/>
  <c r="A59" i="1"/>
  <c r="B59" i="1"/>
  <c r="C59" i="1"/>
  <c r="D59" i="1"/>
  <c r="F59" i="1"/>
  <c r="G59" i="1"/>
  <c r="I59" i="1"/>
  <c r="J59" i="1"/>
  <c r="K59" i="1"/>
  <c r="L59" i="1"/>
  <c r="A60" i="1"/>
  <c r="B60" i="1"/>
  <c r="C60" i="1"/>
  <c r="D60" i="1"/>
  <c r="E60" i="1" s="1"/>
  <c r="F60" i="1"/>
  <c r="G60" i="1"/>
  <c r="I60" i="1"/>
  <c r="J60" i="1"/>
  <c r="K60" i="1"/>
  <c r="L60" i="1"/>
  <c r="A61" i="1"/>
  <c r="B61" i="1"/>
  <c r="C61" i="1"/>
  <c r="D61" i="1"/>
  <c r="E61" i="1" s="1"/>
  <c r="F61" i="1"/>
  <c r="G61" i="1"/>
  <c r="I61" i="1"/>
  <c r="J61" i="1"/>
  <c r="K61" i="1"/>
  <c r="L61" i="1"/>
  <c r="A62" i="1"/>
  <c r="B62" i="1"/>
  <c r="C62" i="1"/>
  <c r="D62" i="1"/>
  <c r="E62" i="1" s="1"/>
  <c r="F62" i="1"/>
  <c r="G62" i="1"/>
  <c r="I62" i="1"/>
  <c r="J62" i="1"/>
  <c r="K62" i="1"/>
  <c r="L62" i="1"/>
  <c r="A63" i="1"/>
  <c r="B63" i="1"/>
  <c r="C63" i="1"/>
  <c r="D63" i="1"/>
  <c r="F63" i="1"/>
  <c r="G63" i="1"/>
  <c r="I63" i="1"/>
  <c r="J63" i="1"/>
  <c r="K63" i="1"/>
  <c r="L63" i="1"/>
  <c r="A64" i="1"/>
  <c r="B64" i="1"/>
  <c r="C64" i="1"/>
  <c r="D64" i="1"/>
  <c r="E64" i="1" s="1"/>
  <c r="F64" i="1"/>
  <c r="G64" i="1"/>
  <c r="I64" i="1"/>
  <c r="J64" i="1"/>
  <c r="K64" i="1"/>
  <c r="L64" i="1"/>
  <c r="A65" i="1"/>
  <c r="B65" i="1"/>
  <c r="C65" i="1"/>
  <c r="D65" i="1"/>
  <c r="E65" i="1" s="1"/>
  <c r="F65" i="1"/>
  <c r="G65" i="1"/>
  <c r="I65" i="1"/>
  <c r="J65" i="1"/>
  <c r="K65" i="1"/>
  <c r="L65" i="1"/>
  <c r="A66" i="1"/>
  <c r="B66" i="1"/>
  <c r="C66" i="1"/>
  <c r="D66" i="1"/>
  <c r="F66" i="1"/>
  <c r="G66" i="1"/>
  <c r="I66" i="1"/>
  <c r="J66" i="1"/>
  <c r="K66" i="1"/>
  <c r="L66" i="1"/>
  <c r="A67" i="1"/>
  <c r="B67" i="1"/>
  <c r="C67" i="1"/>
  <c r="D67" i="1"/>
  <c r="F67" i="1"/>
  <c r="G67" i="1"/>
  <c r="I67" i="1"/>
  <c r="J67" i="1"/>
  <c r="K67" i="1"/>
  <c r="L67" i="1"/>
  <c r="A68" i="1"/>
  <c r="B68" i="1"/>
  <c r="C68" i="1"/>
  <c r="D68" i="1"/>
  <c r="E68" i="1" s="1"/>
  <c r="F68" i="1"/>
  <c r="G68" i="1"/>
  <c r="I68" i="1"/>
  <c r="J68" i="1"/>
  <c r="K68" i="1"/>
  <c r="L68" i="1"/>
  <c r="A69" i="1"/>
  <c r="B69" i="1"/>
  <c r="C69" i="1"/>
  <c r="D69" i="1"/>
  <c r="E69" i="1" s="1"/>
  <c r="F69" i="1"/>
  <c r="G69" i="1"/>
  <c r="I69" i="1"/>
  <c r="J69" i="1"/>
  <c r="K69" i="1"/>
  <c r="L69" i="1"/>
  <c r="A70" i="1"/>
  <c r="B70" i="1"/>
  <c r="C70" i="1"/>
  <c r="D70" i="1"/>
  <c r="E70" i="1" s="1"/>
  <c r="F70" i="1"/>
  <c r="G70" i="1"/>
  <c r="I70" i="1"/>
  <c r="J70" i="1"/>
  <c r="K70" i="1"/>
  <c r="L70" i="1"/>
  <c r="A71" i="1"/>
  <c r="B71" i="1"/>
  <c r="C71" i="1"/>
  <c r="D71" i="1"/>
  <c r="F71" i="1"/>
  <c r="G71" i="1"/>
  <c r="I71" i="1"/>
  <c r="J71" i="1"/>
  <c r="K71" i="1"/>
  <c r="L71" i="1"/>
  <c r="A72" i="1"/>
  <c r="B72" i="1"/>
  <c r="C72" i="1"/>
  <c r="D72" i="1"/>
  <c r="E72" i="1" s="1"/>
  <c r="F72" i="1"/>
  <c r="G72" i="1"/>
  <c r="I72" i="1"/>
  <c r="J72" i="1"/>
  <c r="K72" i="1"/>
  <c r="L72" i="1"/>
  <c r="A73" i="1"/>
  <c r="B73" i="1"/>
  <c r="C73" i="1"/>
  <c r="D73" i="1"/>
  <c r="E73" i="1" s="1"/>
  <c r="F73" i="1"/>
  <c r="G73" i="1"/>
  <c r="I73" i="1"/>
  <c r="J73" i="1"/>
  <c r="K73" i="1"/>
  <c r="L73" i="1"/>
  <c r="A74" i="1"/>
  <c r="B74" i="1"/>
  <c r="C74" i="1"/>
  <c r="D74" i="1"/>
  <c r="F74" i="1"/>
  <c r="G74" i="1"/>
  <c r="I74" i="1"/>
  <c r="J74" i="1"/>
  <c r="K74" i="1"/>
  <c r="L74" i="1"/>
  <c r="A75" i="1"/>
  <c r="B75" i="1"/>
  <c r="C75" i="1"/>
  <c r="D75" i="1"/>
  <c r="F75" i="1"/>
  <c r="G75" i="1"/>
  <c r="I75" i="1"/>
  <c r="J75" i="1"/>
  <c r="K75" i="1"/>
  <c r="L75" i="1"/>
  <c r="A76" i="1"/>
  <c r="B76" i="1"/>
  <c r="C76" i="1"/>
  <c r="D76" i="1"/>
  <c r="F76" i="1"/>
  <c r="G76" i="1"/>
  <c r="I76" i="1"/>
  <c r="J76" i="1"/>
  <c r="K76" i="1"/>
  <c r="L76" i="1"/>
  <c r="A77" i="1"/>
  <c r="B77" i="1"/>
  <c r="C77" i="1"/>
  <c r="D77" i="1"/>
  <c r="E77" i="1" s="1"/>
  <c r="F77" i="1"/>
  <c r="G77" i="1"/>
  <c r="I77" i="1"/>
  <c r="J77" i="1"/>
  <c r="K77" i="1"/>
  <c r="L77" i="1"/>
  <c r="A78" i="1"/>
  <c r="B78" i="1"/>
  <c r="C78" i="1"/>
  <c r="D78" i="1"/>
  <c r="E78" i="1" s="1"/>
  <c r="F78" i="1"/>
  <c r="G78" i="1"/>
  <c r="I78" i="1"/>
  <c r="J78" i="1"/>
  <c r="K78" i="1"/>
  <c r="L78" i="1"/>
  <c r="A79" i="1"/>
  <c r="B79" i="1"/>
  <c r="C79" i="1"/>
  <c r="D79" i="1"/>
  <c r="F79" i="1"/>
  <c r="G79" i="1"/>
  <c r="I79" i="1"/>
  <c r="J79" i="1"/>
  <c r="K79" i="1"/>
  <c r="L79" i="1"/>
  <c r="A80" i="1"/>
  <c r="B80" i="1"/>
  <c r="C80" i="1"/>
  <c r="D80" i="1"/>
  <c r="E80" i="1" s="1"/>
  <c r="F80" i="1"/>
  <c r="G80" i="1"/>
  <c r="I80" i="1"/>
  <c r="J80" i="1"/>
  <c r="K80" i="1"/>
  <c r="L80" i="1"/>
  <c r="A81" i="1"/>
  <c r="B81" i="1"/>
  <c r="C81" i="1"/>
  <c r="D81" i="1"/>
  <c r="E81" i="1" s="1"/>
  <c r="F81" i="1"/>
  <c r="G81" i="1"/>
  <c r="I81" i="1"/>
  <c r="J81" i="1"/>
  <c r="K81" i="1"/>
  <c r="L81" i="1"/>
  <c r="A82" i="1"/>
  <c r="B82" i="1"/>
  <c r="C82" i="1"/>
  <c r="D82" i="1"/>
  <c r="F82" i="1"/>
  <c r="G82" i="1"/>
  <c r="I82" i="1"/>
  <c r="J82" i="1"/>
  <c r="K82" i="1"/>
  <c r="L82" i="1"/>
  <c r="A83" i="1"/>
  <c r="B83" i="1"/>
  <c r="C83" i="1"/>
  <c r="D83" i="1"/>
  <c r="F83" i="1"/>
  <c r="G83" i="1"/>
  <c r="I83" i="1"/>
  <c r="J83" i="1"/>
  <c r="K83" i="1"/>
  <c r="L83" i="1"/>
  <c r="A84" i="1"/>
  <c r="B84" i="1"/>
  <c r="C84" i="1"/>
  <c r="D84" i="1"/>
  <c r="E84" i="1" s="1"/>
  <c r="F84" i="1"/>
  <c r="G84" i="1"/>
  <c r="I84" i="1"/>
  <c r="J84" i="1"/>
  <c r="K84" i="1"/>
  <c r="L84" i="1"/>
  <c r="A85" i="1"/>
  <c r="B85" i="1"/>
  <c r="C85" i="1"/>
  <c r="D85" i="1"/>
  <c r="E85" i="1" s="1"/>
  <c r="F85" i="1"/>
  <c r="G85" i="1"/>
  <c r="I85" i="1"/>
  <c r="J85" i="1"/>
  <c r="K85" i="1"/>
  <c r="L85" i="1"/>
  <c r="A86" i="1"/>
  <c r="B86" i="1"/>
  <c r="C86" i="1"/>
  <c r="D86" i="1"/>
  <c r="E86" i="1" s="1"/>
  <c r="F86" i="1"/>
  <c r="G86" i="1"/>
  <c r="I86" i="1"/>
  <c r="J86" i="1"/>
  <c r="K86" i="1"/>
  <c r="L86" i="1"/>
  <c r="A87" i="1"/>
  <c r="B87" i="1"/>
  <c r="C87" i="1"/>
  <c r="D87" i="1"/>
  <c r="F87" i="1"/>
  <c r="G87" i="1"/>
  <c r="I87" i="1"/>
  <c r="J87" i="1"/>
  <c r="K87" i="1"/>
  <c r="L87" i="1"/>
  <c r="A88" i="1"/>
  <c r="B88" i="1"/>
  <c r="C88" i="1"/>
  <c r="D88" i="1"/>
  <c r="E88" i="1" s="1"/>
  <c r="H88" i="1" s="1"/>
  <c r="F88" i="1"/>
  <c r="G88" i="1"/>
  <c r="I88" i="1"/>
  <c r="J88" i="1"/>
  <c r="K88" i="1"/>
  <c r="L88" i="1"/>
  <c r="A89" i="1"/>
  <c r="B89" i="1"/>
  <c r="C89" i="1"/>
  <c r="D89" i="1"/>
  <c r="E89" i="1" s="1"/>
  <c r="H89" i="1" s="1"/>
  <c r="F89" i="1"/>
  <c r="G89" i="1"/>
  <c r="I89" i="1"/>
  <c r="J89" i="1"/>
  <c r="K89" i="1"/>
  <c r="L89" i="1"/>
  <c r="A90" i="1"/>
  <c r="B90" i="1"/>
  <c r="C90" i="1"/>
  <c r="D90" i="1"/>
  <c r="E90" i="1" s="1"/>
  <c r="H90" i="1" s="1"/>
  <c r="F90" i="1"/>
  <c r="G90" i="1"/>
  <c r="I90" i="1"/>
  <c r="J90" i="1"/>
  <c r="K90" i="1"/>
  <c r="L90" i="1"/>
  <c r="A91" i="1"/>
  <c r="B91" i="1"/>
  <c r="C91" i="1"/>
  <c r="D91" i="1"/>
  <c r="E91" i="1" s="1"/>
  <c r="H91" i="1" s="1"/>
  <c r="F91" i="1"/>
  <c r="G91" i="1"/>
  <c r="I91" i="1"/>
  <c r="J91" i="1"/>
  <c r="K91" i="1"/>
  <c r="L91" i="1"/>
  <c r="A92" i="1"/>
  <c r="B92" i="1"/>
  <c r="C92" i="1"/>
  <c r="D92" i="1"/>
  <c r="E92" i="1" s="1"/>
  <c r="H92" i="1" s="1"/>
  <c r="F92" i="1"/>
  <c r="G92" i="1"/>
  <c r="I92" i="1"/>
  <c r="J92" i="1"/>
  <c r="K92" i="1"/>
  <c r="L92" i="1"/>
  <c r="A93" i="1"/>
  <c r="B93" i="1"/>
  <c r="C93" i="1"/>
  <c r="D93" i="1"/>
  <c r="E93" i="1" s="1"/>
  <c r="H93" i="1" s="1"/>
  <c r="F93" i="1"/>
  <c r="G93" i="1"/>
  <c r="I93" i="1"/>
  <c r="J93" i="1"/>
  <c r="K93" i="1"/>
  <c r="L93" i="1"/>
  <c r="A94" i="1"/>
  <c r="B94" i="1"/>
  <c r="C94" i="1"/>
  <c r="D94" i="1"/>
  <c r="E94" i="1" s="1"/>
  <c r="H94" i="1" s="1"/>
  <c r="F94" i="1"/>
  <c r="G94" i="1"/>
  <c r="I94" i="1"/>
  <c r="J94" i="1"/>
  <c r="K94" i="1"/>
  <c r="L94" i="1"/>
  <c r="A95" i="1"/>
  <c r="B95" i="1"/>
  <c r="C95" i="1"/>
  <c r="D95" i="1"/>
  <c r="E95" i="1" s="1"/>
  <c r="H95" i="1" s="1"/>
  <c r="F95" i="1"/>
  <c r="G95" i="1"/>
  <c r="I95" i="1"/>
  <c r="J95" i="1"/>
  <c r="K95" i="1"/>
  <c r="L95" i="1"/>
  <c r="A96" i="1"/>
  <c r="B96" i="1"/>
  <c r="C96" i="1"/>
  <c r="D96" i="1"/>
  <c r="E96" i="1" s="1"/>
  <c r="H96" i="1" s="1"/>
  <c r="F96" i="1"/>
  <c r="G96" i="1"/>
  <c r="I96" i="1"/>
  <c r="J96" i="1"/>
  <c r="K96" i="1"/>
  <c r="L96" i="1"/>
  <c r="A97" i="1"/>
  <c r="B97" i="1"/>
  <c r="C97" i="1"/>
  <c r="D97" i="1"/>
  <c r="E97" i="1" s="1"/>
  <c r="H97" i="1" s="1"/>
  <c r="F97" i="1"/>
  <c r="G97" i="1"/>
  <c r="I97" i="1"/>
  <c r="J97" i="1"/>
  <c r="K97" i="1"/>
  <c r="L97" i="1"/>
  <c r="A98" i="1"/>
  <c r="B98" i="1"/>
  <c r="C98" i="1"/>
  <c r="D98" i="1"/>
  <c r="E98" i="1" s="1"/>
  <c r="H98" i="1" s="1"/>
  <c r="F98" i="1"/>
  <c r="G98" i="1"/>
  <c r="I98" i="1"/>
  <c r="J98" i="1"/>
  <c r="K98" i="1"/>
  <c r="L98" i="1"/>
  <c r="A99" i="1"/>
  <c r="B99" i="1"/>
  <c r="C99" i="1"/>
  <c r="D99" i="1"/>
  <c r="E99" i="1" s="1"/>
  <c r="H99" i="1" s="1"/>
  <c r="F99" i="1"/>
  <c r="G99" i="1"/>
  <c r="I99" i="1"/>
  <c r="J99" i="1"/>
  <c r="K99" i="1"/>
  <c r="L99" i="1"/>
  <c r="A100" i="1"/>
  <c r="B100" i="1"/>
  <c r="C100" i="1"/>
  <c r="D100" i="1"/>
  <c r="E100" i="1" s="1"/>
  <c r="H100" i="1" s="1"/>
  <c r="F100" i="1"/>
  <c r="G100" i="1"/>
  <c r="I100" i="1"/>
  <c r="J100" i="1"/>
  <c r="K100" i="1"/>
  <c r="L100" i="1"/>
  <c r="A101" i="1"/>
  <c r="B101" i="1"/>
  <c r="C101" i="1"/>
  <c r="D101" i="1"/>
  <c r="E101" i="1" s="1"/>
  <c r="H101" i="1" s="1"/>
  <c r="F101" i="1"/>
  <c r="G101" i="1"/>
  <c r="I101" i="1"/>
  <c r="J101" i="1"/>
  <c r="K101" i="1"/>
  <c r="L101" i="1"/>
  <c r="A102" i="1"/>
  <c r="B102" i="1"/>
  <c r="C102" i="1"/>
  <c r="D102" i="1"/>
  <c r="E102" i="1" s="1"/>
  <c r="H102" i="1" s="1"/>
  <c r="F102" i="1"/>
  <c r="G102" i="1"/>
  <c r="I102" i="1"/>
  <c r="J102" i="1"/>
  <c r="K102" i="1"/>
  <c r="L102" i="1"/>
  <c r="A103" i="1"/>
  <c r="B103" i="1"/>
  <c r="C103" i="1"/>
  <c r="D103" i="1"/>
  <c r="E103" i="1" s="1"/>
  <c r="H103" i="1" s="1"/>
  <c r="F103" i="1"/>
  <c r="G103" i="1"/>
  <c r="I103" i="1"/>
  <c r="J103" i="1"/>
  <c r="K103" i="1"/>
  <c r="L103" i="1"/>
  <c r="A104" i="1"/>
  <c r="B104" i="1"/>
  <c r="C104" i="1"/>
  <c r="D104" i="1"/>
  <c r="E104" i="1" s="1"/>
  <c r="H104" i="1" s="1"/>
  <c r="F104" i="1"/>
  <c r="G104" i="1"/>
  <c r="I104" i="1"/>
  <c r="J104" i="1"/>
  <c r="K104" i="1"/>
  <c r="L104" i="1"/>
  <c r="A105" i="1"/>
  <c r="B105" i="1"/>
  <c r="C105" i="1"/>
  <c r="D105" i="1"/>
  <c r="E105" i="1" s="1"/>
  <c r="H105" i="1" s="1"/>
  <c r="F105" i="1"/>
  <c r="G105" i="1"/>
  <c r="I105" i="1"/>
  <c r="J105" i="1"/>
  <c r="K105" i="1"/>
  <c r="L105" i="1"/>
  <c r="A106" i="1"/>
  <c r="B106" i="1"/>
  <c r="C106" i="1"/>
  <c r="D106" i="1"/>
  <c r="E106" i="1" s="1"/>
  <c r="H106" i="1" s="1"/>
  <c r="F106" i="1"/>
  <c r="G106" i="1"/>
  <c r="I106" i="1"/>
  <c r="J106" i="1"/>
  <c r="K106" i="1"/>
  <c r="L106" i="1"/>
  <c r="A107" i="1"/>
  <c r="B107" i="1"/>
  <c r="C107" i="1"/>
  <c r="D107" i="1"/>
  <c r="E107" i="1" s="1"/>
  <c r="H107" i="1" s="1"/>
  <c r="F107" i="1"/>
  <c r="G107" i="1"/>
  <c r="I107" i="1"/>
  <c r="J107" i="1"/>
  <c r="K107" i="1"/>
  <c r="L107" i="1"/>
  <c r="A108" i="1"/>
  <c r="B108" i="1"/>
  <c r="C108" i="1"/>
  <c r="D108" i="1"/>
  <c r="E108" i="1" s="1"/>
  <c r="H108" i="1" s="1"/>
  <c r="F108" i="1"/>
  <c r="G108" i="1"/>
  <c r="I108" i="1"/>
  <c r="J108" i="1"/>
  <c r="K108" i="1"/>
  <c r="L108" i="1"/>
  <c r="A109" i="1"/>
  <c r="B109" i="1"/>
  <c r="C109" i="1"/>
  <c r="D109" i="1"/>
  <c r="E109" i="1" s="1"/>
  <c r="H109" i="1" s="1"/>
  <c r="F109" i="1"/>
  <c r="G109" i="1"/>
  <c r="I109" i="1"/>
  <c r="J109" i="1"/>
  <c r="K109" i="1"/>
  <c r="L109" i="1"/>
  <c r="A110" i="1"/>
  <c r="B110" i="1"/>
  <c r="C110" i="1"/>
  <c r="D110" i="1"/>
  <c r="E110" i="1" s="1"/>
  <c r="H110" i="1" s="1"/>
  <c r="F110" i="1"/>
  <c r="G110" i="1"/>
  <c r="I110" i="1"/>
  <c r="J110" i="1"/>
  <c r="K110" i="1"/>
  <c r="L110" i="1"/>
  <c r="A111" i="1"/>
  <c r="B111" i="1"/>
  <c r="C111" i="1"/>
  <c r="D111" i="1"/>
  <c r="E111" i="1" s="1"/>
  <c r="H111" i="1" s="1"/>
  <c r="F111" i="1"/>
  <c r="G111" i="1"/>
  <c r="I111" i="1"/>
  <c r="J111" i="1"/>
  <c r="K111" i="1"/>
  <c r="L111" i="1"/>
  <c r="A112" i="1"/>
  <c r="B112" i="1"/>
  <c r="C112" i="1"/>
  <c r="D112" i="1"/>
  <c r="E112" i="1" s="1"/>
  <c r="H112" i="1" s="1"/>
  <c r="F112" i="1"/>
  <c r="G112" i="1"/>
  <c r="I112" i="1"/>
  <c r="J112" i="1"/>
  <c r="K112" i="1"/>
  <c r="L112" i="1"/>
  <c r="A113" i="1"/>
  <c r="B113" i="1"/>
  <c r="C113" i="1"/>
  <c r="D113" i="1"/>
  <c r="E113" i="1" s="1"/>
  <c r="H113" i="1" s="1"/>
  <c r="F113" i="1"/>
  <c r="G113" i="1"/>
  <c r="I113" i="1"/>
  <c r="J113" i="1"/>
  <c r="K113" i="1"/>
  <c r="L113" i="1"/>
  <c r="A114" i="1"/>
  <c r="B114" i="1"/>
  <c r="C114" i="1"/>
  <c r="D114" i="1"/>
  <c r="E114" i="1" s="1"/>
  <c r="H114" i="1" s="1"/>
  <c r="F114" i="1"/>
  <c r="G114" i="1"/>
  <c r="I114" i="1"/>
  <c r="J114" i="1"/>
  <c r="K114" i="1"/>
  <c r="L114" i="1"/>
  <c r="A115" i="1"/>
  <c r="B115" i="1"/>
  <c r="C115" i="1"/>
  <c r="D115" i="1"/>
  <c r="E115" i="1" s="1"/>
  <c r="H115" i="1" s="1"/>
  <c r="F115" i="1"/>
  <c r="G115" i="1"/>
  <c r="I115" i="1"/>
  <c r="J115" i="1"/>
  <c r="K115" i="1"/>
  <c r="L115" i="1"/>
  <c r="A116" i="1"/>
  <c r="B116" i="1"/>
  <c r="C116" i="1"/>
  <c r="D116" i="1"/>
  <c r="E116" i="1" s="1"/>
  <c r="H116" i="1" s="1"/>
  <c r="F116" i="1"/>
  <c r="G116" i="1"/>
  <c r="I116" i="1"/>
  <c r="J116" i="1"/>
  <c r="K116" i="1"/>
  <c r="L116" i="1"/>
  <c r="A117" i="1"/>
  <c r="B117" i="1"/>
  <c r="C117" i="1"/>
  <c r="D117" i="1"/>
  <c r="E117" i="1" s="1"/>
  <c r="H117" i="1" s="1"/>
  <c r="F117" i="1"/>
  <c r="G117" i="1"/>
  <c r="I117" i="1"/>
  <c r="J117" i="1"/>
  <c r="K117" i="1"/>
  <c r="L117" i="1"/>
  <c r="A118" i="1"/>
  <c r="B118" i="1"/>
  <c r="C118" i="1"/>
  <c r="D118" i="1"/>
  <c r="E118" i="1" s="1"/>
  <c r="H118" i="1" s="1"/>
  <c r="F118" i="1"/>
  <c r="G118" i="1"/>
  <c r="I118" i="1"/>
  <c r="J118" i="1"/>
  <c r="K118" i="1"/>
  <c r="L118" i="1"/>
  <c r="A119" i="1"/>
  <c r="B119" i="1"/>
  <c r="C119" i="1"/>
  <c r="D119" i="1"/>
  <c r="E119" i="1" s="1"/>
  <c r="H119" i="1" s="1"/>
  <c r="F119" i="1"/>
  <c r="G119" i="1"/>
  <c r="I119" i="1"/>
  <c r="J119" i="1"/>
  <c r="K119" i="1"/>
  <c r="L119" i="1"/>
  <c r="A120" i="1"/>
  <c r="B120" i="1"/>
  <c r="C120" i="1"/>
  <c r="D120" i="1"/>
  <c r="E120" i="1" s="1"/>
  <c r="H120" i="1" s="1"/>
  <c r="F120" i="1"/>
  <c r="G120" i="1"/>
  <c r="I120" i="1"/>
  <c r="J120" i="1"/>
  <c r="K120" i="1"/>
  <c r="L120" i="1"/>
  <c r="A121" i="1"/>
  <c r="B121" i="1"/>
  <c r="C121" i="1"/>
  <c r="D121" i="1"/>
  <c r="E121" i="1" s="1"/>
  <c r="H121" i="1" s="1"/>
  <c r="F121" i="1"/>
  <c r="G121" i="1"/>
  <c r="I121" i="1"/>
  <c r="J121" i="1"/>
  <c r="K121" i="1"/>
  <c r="L121" i="1"/>
  <c r="A122" i="1"/>
  <c r="B122" i="1"/>
  <c r="C122" i="1"/>
  <c r="D122" i="1"/>
  <c r="E122" i="1" s="1"/>
  <c r="H122" i="1" s="1"/>
  <c r="F122" i="1"/>
  <c r="G122" i="1"/>
  <c r="I122" i="1"/>
  <c r="J122" i="1"/>
  <c r="K122" i="1"/>
  <c r="L122" i="1"/>
  <c r="A123" i="1"/>
  <c r="B123" i="1"/>
  <c r="C123" i="1"/>
  <c r="D123" i="1"/>
  <c r="E123" i="1" s="1"/>
  <c r="H123" i="1" s="1"/>
  <c r="F123" i="1"/>
  <c r="G123" i="1"/>
  <c r="I123" i="1"/>
  <c r="J123" i="1"/>
  <c r="K123" i="1"/>
  <c r="L123" i="1"/>
  <c r="A124" i="1"/>
  <c r="B124" i="1"/>
  <c r="C124" i="1"/>
  <c r="D124" i="1"/>
  <c r="E124" i="1" s="1"/>
  <c r="H124" i="1" s="1"/>
  <c r="F124" i="1"/>
  <c r="G124" i="1"/>
  <c r="I124" i="1"/>
  <c r="J124" i="1"/>
  <c r="K124" i="1"/>
  <c r="L124" i="1"/>
  <c r="A125" i="1"/>
  <c r="B125" i="1"/>
  <c r="C125" i="1"/>
  <c r="D125" i="1"/>
  <c r="E125" i="1" s="1"/>
  <c r="H125" i="1" s="1"/>
  <c r="F125" i="1"/>
  <c r="G125" i="1"/>
  <c r="I125" i="1"/>
  <c r="J125" i="1"/>
  <c r="K125" i="1"/>
  <c r="L125" i="1"/>
  <c r="A126" i="1"/>
  <c r="B126" i="1"/>
  <c r="C126" i="1"/>
  <c r="D126" i="1"/>
  <c r="E126" i="1" s="1"/>
  <c r="H126" i="1" s="1"/>
  <c r="F126" i="1"/>
  <c r="G126" i="1"/>
  <c r="I126" i="1"/>
  <c r="J126" i="1"/>
  <c r="K126" i="1"/>
  <c r="L126" i="1"/>
  <c r="A127" i="1"/>
  <c r="B127" i="1"/>
  <c r="C127" i="1"/>
  <c r="D127" i="1"/>
  <c r="E127" i="1" s="1"/>
  <c r="H127" i="1" s="1"/>
  <c r="F127" i="1"/>
  <c r="G127" i="1"/>
  <c r="I127" i="1"/>
  <c r="J127" i="1"/>
  <c r="K127" i="1"/>
  <c r="L127" i="1"/>
  <c r="A128" i="1"/>
  <c r="B128" i="1"/>
  <c r="C128" i="1"/>
  <c r="D128" i="1"/>
  <c r="E128" i="1" s="1"/>
  <c r="H128" i="1" s="1"/>
  <c r="F128" i="1"/>
  <c r="G128" i="1"/>
  <c r="I128" i="1"/>
  <c r="J128" i="1"/>
  <c r="K128" i="1"/>
  <c r="L128" i="1"/>
  <c r="A129" i="1"/>
  <c r="B129" i="1"/>
  <c r="C129" i="1"/>
  <c r="D129" i="1"/>
  <c r="E129" i="1" s="1"/>
  <c r="H129" i="1" s="1"/>
  <c r="F129" i="1"/>
  <c r="G129" i="1"/>
  <c r="I129" i="1"/>
  <c r="J129" i="1"/>
  <c r="K129" i="1"/>
  <c r="L129" i="1"/>
  <c r="A130" i="1"/>
  <c r="B130" i="1"/>
  <c r="C130" i="1"/>
  <c r="D130" i="1"/>
  <c r="E130" i="1" s="1"/>
  <c r="H130" i="1" s="1"/>
  <c r="F130" i="1"/>
  <c r="G130" i="1"/>
  <c r="I130" i="1"/>
  <c r="J130" i="1"/>
  <c r="K130" i="1"/>
  <c r="L130" i="1"/>
  <c r="A131" i="1"/>
  <c r="B131" i="1"/>
  <c r="C131" i="1"/>
  <c r="D131" i="1"/>
  <c r="E131" i="1" s="1"/>
  <c r="H131" i="1" s="1"/>
  <c r="F131" i="1"/>
  <c r="G131" i="1"/>
  <c r="I131" i="1"/>
  <c r="J131" i="1"/>
  <c r="K131" i="1"/>
  <c r="L131" i="1"/>
  <c r="A132" i="1"/>
  <c r="B132" i="1"/>
  <c r="C132" i="1"/>
  <c r="D132" i="1"/>
  <c r="E132" i="1" s="1"/>
  <c r="H132" i="1" s="1"/>
  <c r="F132" i="1"/>
  <c r="G132" i="1"/>
  <c r="I132" i="1"/>
  <c r="J132" i="1"/>
  <c r="K132" i="1"/>
  <c r="L132" i="1"/>
  <c r="A133" i="1"/>
  <c r="B133" i="1"/>
  <c r="C133" i="1"/>
  <c r="D133" i="1"/>
  <c r="E133" i="1" s="1"/>
  <c r="H133" i="1" s="1"/>
  <c r="F133" i="1"/>
  <c r="G133" i="1"/>
  <c r="I133" i="1"/>
  <c r="J133" i="1"/>
  <c r="K133" i="1"/>
  <c r="L133" i="1"/>
  <c r="A134" i="1"/>
  <c r="B134" i="1"/>
  <c r="C134" i="1"/>
  <c r="D134" i="1"/>
  <c r="E134" i="1" s="1"/>
  <c r="H134" i="1" s="1"/>
  <c r="F134" i="1"/>
  <c r="G134" i="1"/>
  <c r="I134" i="1"/>
  <c r="J134" i="1"/>
  <c r="K134" i="1"/>
  <c r="L134" i="1"/>
  <c r="A135" i="1"/>
  <c r="B135" i="1"/>
  <c r="C135" i="1"/>
  <c r="D135" i="1"/>
  <c r="E135" i="1" s="1"/>
  <c r="H135" i="1" s="1"/>
  <c r="F135" i="1"/>
  <c r="G135" i="1"/>
  <c r="I135" i="1"/>
  <c r="J135" i="1"/>
  <c r="K135" i="1"/>
  <c r="L135" i="1"/>
  <c r="A136" i="1"/>
  <c r="B136" i="1"/>
  <c r="C136" i="1"/>
  <c r="D136" i="1"/>
  <c r="E136" i="1" s="1"/>
  <c r="H136" i="1" s="1"/>
  <c r="F136" i="1"/>
  <c r="G136" i="1"/>
  <c r="I136" i="1"/>
  <c r="J136" i="1"/>
  <c r="K136" i="1"/>
  <c r="L136" i="1"/>
  <c r="A137" i="1"/>
  <c r="B137" i="1"/>
  <c r="C137" i="1"/>
  <c r="D137" i="1"/>
  <c r="E137" i="1" s="1"/>
  <c r="H137" i="1" s="1"/>
  <c r="F137" i="1"/>
  <c r="G137" i="1"/>
  <c r="I137" i="1"/>
  <c r="J137" i="1"/>
  <c r="K137" i="1"/>
  <c r="L137" i="1"/>
  <c r="A138" i="1"/>
  <c r="B138" i="1"/>
  <c r="C138" i="1"/>
  <c r="D138" i="1"/>
  <c r="E138" i="1" s="1"/>
  <c r="H138" i="1" s="1"/>
  <c r="F138" i="1"/>
  <c r="G138" i="1"/>
  <c r="I138" i="1"/>
  <c r="J138" i="1"/>
  <c r="K138" i="1"/>
  <c r="L138" i="1"/>
  <c r="A139" i="1"/>
  <c r="B139" i="1"/>
  <c r="C139" i="1"/>
  <c r="D139" i="1"/>
  <c r="E139" i="1" s="1"/>
  <c r="H139" i="1" s="1"/>
  <c r="F139" i="1"/>
  <c r="G139" i="1"/>
  <c r="I139" i="1"/>
  <c r="J139" i="1"/>
  <c r="K139" i="1"/>
  <c r="L139" i="1"/>
  <c r="A140" i="1"/>
  <c r="B140" i="1"/>
  <c r="C140" i="1"/>
  <c r="D140" i="1"/>
  <c r="E140" i="1" s="1"/>
  <c r="H140" i="1" s="1"/>
  <c r="F140" i="1"/>
  <c r="G140" i="1"/>
  <c r="I140" i="1"/>
  <c r="J140" i="1"/>
  <c r="K140" i="1"/>
  <c r="L140" i="1"/>
  <c r="A141" i="1"/>
  <c r="B141" i="1"/>
  <c r="C141" i="1"/>
  <c r="D141" i="1"/>
  <c r="E141" i="1" s="1"/>
  <c r="H141" i="1" s="1"/>
  <c r="F141" i="1"/>
  <c r="G141" i="1"/>
  <c r="I141" i="1"/>
  <c r="J141" i="1"/>
  <c r="K141" i="1"/>
  <c r="L141" i="1"/>
  <c r="A142" i="1"/>
  <c r="B142" i="1"/>
  <c r="C142" i="1"/>
  <c r="D142" i="1"/>
  <c r="E142" i="1" s="1"/>
  <c r="H142" i="1" s="1"/>
  <c r="F142" i="1"/>
  <c r="G142" i="1"/>
  <c r="I142" i="1"/>
  <c r="J142" i="1"/>
  <c r="K142" i="1"/>
  <c r="L142" i="1"/>
  <c r="A143" i="1"/>
  <c r="B143" i="1"/>
  <c r="C143" i="1"/>
  <c r="D143" i="1"/>
  <c r="E143" i="1" s="1"/>
  <c r="H143" i="1" s="1"/>
  <c r="F143" i="1"/>
  <c r="G143" i="1"/>
  <c r="I143" i="1"/>
  <c r="J143" i="1"/>
  <c r="K143" i="1"/>
  <c r="L143" i="1"/>
  <c r="A144" i="1"/>
  <c r="B144" i="1"/>
  <c r="C144" i="1"/>
  <c r="D144" i="1"/>
  <c r="E144" i="1" s="1"/>
  <c r="H144" i="1" s="1"/>
  <c r="F144" i="1"/>
  <c r="G144" i="1"/>
  <c r="I144" i="1"/>
  <c r="J144" i="1"/>
  <c r="K144" i="1"/>
  <c r="L144" i="1"/>
  <c r="A145" i="1"/>
  <c r="B145" i="1"/>
  <c r="C145" i="1"/>
  <c r="D145" i="1"/>
  <c r="E145" i="1" s="1"/>
  <c r="H145" i="1" s="1"/>
  <c r="F145" i="1"/>
  <c r="G145" i="1"/>
  <c r="I145" i="1"/>
  <c r="J145" i="1"/>
  <c r="K145" i="1"/>
  <c r="L145" i="1"/>
  <c r="A146" i="1"/>
  <c r="B146" i="1"/>
  <c r="C146" i="1"/>
  <c r="D146" i="1"/>
  <c r="E146" i="1" s="1"/>
  <c r="H146" i="1" s="1"/>
  <c r="F146" i="1"/>
  <c r="G146" i="1"/>
  <c r="I146" i="1"/>
  <c r="J146" i="1"/>
  <c r="K146" i="1"/>
  <c r="L146" i="1"/>
  <c r="A147" i="1"/>
  <c r="B147" i="1"/>
  <c r="C147" i="1"/>
  <c r="D147" i="1"/>
  <c r="E147" i="1" s="1"/>
  <c r="H147" i="1" s="1"/>
  <c r="F147" i="1"/>
  <c r="G147" i="1"/>
  <c r="I147" i="1"/>
  <c r="J147" i="1"/>
  <c r="K147" i="1"/>
  <c r="L147" i="1"/>
  <c r="A148" i="1"/>
  <c r="B148" i="1"/>
  <c r="C148" i="1"/>
  <c r="D148" i="1"/>
  <c r="E148" i="1" s="1"/>
  <c r="H148" i="1" s="1"/>
  <c r="F148" i="1"/>
  <c r="G148" i="1"/>
  <c r="I148" i="1"/>
  <c r="J148" i="1"/>
  <c r="K148" i="1"/>
  <c r="L148" i="1"/>
  <c r="A149" i="1"/>
  <c r="B149" i="1"/>
  <c r="C149" i="1"/>
  <c r="D149" i="1"/>
  <c r="E149" i="1" s="1"/>
  <c r="H149" i="1" s="1"/>
  <c r="F149" i="1"/>
  <c r="G149" i="1"/>
  <c r="I149" i="1"/>
  <c r="J149" i="1"/>
  <c r="K149" i="1"/>
  <c r="L149" i="1"/>
  <c r="A150" i="1"/>
  <c r="B150" i="1"/>
  <c r="C150" i="1"/>
  <c r="D150" i="1"/>
  <c r="E150" i="1" s="1"/>
  <c r="H150" i="1" s="1"/>
  <c r="F150" i="1"/>
  <c r="G150" i="1"/>
  <c r="I150" i="1"/>
  <c r="J150" i="1"/>
  <c r="K150" i="1"/>
  <c r="L150" i="1"/>
  <c r="A151" i="1"/>
  <c r="B151" i="1"/>
  <c r="C151" i="1"/>
  <c r="D151" i="1"/>
  <c r="E151" i="1" s="1"/>
  <c r="F151" i="1"/>
  <c r="G151" i="1"/>
  <c r="I151" i="1"/>
  <c r="J151" i="1"/>
  <c r="K151" i="1"/>
  <c r="L151" i="1"/>
  <c r="A152" i="1"/>
  <c r="B152" i="1"/>
  <c r="C152" i="1"/>
  <c r="D152" i="1"/>
  <c r="E152" i="1" s="1"/>
  <c r="F152" i="1"/>
  <c r="G152" i="1"/>
  <c r="I152" i="1"/>
  <c r="J152" i="1"/>
  <c r="K152" i="1"/>
  <c r="L152" i="1"/>
  <c r="A153" i="1"/>
  <c r="B153" i="1"/>
  <c r="C153" i="1"/>
  <c r="D153" i="1"/>
  <c r="E153" i="1" s="1"/>
  <c r="F153" i="1"/>
  <c r="G153" i="1"/>
  <c r="I153" i="1"/>
  <c r="J153" i="1"/>
  <c r="K153" i="1"/>
  <c r="L153" i="1"/>
  <c r="A154" i="1"/>
  <c r="B154" i="1"/>
  <c r="C154" i="1"/>
  <c r="D154" i="1"/>
  <c r="E154" i="1" s="1"/>
  <c r="F154" i="1"/>
  <c r="G154" i="1"/>
  <c r="I154" i="1"/>
  <c r="J154" i="1"/>
  <c r="K154" i="1"/>
  <c r="L154" i="1"/>
  <c r="A155" i="1"/>
  <c r="B155" i="1"/>
  <c r="C155" i="1"/>
  <c r="D155" i="1"/>
  <c r="E155" i="1" s="1"/>
  <c r="F155" i="1"/>
  <c r="G155" i="1"/>
  <c r="I155" i="1"/>
  <c r="J155" i="1"/>
  <c r="K155" i="1"/>
  <c r="L155" i="1"/>
  <c r="A156" i="1"/>
  <c r="B156" i="1"/>
  <c r="C156" i="1"/>
  <c r="D156" i="1"/>
  <c r="F156" i="1"/>
  <c r="G156" i="1"/>
  <c r="I156" i="1"/>
  <c r="J156" i="1"/>
  <c r="K156" i="1"/>
  <c r="L156" i="1"/>
  <c r="A157" i="1"/>
  <c r="B157" i="1"/>
  <c r="C157" i="1"/>
  <c r="D157" i="1"/>
  <c r="E157" i="1" s="1"/>
  <c r="F157" i="1"/>
  <c r="G157" i="1"/>
  <c r="I157" i="1"/>
  <c r="J157" i="1"/>
  <c r="K157" i="1"/>
  <c r="L157" i="1"/>
  <c r="A158" i="1"/>
  <c r="B158" i="1"/>
  <c r="C158" i="1"/>
  <c r="D158" i="1"/>
  <c r="E158" i="1" s="1"/>
  <c r="F158" i="1"/>
  <c r="G158" i="1"/>
  <c r="I158" i="1"/>
  <c r="J158" i="1"/>
  <c r="K158" i="1"/>
  <c r="L158" i="1"/>
  <c r="A159" i="1"/>
  <c r="B159" i="1"/>
  <c r="C159" i="1"/>
  <c r="D159" i="1"/>
  <c r="E159" i="1" s="1"/>
  <c r="F159" i="1"/>
  <c r="G159" i="1"/>
  <c r="I159" i="1"/>
  <c r="J159" i="1"/>
  <c r="K159" i="1"/>
  <c r="L159" i="1"/>
  <c r="A160" i="1"/>
  <c r="B160" i="1"/>
  <c r="C160" i="1"/>
  <c r="D160" i="1"/>
  <c r="E160" i="1" s="1"/>
  <c r="F160" i="1"/>
  <c r="G160" i="1"/>
  <c r="I160" i="1"/>
  <c r="J160" i="1"/>
  <c r="K160" i="1"/>
  <c r="L160" i="1"/>
  <c r="A161" i="1"/>
  <c r="B161" i="1"/>
  <c r="C161" i="1"/>
  <c r="D161" i="1"/>
  <c r="E161" i="1" s="1"/>
  <c r="F161" i="1"/>
  <c r="G161" i="1"/>
  <c r="I161" i="1"/>
  <c r="J161" i="1"/>
  <c r="K161" i="1"/>
  <c r="L161" i="1"/>
  <c r="A162" i="1"/>
  <c r="B162" i="1"/>
  <c r="C162" i="1"/>
  <c r="D162" i="1"/>
  <c r="E162" i="1" s="1"/>
  <c r="F162" i="1"/>
  <c r="G162" i="1"/>
  <c r="I162" i="1"/>
  <c r="J162" i="1"/>
  <c r="K162" i="1"/>
  <c r="L162" i="1"/>
  <c r="A163" i="1"/>
  <c r="B163" i="1"/>
  <c r="C163" i="1"/>
  <c r="D163" i="1"/>
  <c r="E163" i="1" s="1"/>
  <c r="F163" i="1"/>
  <c r="G163" i="1"/>
  <c r="I163" i="1"/>
  <c r="J163" i="1"/>
  <c r="K163" i="1"/>
  <c r="L163" i="1"/>
  <c r="A164" i="1"/>
  <c r="B164" i="1"/>
  <c r="C164" i="1"/>
  <c r="D164" i="1"/>
  <c r="F164" i="1"/>
  <c r="G164" i="1"/>
  <c r="I164" i="1"/>
  <c r="J164" i="1"/>
  <c r="K164" i="1"/>
  <c r="L164" i="1"/>
  <c r="A165" i="1"/>
  <c r="B165" i="1"/>
  <c r="C165" i="1"/>
  <c r="D165" i="1"/>
  <c r="E165" i="1" s="1"/>
  <c r="F165" i="1"/>
  <c r="G165" i="1"/>
  <c r="I165" i="1"/>
  <c r="J165" i="1"/>
  <c r="K165" i="1"/>
  <c r="L165" i="1"/>
  <c r="A166" i="1"/>
  <c r="B166" i="1"/>
  <c r="C166" i="1"/>
  <c r="D166" i="1"/>
  <c r="F166" i="1"/>
  <c r="G166" i="1"/>
  <c r="I166" i="1"/>
  <c r="J166" i="1"/>
  <c r="K166" i="1"/>
  <c r="L166" i="1"/>
  <c r="A167" i="1"/>
  <c r="B167" i="1"/>
  <c r="C167" i="1"/>
  <c r="D167" i="1"/>
  <c r="E167" i="1" s="1"/>
  <c r="F167" i="1"/>
  <c r="G167" i="1"/>
  <c r="I167" i="1"/>
  <c r="J167" i="1"/>
  <c r="K167" i="1"/>
  <c r="L167" i="1"/>
  <c r="A168" i="1"/>
  <c r="B168" i="1"/>
  <c r="C168" i="1"/>
  <c r="D168" i="1"/>
  <c r="F168" i="1"/>
  <c r="G168" i="1"/>
  <c r="I168" i="1"/>
  <c r="J168" i="1"/>
  <c r="K168" i="1"/>
  <c r="L168" i="1"/>
  <c r="A169" i="1"/>
  <c r="B169" i="1"/>
  <c r="C169" i="1"/>
  <c r="D169" i="1"/>
  <c r="E169" i="1" s="1"/>
  <c r="F169" i="1"/>
  <c r="G169" i="1"/>
  <c r="I169" i="1"/>
  <c r="J169" i="1"/>
  <c r="K169" i="1"/>
  <c r="L169" i="1"/>
  <c r="A170" i="1"/>
  <c r="B170" i="1"/>
  <c r="C170" i="1"/>
  <c r="D170" i="1"/>
  <c r="E170" i="1" s="1"/>
  <c r="F170" i="1"/>
  <c r="G170" i="1"/>
  <c r="I170" i="1"/>
  <c r="J170" i="1"/>
  <c r="K170" i="1"/>
  <c r="L170" i="1"/>
  <c r="A171" i="1"/>
  <c r="B171" i="1"/>
  <c r="C171" i="1"/>
  <c r="D171" i="1"/>
  <c r="E171" i="1" s="1"/>
  <c r="F171" i="1"/>
  <c r="G171" i="1"/>
  <c r="I171" i="1"/>
  <c r="J171" i="1"/>
  <c r="K171" i="1"/>
  <c r="L171" i="1"/>
  <c r="A172" i="1"/>
  <c r="B172" i="1"/>
  <c r="C172" i="1"/>
  <c r="D172" i="1"/>
  <c r="F172" i="1"/>
  <c r="G172" i="1"/>
  <c r="I172" i="1"/>
  <c r="J172" i="1"/>
  <c r="K172" i="1"/>
  <c r="L172" i="1"/>
  <c r="A173" i="1"/>
  <c r="B173" i="1"/>
  <c r="C173" i="1"/>
  <c r="D173" i="1"/>
  <c r="E173" i="1" s="1"/>
  <c r="F173" i="1"/>
  <c r="G173" i="1"/>
  <c r="I173" i="1"/>
  <c r="J173" i="1"/>
  <c r="K173" i="1"/>
  <c r="L173" i="1"/>
  <c r="A174" i="1"/>
  <c r="B174" i="1"/>
  <c r="C174" i="1"/>
  <c r="D174" i="1"/>
  <c r="E174" i="1" s="1"/>
  <c r="F174" i="1"/>
  <c r="G174" i="1"/>
  <c r="I174" i="1"/>
  <c r="J174" i="1"/>
  <c r="K174" i="1"/>
  <c r="L174" i="1"/>
  <c r="A175" i="1"/>
  <c r="B175" i="1"/>
  <c r="C175" i="1"/>
  <c r="D175" i="1"/>
  <c r="E175" i="1" s="1"/>
  <c r="F175" i="1"/>
  <c r="G175" i="1"/>
  <c r="I175" i="1"/>
  <c r="J175" i="1"/>
  <c r="K175" i="1"/>
  <c r="L175" i="1"/>
  <c r="A176" i="1"/>
  <c r="B176" i="1"/>
  <c r="C176" i="1"/>
  <c r="D176" i="1"/>
  <c r="E176" i="1" s="1"/>
  <c r="F176" i="1"/>
  <c r="G176" i="1"/>
  <c r="I176" i="1"/>
  <c r="J176" i="1"/>
  <c r="K176" i="1"/>
  <c r="L176" i="1"/>
  <c r="A177" i="1"/>
  <c r="B177" i="1"/>
  <c r="C177" i="1"/>
  <c r="D177" i="1"/>
  <c r="E177" i="1" s="1"/>
  <c r="F177" i="1"/>
  <c r="G177" i="1"/>
  <c r="I177" i="1"/>
  <c r="J177" i="1"/>
  <c r="K177" i="1"/>
  <c r="L177" i="1"/>
  <c r="A178" i="1"/>
  <c r="B178" i="1"/>
  <c r="C178" i="1"/>
  <c r="D178" i="1"/>
  <c r="E178" i="1" s="1"/>
  <c r="F178" i="1"/>
  <c r="G178" i="1"/>
  <c r="I178" i="1"/>
  <c r="J178" i="1"/>
  <c r="K178" i="1"/>
  <c r="L178" i="1"/>
  <c r="A179" i="1"/>
  <c r="B179" i="1"/>
  <c r="C179" i="1"/>
  <c r="D179" i="1"/>
  <c r="E179" i="1" s="1"/>
  <c r="F179" i="1"/>
  <c r="G179" i="1"/>
  <c r="I179" i="1"/>
  <c r="J179" i="1"/>
  <c r="K179" i="1"/>
  <c r="L179" i="1"/>
  <c r="A180" i="1"/>
  <c r="B180" i="1"/>
  <c r="C180" i="1"/>
  <c r="D180" i="1"/>
  <c r="F180" i="1"/>
  <c r="G180" i="1"/>
  <c r="I180" i="1"/>
  <c r="J180" i="1"/>
  <c r="K180" i="1"/>
  <c r="L180" i="1"/>
  <c r="A181" i="1"/>
  <c r="B181" i="1"/>
  <c r="C181" i="1"/>
  <c r="D181" i="1"/>
  <c r="E181" i="1" s="1"/>
  <c r="F181" i="1"/>
  <c r="G181" i="1"/>
  <c r="I181" i="1"/>
  <c r="J181" i="1"/>
  <c r="K181" i="1"/>
  <c r="L181" i="1"/>
  <c r="A182" i="1"/>
  <c r="B182" i="1"/>
  <c r="C182" i="1"/>
  <c r="D182" i="1"/>
  <c r="F182" i="1"/>
  <c r="G182" i="1"/>
  <c r="I182" i="1"/>
  <c r="J182" i="1"/>
  <c r="K182" i="1"/>
  <c r="L182" i="1"/>
  <c r="A183" i="1"/>
  <c r="B183" i="1"/>
  <c r="C183" i="1"/>
  <c r="D183" i="1"/>
  <c r="E183" i="1" s="1"/>
  <c r="F183" i="1"/>
  <c r="G183" i="1"/>
  <c r="I183" i="1"/>
  <c r="J183" i="1"/>
  <c r="K183" i="1"/>
  <c r="L183" i="1"/>
  <c r="A184" i="1"/>
  <c r="B184" i="1"/>
  <c r="C184" i="1"/>
  <c r="D184" i="1"/>
  <c r="E184" i="1" s="1"/>
  <c r="F184" i="1"/>
  <c r="G184" i="1"/>
  <c r="I184" i="1"/>
  <c r="J184" i="1"/>
  <c r="K184" i="1"/>
  <c r="L184" i="1"/>
  <c r="A185" i="1"/>
  <c r="B185" i="1"/>
  <c r="C185" i="1"/>
  <c r="D185" i="1"/>
  <c r="E185" i="1" s="1"/>
  <c r="F185" i="1"/>
  <c r="G185" i="1"/>
  <c r="I185" i="1"/>
  <c r="J185" i="1"/>
  <c r="K185" i="1"/>
  <c r="L185" i="1"/>
  <c r="A186" i="1"/>
  <c r="B186" i="1"/>
  <c r="C186" i="1"/>
  <c r="D186" i="1"/>
  <c r="E186" i="1" s="1"/>
  <c r="F186" i="1"/>
  <c r="G186" i="1"/>
  <c r="I186" i="1"/>
  <c r="J186" i="1"/>
  <c r="K186" i="1"/>
  <c r="L186" i="1"/>
  <c r="A187" i="1"/>
  <c r="B187" i="1"/>
  <c r="C187" i="1"/>
  <c r="D187" i="1"/>
  <c r="E187" i="1" s="1"/>
  <c r="F187" i="1"/>
  <c r="G187" i="1"/>
  <c r="I187" i="1"/>
  <c r="J187" i="1"/>
  <c r="K187" i="1"/>
  <c r="L187" i="1"/>
  <c r="A188" i="1"/>
  <c r="B188" i="1"/>
  <c r="C188" i="1"/>
  <c r="D188" i="1"/>
  <c r="F188" i="1"/>
  <c r="G188" i="1"/>
  <c r="I188" i="1"/>
  <c r="J188" i="1"/>
  <c r="K188" i="1"/>
  <c r="L188" i="1"/>
  <c r="A189" i="1"/>
  <c r="B189" i="1"/>
  <c r="C189" i="1"/>
  <c r="D189" i="1"/>
  <c r="E189" i="1" s="1"/>
  <c r="F189" i="1"/>
  <c r="G189" i="1"/>
  <c r="I189" i="1"/>
  <c r="J189" i="1"/>
  <c r="K189" i="1"/>
  <c r="L189" i="1"/>
  <c r="A190" i="1"/>
  <c r="B190" i="1"/>
  <c r="C190" i="1"/>
  <c r="D190" i="1"/>
  <c r="F190" i="1"/>
  <c r="G190" i="1"/>
  <c r="I190" i="1"/>
  <c r="J190" i="1"/>
  <c r="K190" i="1"/>
  <c r="L190" i="1"/>
  <c r="A191" i="1"/>
  <c r="B191" i="1"/>
  <c r="C191" i="1"/>
  <c r="D191" i="1"/>
  <c r="E191" i="1" s="1"/>
  <c r="F191" i="1"/>
  <c r="G191" i="1"/>
  <c r="I191" i="1"/>
  <c r="J191" i="1"/>
  <c r="K191" i="1"/>
  <c r="L191" i="1"/>
  <c r="A192" i="1"/>
  <c r="B192" i="1"/>
  <c r="C192" i="1"/>
  <c r="D192" i="1"/>
  <c r="E192" i="1" s="1"/>
  <c r="F192" i="1"/>
  <c r="G192" i="1"/>
  <c r="I192" i="1"/>
  <c r="J192" i="1"/>
  <c r="K192" i="1"/>
  <c r="L192" i="1"/>
  <c r="A193" i="1"/>
  <c r="B193" i="1"/>
  <c r="C193" i="1"/>
  <c r="D193" i="1"/>
  <c r="E193" i="1" s="1"/>
  <c r="F193" i="1"/>
  <c r="G193" i="1"/>
  <c r="I193" i="1"/>
  <c r="J193" i="1"/>
  <c r="K193" i="1"/>
  <c r="L193" i="1"/>
  <c r="A194" i="1"/>
  <c r="B194" i="1"/>
  <c r="C194" i="1"/>
  <c r="D194" i="1"/>
  <c r="E194" i="1" s="1"/>
  <c r="F194" i="1"/>
  <c r="G194" i="1"/>
  <c r="I194" i="1"/>
  <c r="J194" i="1"/>
  <c r="K194" i="1"/>
  <c r="L194" i="1"/>
  <c r="A195" i="1"/>
  <c r="B195" i="1"/>
  <c r="C195" i="1"/>
  <c r="D195" i="1"/>
  <c r="E195" i="1" s="1"/>
  <c r="F195" i="1"/>
  <c r="G195" i="1"/>
  <c r="I195" i="1"/>
  <c r="J195" i="1"/>
  <c r="K195" i="1"/>
  <c r="L195" i="1"/>
  <c r="A196" i="1"/>
  <c r="B196" i="1"/>
  <c r="C196" i="1"/>
  <c r="D196" i="1"/>
  <c r="F196" i="1"/>
  <c r="G196" i="1"/>
  <c r="I196" i="1"/>
  <c r="J196" i="1"/>
  <c r="K196" i="1"/>
  <c r="L196" i="1"/>
  <c r="A197" i="1"/>
  <c r="B197" i="1"/>
  <c r="C197" i="1"/>
  <c r="D197" i="1"/>
  <c r="E197" i="1" s="1"/>
  <c r="F197" i="1"/>
  <c r="G197" i="1"/>
  <c r="I197" i="1"/>
  <c r="J197" i="1"/>
  <c r="K197" i="1"/>
  <c r="L197" i="1"/>
  <c r="A198" i="1"/>
  <c r="B198" i="1"/>
  <c r="C198" i="1"/>
  <c r="D198" i="1"/>
  <c r="F198" i="1"/>
  <c r="G198" i="1"/>
  <c r="I198" i="1"/>
  <c r="J198" i="1"/>
  <c r="K198" i="1"/>
  <c r="L198" i="1"/>
  <c r="A199" i="1"/>
  <c r="B199" i="1"/>
  <c r="C199" i="1"/>
  <c r="D199" i="1"/>
  <c r="E199" i="1" s="1"/>
  <c r="F199" i="1"/>
  <c r="G199" i="1"/>
  <c r="I199" i="1"/>
  <c r="J199" i="1"/>
  <c r="K199" i="1"/>
  <c r="L199" i="1"/>
  <c r="A200" i="1"/>
  <c r="B200" i="1"/>
  <c r="C200" i="1"/>
  <c r="D200" i="1"/>
  <c r="E200" i="1" s="1"/>
  <c r="F200" i="1"/>
  <c r="G200" i="1"/>
  <c r="I200" i="1"/>
  <c r="J200" i="1"/>
  <c r="K200" i="1"/>
  <c r="L200" i="1"/>
  <c r="A201" i="1"/>
  <c r="B201" i="1"/>
  <c r="C201" i="1"/>
  <c r="D201" i="1"/>
  <c r="E201" i="1" s="1"/>
  <c r="F201" i="1"/>
  <c r="G201" i="1"/>
  <c r="I201" i="1"/>
  <c r="J201" i="1"/>
  <c r="K201" i="1"/>
  <c r="L201" i="1"/>
  <c r="A202" i="1"/>
  <c r="B202" i="1"/>
  <c r="C202" i="1"/>
  <c r="D202" i="1"/>
  <c r="E202" i="1" s="1"/>
  <c r="F202" i="1"/>
  <c r="G202" i="1"/>
  <c r="I202" i="1"/>
  <c r="J202" i="1"/>
  <c r="K202" i="1"/>
  <c r="L202" i="1"/>
  <c r="A203" i="1"/>
  <c r="B203" i="1"/>
  <c r="C203" i="1"/>
  <c r="D203" i="1"/>
  <c r="E203" i="1" s="1"/>
  <c r="F203" i="1"/>
  <c r="G203" i="1"/>
  <c r="I203" i="1"/>
  <c r="J203" i="1"/>
  <c r="K203" i="1"/>
  <c r="L203" i="1"/>
  <c r="A204" i="1"/>
  <c r="B204" i="1"/>
  <c r="C204" i="1"/>
  <c r="D204" i="1"/>
  <c r="F204" i="1"/>
  <c r="G204" i="1"/>
  <c r="I204" i="1"/>
  <c r="J204" i="1"/>
  <c r="K204" i="1"/>
  <c r="L204" i="1"/>
  <c r="A205" i="1"/>
  <c r="B205" i="1"/>
  <c r="C205" i="1"/>
  <c r="D205" i="1"/>
  <c r="E205" i="1" s="1"/>
  <c r="F205" i="1"/>
  <c r="G205" i="1"/>
  <c r="I205" i="1"/>
  <c r="J205" i="1"/>
  <c r="K205" i="1"/>
  <c r="L205" i="1"/>
  <c r="A206" i="1"/>
  <c r="B206" i="1"/>
  <c r="C206" i="1"/>
  <c r="D206" i="1"/>
  <c r="E206" i="1" s="1"/>
  <c r="F206" i="1"/>
  <c r="G206" i="1"/>
  <c r="I206" i="1"/>
  <c r="J206" i="1"/>
  <c r="K206" i="1"/>
  <c r="L206" i="1"/>
  <c r="A207" i="1"/>
  <c r="B207" i="1"/>
  <c r="C207" i="1"/>
  <c r="D207" i="1"/>
  <c r="E207" i="1" s="1"/>
  <c r="F207" i="1"/>
  <c r="G207" i="1"/>
  <c r="I207" i="1"/>
  <c r="J207" i="1"/>
  <c r="K207" i="1"/>
  <c r="L207" i="1"/>
  <c r="A208" i="1"/>
  <c r="B208" i="1"/>
  <c r="C208" i="1"/>
  <c r="D208" i="1"/>
  <c r="F208" i="1"/>
  <c r="G208" i="1"/>
  <c r="I208" i="1"/>
  <c r="J208" i="1"/>
  <c r="K208" i="1"/>
  <c r="L208" i="1"/>
  <c r="A209" i="1"/>
  <c r="B209" i="1"/>
  <c r="C209" i="1"/>
  <c r="D209" i="1"/>
  <c r="E209" i="1" s="1"/>
  <c r="F209" i="1"/>
  <c r="G209" i="1"/>
  <c r="I209" i="1"/>
  <c r="J209" i="1"/>
  <c r="K209" i="1"/>
  <c r="L209" i="1"/>
  <c r="A210" i="1"/>
  <c r="B210" i="1"/>
  <c r="C210" i="1"/>
  <c r="D210" i="1"/>
  <c r="E210" i="1" s="1"/>
  <c r="F210" i="1"/>
  <c r="G210" i="1"/>
  <c r="I210" i="1"/>
  <c r="J210" i="1"/>
  <c r="K210" i="1"/>
  <c r="L210" i="1"/>
  <c r="A211" i="1"/>
  <c r="B211" i="1"/>
  <c r="C211" i="1"/>
  <c r="D211" i="1"/>
  <c r="E211" i="1" s="1"/>
  <c r="F211" i="1"/>
  <c r="G211" i="1"/>
  <c r="I211" i="1"/>
  <c r="J211" i="1"/>
  <c r="K211" i="1"/>
  <c r="L211" i="1"/>
  <c r="A212" i="1"/>
  <c r="B212" i="1"/>
  <c r="C212" i="1"/>
  <c r="D212" i="1"/>
  <c r="F212" i="1"/>
  <c r="G212" i="1"/>
  <c r="I212" i="1"/>
  <c r="J212" i="1"/>
  <c r="K212" i="1"/>
  <c r="L212" i="1"/>
  <c r="A213" i="1"/>
  <c r="B213" i="1"/>
  <c r="C213" i="1"/>
  <c r="D213" i="1"/>
  <c r="E213" i="1" s="1"/>
  <c r="F213" i="1"/>
  <c r="G213" i="1"/>
  <c r="I213" i="1"/>
  <c r="J213" i="1"/>
  <c r="K213" i="1"/>
  <c r="L213" i="1"/>
  <c r="A214" i="1"/>
  <c r="B214" i="1"/>
  <c r="C214" i="1"/>
  <c r="D214" i="1"/>
  <c r="F214" i="1"/>
  <c r="G214" i="1"/>
  <c r="I214" i="1"/>
  <c r="J214" i="1"/>
  <c r="K214" i="1"/>
  <c r="L214" i="1"/>
  <c r="A215" i="1"/>
  <c r="B215" i="1"/>
  <c r="C215" i="1"/>
  <c r="D215" i="1"/>
  <c r="E215" i="1" s="1"/>
  <c r="F215" i="1"/>
  <c r="G215" i="1"/>
  <c r="I215" i="1"/>
  <c r="J215" i="1"/>
  <c r="K215" i="1"/>
  <c r="L215" i="1"/>
  <c r="A216" i="1"/>
  <c r="B216" i="1"/>
  <c r="C216" i="1"/>
  <c r="D216" i="1"/>
  <c r="E216" i="1" s="1"/>
  <c r="F216" i="1"/>
  <c r="G216" i="1"/>
  <c r="I216" i="1"/>
  <c r="J216" i="1"/>
  <c r="K216" i="1"/>
  <c r="L216" i="1"/>
  <c r="A217" i="1"/>
  <c r="B217" i="1"/>
  <c r="C217" i="1"/>
  <c r="D217" i="1"/>
  <c r="E217" i="1" s="1"/>
  <c r="F217" i="1"/>
  <c r="G217" i="1"/>
  <c r="I217" i="1"/>
  <c r="J217" i="1"/>
  <c r="K217" i="1"/>
  <c r="L217" i="1"/>
  <c r="A218" i="1"/>
  <c r="B218" i="1"/>
  <c r="C218" i="1"/>
  <c r="D218" i="1"/>
  <c r="E218" i="1" s="1"/>
  <c r="F218" i="1"/>
  <c r="G218" i="1"/>
  <c r="I218" i="1"/>
  <c r="J218" i="1"/>
  <c r="K218" i="1"/>
  <c r="L218" i="1"/>
  <c r="A219" i="1"/>
  <c r="B219" i="1"/>
  <c r="C219" i="1"/>
  <c r="D219" i="1"/>
  <c r="E219" i="1" s="1"/>
  <c r="F219" i="1"/>
  <c r="G219" i="1"/>
  <c r="I219" i="1"/>
  <c r="J219" i="1"/>
  <c r="K219" i="1"/>
  <c r="L219" i="1"/>
  <c r="A220" i="1"/>
  <c r="B220" i="1"/>
  <c r="C220" i="1"/>
  <c r="D220" i="1"/>
  <c r="F220" i="1"/>
  <c r="G220" i="1"/>
  <c r="I220" i="1"/>
  <c r="J220" i="1"/>
  <c r="K220" i="1"/>
  <c r="L220" i="1"/>
  <c r="A221" i="1"/>
  <c r="B221" i="1"/>
  <c r="C221" i="1"/>
  <c r="D221" i="1"/>
  <c r="E221" i="1" s="1"/>
  <c r="F221" i="1"/>
  <c r="G221" i="1"/>
  <c r="I221" i="1"/>
  <c r="J221" i="1"/>
  <c r="K221" i="1"/>
  <c r="L221" i="1"/>
  <c r="A222" i="1"/>
  <c r="B222" i="1"/>
  <c r="C222" i="1"/>
  <c r="D222" i="1"/>
  <c r="E222" i="1" s="1"/>
  <c r="F222" i="1"/>
  <c r="G222" i="1"/>
  <c r="I222" i="1"/>
  <c r="J222" i="1"/>
  <c r="K222" i="1"/>
  <c r="L222" i="1"/>
  <c r="A223" i="1"/>
  <c r="B223" i="1"/>
  <c r="C223" i="1"/>
  <c r="D223" i="1"/>
  <c r="E223" i="1" s="1"/>
  <c r="F223" i="1"/>
  <c r="G223" i="1"/>
  <c r="I223" i="1"/>
  <c r="J223" i="1"/>
  <c r="K223" i="1"/>
  <c r="L223" i="1"/>
  <c r="A224" i="1"/>
  <c r="B224" i="1"/>
  <c r="C224" i="1"/>
  <c r="D224" i="1"/>
  <c r="E224" i="1" s="1"/>
  <c r="F224" i="1"/>
  <c r="G224" i="1"/>
  <c r="I224" i="1"/>
  <c r="J224" i="1"/>
  <c r="K224" i="1"/>
  <c r="L224" i="1"/>
  <c r="A225" i="1"/>
  <c r="B225" i="1"/>
  <c r="C225" i="1"/>
  <c r="D225" i="1"/>
  <c r="E225" i="1" s="1"/>
  <c r="F225" i="1"/>
  <c r="G225" i="1"/>
  <c r="I225" i="1"/>
  <c r="J225" i="1"/>
  <c r="K225" i="1"/>
  <c r="L225" i="1"/>
  <c r="A226" i="1"/>
  <c r="B226" i="1"/>
  <c r="C226" i="1"/>
  <c r="D226" i="1"/>
  <c r="E226" i="1" s="1"/>
  <c r="F226" i="1"/>
  <c r="G226" i="1"/>
  <c r="I226" i="1"/>
  <c r="J226" i="1"/>
  <c r="K226" i="1"/>
  <c r="L226" i="1"/>
  <c r="A227" i="1"/>
  <c r="B227" i="1"/>
  <c r="C227" i="1"/>
  <c r="D227" i="1"/>
  <c r="E227" i="1" s="1"/>
  <c r="F227" i="1"/>
  <c r="G227" i="1"/>
  <c r="I227" i="1"/>
  <c r="J227" i="1"/>
  <c r="K227" i="1"/>
  <c r="L227" i="1"/>
  <c r="A228" i="1"/>
  <c r="B228" i="1"/>
  <c r="C228" i="1"/>
  <c r="D228" i="1"/>
  <c r="F228" i="1"/>
  <c r="G228" i="1"/>
  <c r="I228" i="1"/>
  <c r="J228" i="1"/>
  <c r="K228" i="1"/>
  <c r="L228" i="1"/>
  <c r="A229" i="1"/>
  <c r="B229" i="1"/>
  <c r="C229" i="1"/>
  <c r="D229" i="1"/>
  <c r="E229" i="1" s="1"/>
  <c r="F229" i="1"/>
  <c r="G229" i="1"/>
  <c r="I229" i="1"/>
  <c r="J229" i="1"/>
  <c r="K229" i="1"/>
  <c r="L229" i="1"/>
  <c r="A230" i="1"/>
  <c r="B230" i="1"/>
  <c r="C230" i="1"/>
  <c r="D230" i="1"/>
  <c r="F230" i="1"/>
  <c r="G230" i="1"/>
  <c r="I230" i="1"/>
  <c r="J230" i="1"/>
  <c r="K230" i="1"/>
  <c r="L230" i="1"/>
  <c r="A231" i="1"/>
  <c r="B231" i="1"/>
  <c r="C231" i="1"/>
  <c r="D231" i="1"/>
  <c r="E231" i="1" s="1"/>
  <c r="F231" i="1"/>
  <c r="G231" i="1"/>
  <c r="I231" i="1"/>
  <c r="J231" i="1"/>
  <c r="K231" i="1"/>
  <c r="L231" i="1"/>
  <c r="A232" i="1"/>
  <c r="B232" i="1"/>
  <c r="C232" i="1"/>
  <c r="D232" i="1"/>
  <c r="F232" i="1"/>
  <c r="G232" i="1"/>
  <c r="I232" i="1"/>
  <c r="J232" i="1"/>
  <c r="K232" i="1"/>
  <c r="L232" i="1"/>
  <c r="A233" i="1"/>
  <c r="B233" i="1"/>
  <c r="C233" i="1"/>
  <c r="D233" i="1"/>
  <c r="E233" i="1" s="1"/>
  <c r="F233" i="1"/>
  <c r="G233" i="1"/>
  <c r="I233" i="1"/>
  <c r="J233" i="1"/>
  <c r="K233" i="1"/>
  <c r="L233" i="1"/>
  <c r="A234" i="1"/>
  <c r="B234" i="1"/>
  <c r="C234" i="1"/>
  <c r="D234" i="1"/>
  <c r="E234" i="1" s="1"/>
  <c r="F234" i="1"/>
  <c r="G234" i="1"/>
  <c r="I234" i="1"/>
  <c r="J234" i="1"/>
  <c r="K234" i="1"/>
  <c r="L234" i="1"/>
  <c r="A235" i="1"/>
  <c r="B235" i="1"/>
  <c r="C235" i="1"/>
  <c r="D235" i="1"/>
  <c r="E235" i="1" s="1"/>
  <c r="F235" i="1"/>
  <c r="G235" i="1"/>
  <c r="I235" i="1"/>
  <c r="J235" i="1"/>
  <c r="K235" i="1"/>
  <c r="L235" i="1"/>
  <c r="A236" i="1"/>
  <c r="B236" i="1"/>
  <c r="C236" i="1"/>
  <c r="D236" i="1"/>
  <c r="F236" i="1"/>
  <c r="G236" i="1"/>
  <c r="I236" i="1"/>
  <c r="J236" i="1"/>
  <c r="K236" i="1"/>
  <c r="L236" i="1"/>
  <c r="A237" i="1"/>
  <c r="B237" i="1"/>
  <c r="C237" i="1"/>
  <c r="D237" i="1"/>
  <c r="E237" i="1" s="1"/>
  <c r="F237" i="1"/>
  <c r="G237" i="1"/>
  <c r="I237" i="1"/>
  <c r="J237" i="1"/>
  <c r="K237" i="1"/>
  <c r="L237" i="1"/>
  <c r="A238" i="1"/>
  <c r="B238" i="1"/>
  <c r="C238" i="1"/>
  <c r="D238" i="1"/>
  <c r="E238" i="1" s="1"/>
  <c r="F238" i="1"/>
  <c r="G238" i="1"/>
  <c r="I238" i="1"/>
  <c r="J238" i="1"/>
  <c r="K238" i="1"/>
  <c r="L238" i="1"/>
  <c r="A239" i="1"/>
  <c r="B239" i="1"/>
  <c r="C239" i="1"/>
  <c r="D239" i="1"/>
  <c r="E239" i="1" s="1"/>
  <c r="F239" i="1"/>
  <c r="G239" i="1"/>
  <c r="I239" i="1"/>
  <c r="J239" i="1"/>
  <c r="K239" i="1"/>
  <c r="L239" i="1"/>
  <c r="A240" i="1"/>
  <c r="B240" i="1"/>
  <c r="C240" i="1"/>
  <c r="D240" i="1"/>
  <c r="E240" i="1" s="1"/>
  <c r="F240" i="1"/>
  <c r="G240" i="1"/>
  <c r="I240" i="1"/>
  <c r="J240" i="1"/>
  <c r="K240" i="1"/>
  <c r="L240" i="1"/>
  <c r="A241" i="1"/>
  <c r="B241" i="1"/>
  <c r="C241" i="1"/>
  <c r="D241" i="1"/>
  <c r="E241" i="1" s="1"/>
  <c r="F241" i="1"/>
  <c r="G241" i="1"/>
  <c r="I241" i="1"/>
  <c r="J241" i="1"/>
  <c r="K241" i="1"/>
  <c r="L241" i="1"/>
  <c r="A242" i="1"/>
  <c r="B242" i="1"/>
  <c r="C242" i="1"/>
  <c r="D242" i="1"/>
  <c r="E242" i="1" s="1"/>
  <c r="F242" i="1"/>
  <c r="G242" i="1"/>
  <c r="I242" i="1"/>
  <c r="J242" i="1"/>
  <c r="K242" i="1"/>
  <c r="L242" i="1"/>
  <c r="A243" i="1"/>
  <c r="B243" i="1"/>
  <c r="C243" i="1"/>
  <c r="D243" i="1"/>
  <c r="E243" i="1" s="1"/>
  <c r="F243" i="1"/>
  <c r="G243" i="1"/>
  <c r="I243" i="1"/>
  <c r="J243" i="1"/>
  <c r="K243" i="1"/>
  <c r="L243" i="1"/>
  <c r="A244" i="1"/>
  <c r="B244" i="1"/>
  <c r="C244" i="1"/>
  <c r="D244" i="1"/>
  <c r="F244" i="1"/>
  <c r="G244" i="1"/>
  <c r="I244" i="1"/>
  <c r="J244" i="1"/>
  <c r="K244" i="1"/>
  <c r="L244" i="1"/>
  <c r="A245" i="1"/>
  <c r="B245" i="1"/>
  <c r="C245" i="1"/>
  <c r="D245" i="1"/>
  <c r="E245" i="1" s="1"/>
  <c r="F245" i="1"/>
  <c r="G245" i="1"/>
  <c r="I245" i="1"/>
  <c r="J245" i="1"/>
  <c r="K245" i="1"/>
  <c r="L245" i="1"/>
  <c r="A246" i="1"/>
  <c r="B246" i="1"/>
  <c r="C246" i="1"/>
  <c r="D246" i="1"/>
  <c r="F246" i="1"/>
  <c r="G246" i="1"/>
  <c r="I246" i="1"/>
  <c r="J246" i="1"/>
  <c r="K246" i="1"/>
  <c r="L246" i="1"/>
  <c r="A247" i="1"/>
  <c r="B247" i="1"/>
  <c r="C247" i="1"/>
  <c r="D247" i="1"/>
  <c r="E247" i="1" s="1"/>
  <c r="F247" i="1"/>
  <c r="G247" i="1"/>
  <c r="I247" i="1"/>
  <c r="J247" i="1"/>
  <c r="K247" i="1"/>
  <c r="L247" i="1"/>
  <c r="A248" i="1"/>
  <c r="B248" i="1"/>
  <c r="C248" i="1"/>
  <c r="D248" i="1"/>
  <c r="E248" i="1" s="1"/>
  <c r="F248" i="1"/>
  <c r="G248" i="1"/>
  <c r="I248" i="1"/>
  <c r="J248" i="1"/>
  <c r="K248" i="1"/>
  <c r="L248" i="1"/>
  <c r="A249" i="1"/>
  <c r="B249" i="1"/>
  <c r="C249" i="1"/>
  <c r="D249" i="1"/>
  <c r="E249" i="1" s="1"/>
  <c r="F249" i="1"/>
  <c r="G249" i="1"/>
  <c r="I249" i="1"/>
  <c r="J249" i="1"/>
  <c r="K249" i="1"/>
  <c r="L249" i="1"/>
  <c r="A250" i="1"/>
  <c r="B250" i="1"/>
  <c r="C250" i="1"/>
  <c r="D250" i="1"/>
  <c r="E250" i="1" s="1"/>
  <c r="F250" i="1"/>
  <c r="G250" i="1"/>
  <c r="I250" i="1"/>
  <c r="J250" i="1"/>
  <c r="K250" i="1"/>
  <c r="L250" i="1"/>
  <c r="A251" i="1"/>
  <c r="B251" i="1"/>
  <c r="C251" i="1"/>
  <c r="D251" i="1"/>
  <c r="E251" i="1" s="1"/>
  <c r="F251" i="1"/>
  <c r="G251" i="1"/>
  <c r="I251" i="1"/>
  <c r="J251" i="1"/>
  <c r="K251" i="1"/>
  <c r="L251" i="1"/>
  <c r="A252" i="1"/>
  <c r="B252" i="1"/>
  <c r="C252" i="1"/>
  <c r="D252" i="1"/>
  <c r="F252" i="1"/>
  <c r="G252" i="1"/>
  <c r="I252" i="1"/>
  <c r="J252" i="1"/>
  <c r="K252" i="1"/>
  <c r="L252" i="1"/>
  <c r="A253" i="1"/>
  <c r="B253" i="1"/>
  <c r="C253" i="1"/>
  <c r="D253" i="1"/>
  <c r="E253" i="1" s="1"/>
  <c r="F253" i="1"/>
  <c r="G253" i="1"/>
  <c r="I253" i="1"/>
  <c r="J253" i="1"/>
  <c r="K253" i="1"/>
  <c r="L253" i="1"/>
  <c r="A254" i="1"/>
  <c r="B254" i="1"/>
  <c r="C254" i="1"/>
  <c r="D254" i="1"/>
  <c r="F254" i="1"/>
  <c r="G254" i="1"/>
  <c r="I254" i="1"/>
  <c r="J254" i="1"/>
  <c r="K254" i="1"/>
  <c r="L254" i="1"/>
  <c r="A255" i="1"/>
  <c r="B255" i="1"/>
  <c r="C255" i="1"/>
  <c r="D255" i="1"/>
  <c r="E255" i="1" s="1"/>
  <c r="F255" i="1"/>
  <c r="G255" i="1"/>
  <c r="I255" i="1"/>
  <c r="J255" i="1"/>
  <c r="K255" i="1"/>
  <c r="L255" i="1"/>
  <c r="A256" i="1"/>
  <c r="B256" i="1"/>
  <c r="C256" i="1"/>
  <c r="D256" i="1"/>
  <c r="E256" i="1" s="1"/>
  <c r="F256" i="1"/>
  <c r="G256" i="1"/>
  <c r="I256" i="1"/>
  <c r="J256" i="1"/>
  <c r="K256" i="1"/>
  <c r="L256" i="1"/>
  <c r="A257" i="1"/>
  <c r="B257" i="1"/>
  <c r="C257" i="1"/>
  <c r="D257" i="1"/>
  <c r="E257" i="1" s="1"/>
  <c r="F257" i="1"/>
  <c r="G257" i="1"/>
  <c r="I257" i="1"/>
  <c r="J257" i="1"/>
  <c r="K257" i="1"/>
  <c r="L257" i="1"/>
  <c r="A258" i="1"/>
  <c r="B258" i="1"/>
  <c r="C258" i="1"/>
  <c r="D258" i="1"/>
  <c r="E258" i="1" s="1"/>
  <c r="F258" i="1"/>
  <c r="G258" i="1"/>
  <c r="I258" i="1"/>
  <c r="J258" i="1"/>
  <c r="K258" i="1"/>
  <c r="L258" i="1"/>
  <c r="A259" i="1"/>
  <c r="B259" i="1"/>
  <c r="C259" i="1"/>
  <c r="D259" i="1"/>
  <c r="E259" i="1" s="1"/>
  <c r="F259" i="1"/>
  <c r="G259" i="1"/>
  <c r="I259" i="1"/>
  <c r="J259" i="1"/>
  <c r="K259" i="1"/>
  <c r="L259" i="1"/>
  <c r="A260" i="1"/>
  <c r="B260" i="1"/>
  <c r="C260" i="1"/>
  <c r="D260" i="1"/>
  <c r="F260" i="1"/>
  <c r="G260" i="1"/>
  <c r="I260" i="1"/>
  <c r="J260" i="1"/>
  <c r="K260" i="1"/>
  <c r="L260" i="1"/>
  <c r="A261" i="1"/>
  <c r="B261" i="1"/>
  <c r="C261" i="1"/>
  <c r="D261" i="1"/>
  <c r="E261" i="1" s="1"/>
  <c r="F261" i="1"/>
  <c r="G261" i="1"/>
  <c r="I261" i="1"/>
  <c r="J261" i="1"/>
  <c r="K261" i="1"/>
  <c r="L261" i="1"/>
  <c r="A262" i="1"/>
  <c r="B262" i="1"/>
  <c r="C262" i="1"/>
  <c r="D262" i="1"/>
  <c r="F262" i="1"/>
  <c r="G262" i="1"/>
  <c r="I262" i="1"/>
  <c r="J262" i="1"/>
  <c r="K262" i="1"/>
  <c r="L262" i="1"/>
  <c r="A263" i="1"/>
  <c r="B263" i="1"/>
  <c r="C263" i="1"/>
  <c r="D263" i="1"/>
  <c r="E263" i="1" s="1"/>
  <c r="F263" i="1"/>
  <c r="G263" i="1"/>
  <c r="I263" i="1"/>
  <c r="J263" i="1"/>
  <c r="K263" i="1"/>
  <c r="L263" i="1"/>
  <c r="A264" i="1"/>
  <c r="B264" i="1"/>
  <c r="C264" i="1"/>
  <c r="D264" i="1"/>
  <c r="E264" i="1" s="1"/>
  <c r="F264" i="1"/>
  <c r="G264" i="1"/>
  <c r="I264" i="1"/>
  <c r="J264" i="1"/>
  <c r="K264" i="1"/>
  <c r="L264" i="1"/>
  <c r="A265" i="1"/>
  <c r="B265" i="1"/>
  <c r="C265" i="1"/>
  <c r="D265" i="1"/>
  <c r="E265" i="1" s="1"/>
  <c r="F265" i="1"/>
  <c r="G265" i="1"/>
  <c r="I265" i="1"/>
  <c r="J265" i="1"/>
  <c r="K265" i="1"/>
  <c r="L265" i="1"/>
  <c r="A266" i="1"/>
  <c r="B266" i="1"/>
  <c r="C266" i="1"/>
  <c r="D266" i="1"/>
  <c r="E266" i="1" s="1"/>
  <c r="F266" i="1"/>
  <c r="G266" i="1"/>
  <c r="I266" i="1"/>
  <c r="J266" i="1"/>
  <c r="K266" i="1"/>
  <c r="L266" i="1"/>
  <c r="A267" i="1"/>
  <c r="B267" i="1"/>
  <c r="C267" i="1"/>
  <c r="D267" i="1"/>
  <c r="E267" i="1" s="1"/>
  <c r="F267" i="1"/>
  <c r="G267" i="1"/>
  <c r="I267" i="1"/>
  <c r="J267" i="1"/>
  <c r="K267" i="1"/>
  <c r="L267" i="1"/>
  <c r="A268" i="1"/>
  <c r="B268" i="1"/>
  <c r="C268" i="1"/>
  <c r="D268" i="1"/>
  <c r="F268" i="1"/>
  <c r="G268" i="1"/>
  <c r="I268" i="1"/>
  <c r="J268" i="1"/>
  <c r="K268" i="1"/>
  <c r="L268" i="1"/>
  <c r="A269" i="1"/>
  <c r="B269" i="1"/>
  <c r="C269" i="1"/>
  <c r="D269" i="1"/>
  <c r="E269" i="1" s="1"/>
  <c r="F269" i="1"/>
  <c r="G269" i="1"/>
  <c r="I269" i="1"/>
  <c r="J269" i="1"/>
  <c r="K269" i="1"/>
  <c r="L269" i="1"/>
  <c r="A270" i="1"/>
  <c r="B270" i="1"/>
  <c r="C270" i="1"/>
  <c r="D270" i="1"/>
  <c r="E270" i="1" s="1"/>
  <c r="F270" i="1"/>
  <c r="G270" i="1"/>
  <c r="I270" i="1"/>
  <c r="J270" i="1"/>
  <c r="K270" i="1"/>
  <c r="L270" i="1"/>
  <c r="A271" i="1"/>
  <c r="B271" i="1"/>
  <c r="C271" i="1"/>
  <c r="D271" i="1"/>
  <c r="E271" i="1" s="1"/>
  <c r="F271" i="1"/>
  <c r="G271" i="1"/>
  <c r="I271" i="1"/>
  <c r="J271" i="1"/>
  <c r="K271" i="1"/>
  <c r="L271" i="1"/>
  <c r="A272" i="1"/>
  <c r="B272" i="1"/>
  <c r="C272" i="1"/>
  <c r="D272" i="1"/>
  <c r="F272" i="1"/>
  <c r="G272" i="1"/>
  <c r="I272" i="1"/>
  <c r="J272" i="1"/>
  <c r="K272" i="1"/>
  <c r="L272" i="1"/>
  <c r="A273" i="1"/>
  <c r="B273" i="1"/>
  <c r="C273" i="1"/>
  <c r="D273" i="1"/>
  <c r="E273" i="1" s="1"/>
  <c r="F273" i="1"/>
  <c r="G273" i="1"/>
  <c r="I273" i="1"/>
  <c r="J273" i="1"/>
  <c r="K273" i="1"/>
  <c r="L273" i="1"/>
  <c r="A274" i="1"/>
  <c r="B274" i="1"/>
  <c r="C274" i="1"/>
  <c r="D274" i="1"/>
  <c r="E274" i="1" s="1"/>
  <c r="F274" i="1"/>
  <c r="G274" i="1"/>
  <c r="I274" i="1"/>
  <c r="J274" i="1"/>
  <c r="K274" i="1"/>
  <c r="L274" i="1"/>
  <c r="A275" i="1"/>
  <c r="B275" i="1"/>
  <c r="C275" i="1"/>
  <c r="D275" i="1"/>
  <c r="E275" i="1" s="1"/>
  <c r="F275" i="1"/>
  <c r="G275" i="1"/>
  <c r="I275" i="1"/>
  <c r="J275" i="1"/>
  <c r="K275" i="1"/>
  <c r="L275" i="1"/>
  <c r="A276" i="1"/>
  <c r="B276" i="1"/>
  <c r="C276" i="1"/>
  <c r="D276" i="1"/>
  <c r="F276" i="1"/>
  <c r="G276" i="1"/>
  <c r="I276" i="1"/>
  <c r="J276" i="1"/>
  <c r="K276" i="1"/>
  <c r="L276" i="1"/>
  <c r="A277" i="1"/>
  <c r="B277" i="1"/>
  <c r="C277" i="1"/>
  <c r="D277" i="1"/>
  <c r="E277" i="1" s="1"/>
  <c r="F277" i="1"/>
  <c r="G277" i="1"/>
  <c r="I277" i="1"/>
  <c r="J277" i="1"/>
  <c r="K277" i="1"/>
  <c r="L277" i="1"/>
  <c r="A278" i="1"/>
  <c r="B278" i="1"/>
  <c r="C278" i="1"/>
  <c r="D278" i="1"/>
  <c r="F278" i="1"/>
  <c r="G278" i="1"/>
  <c r="I278" i="1"/>
  <c r="J278" i="1"/>
  <c r="K278" i="1"/>
  <c r="L278" i="1"/>
  <c r="A279" i="1"/>
  <c r="B279" i="1"/>
  <c r="C279" i="1"/>
  <c r="D279" i="1"/>
  <c r="E279" i="1" s="1"/>
  <c r="F279" i="1"/>
  <c r="G279" i="1"/>
  <c r="I279" i="1"/>
  <c r="J279" i="1"/>
  <c r="K279" i="1"/>
  <c r="L279" i="1"/>
  <c r="A280" i="1"/>
  <c r="B280" i="1"/>
  <c r="C280" i="1"/>
  <c r="D280" i="1"/>
  <c r="E280" i="1" s="1"/>
  <c r="F280" i="1"/>
  <c r="G280" i="1"/>
  <c r="I280" i="1"/>
  <c r="J280" i="1"/>
  <c r="K280" i="1"/>
  <c r="L280" i="1"/>
  <c r="A281" i="1"/>
  <c r="B281" i="1"/>
  <c r="C281" i="1"/>
  <c r="D281" i="1"/>
  <c r="E281" i="1" s="1"/>
  <c r="F281" i="1"/>
  <c r="G281" i="1"/>
  <c r="I281" i="1"/>
  <c r="J281" i="1"/>
  <c r="K281" i="1"/>
  <c r="L281" i="1"/>
  <c r="A282" i="1"/>
  <c r="B282" i="1"/>
  <c r="C282" i="1"/>
  <c r="D282" i="1"/>
  <c r="E282" i="1" s="1"/>
  <c r="F282" i="1"/>
  <c r="G282" i="1"/>
  <c r="I282" i="1"/>
  <c r="J282" i="1"/>
  <c r="K282" i="1"/>
  <c r="L282" i="1"/>
  <c r="A283" i="1"/>
  <c r="B283" i="1"/>
  <c r="C283" i="1"/>
  <c r="D283" i="1"/>
  <c r="E283" i="1" s="1"/>
  <c r="F283" i="1"/>
  <c r="G283" i="1"/>
  <c r="I283" i="1"/>
  <c r="J283" i="1"/>
  <c r="K283" i="1"/>
  <c r="L283" i="1"/>
  <c r="A284" i="1"/>
  <c r="B284" i="1"/>
  <c r="C284" i="1"/>
  <c r="D284" i="1"/>
  <c r="F284" i="1"/>
  <c r="G284" i="1"/>
  <c r="I284" i="1"/>
  <c r="J284" i="1"/>
  <c r="K284" i="1"/>
  <c r="L284" i="1"/>
  <c r="A285" i="1"/>
  <c r="B285" i="1"/>
  <c r="C285" i="1"/>
  <c r="D285" i="1"/>
  <c r="E285" i="1" s="1"/>
  <c r="F285" i="1"/>
  <c r="G285" i="1"/>
  <c r="I285" i="1"/>
  <c r="J285" i="1"/>
  <c r="K285" i="1"/>
  <c r="L285" i="1"/>
  <c r="A286" i="1"/>
  <c r="B286" i="1"/>
  <c r="C286" i="1"/>
  <c r="D286" i="1"/>
  <c r="E286" i="1" s="1"/>
  <c r="F286" i="1"/>
  <c r="G286" i="1"/>
  <c r="I286" i="1"/>
  <c r="J286" i="1"/>
  <c r="K286" i="1"/>
  <c r="L286" i="1"/>
  <c r="A287" i="1"/>
  <c r="B287" i="1"/>
  <c r="C287" i="1"/>
  <c r="D287" i="1"/>
  <c r="E287" i="1" s="1"/>
  <c r="F287" i="1"/>
  <c r="G287" i="1"/>
  <c r="I287" i="1"/>
  <c r="J287" i="1"/>
  <c r="K287" i="1"/>
  <c r="L287" i="1"/>
  <c r="A288" i="1"/>
  <c r="B288" i="1"/>
  <c r="C288" i="1"/>
  <c r="D288" i="1"/>
  <c r="E288" i="1" s="1"/>
  <c r="F288" i="1"/>
  <c r="G288" i="1"/>
  <c r="I288" i="1"/>
  <c r="J288" i="1"/>
  <c r="K288" i="1"/>
  <c r="L288" i="1"/>
  <c r="A289" i="1"/>
  <c r="B289" i="1"/>
  <c r="C289" i="1"/>
  <c r="D289" i="1"/>
  <c r="E289" i="1" s="1"/>
  <c r="F289" i="1"/>
  <c r="G289" i="1"/>
  <c r="I289" i="1"/>
  <c r="J289" i="1"/>
  <c r="K289" i="1"/>
  <c r="L289" i="1"/>
  <c r="A290" i="1"/>
  <c r="B290" i="1"/>
  <c r="C290" i="1"/>
  <c r="D290" i="1"/>
  <c r="E290" i="1" s="1"/>
  <c r="F290" i="1"/>
  <c r="G290" i="1"/>
  <c r="I290" i="1"/>
  <c r="J290" i="1"/>
  <c r="K290" i="1"/>
  <c r="L290" i="1"/>
  <c r="A291" i="1"/>
  <c r="B291" i="1"/>
  <c r="C291" i="1"/>
  <c r="D291" i="1"/>
  <c r="E291" i="1" s="1"/>
  <c r="F291" i="1"/>
  <c r="G291" i="1"/>
  <c r="I291" i="1"/>
  <c r="J291" i="1"/>
  <c r="K291" i="1"/>
  <c r="L291" i="1"/>
  <c r="A292" i="1"/>
  <c r="B292" i="1"/>
  <c r="C292" i="1"/>
  <c r="D292" i="1"/>
  <c r="F292" i="1"/>
  <c r="G292" i="1"/>
  <c r="I292" i="1"/>
  <c r="J292" i="1"/>
  <c r="K292" i="1"/>
  <c r="L292" i="1"/>
  <c r="A293" i="1"/>
  <c r="B293" i="1"/>
  <c r="C293" i="1"/>
  <c r="D293" i="1"/>
  <c r="E293" i="1" s="1"/>
  <c r="F293" i="1"/>
  <c r="G293" i="1"/>
  <c r="I293" i="1"/>
  <c r="J293" i="1"/>
  <c r="K293" i="1"/>
  <c r="L293" i="1"/>
  <c r="A294" i="1"/>
  <c r="B294" i="1"/>
  <c r="C294" i="1"/>
  <c r="D294" i="1"/>
  <c r="F294" i="1"/>
  <c r="G294" i="1"/>
  <c r="I294" i="1"/>
  <c r="J294" i="1"/>
  <c r="K294" i="1"/>
  <c r="L294" i="1"/>
  <c r="A295" i="1"/>
  <c r="B295" i="1"/>
  <c r="C295" i="1"/>
  <c r="D295" i="1"/>
  <c r="E295" i="1" s="1"/>
  <c r="F295" i="1"/>
  <c r="G295" i="1"/>
  <c r="I295" i="1"/>
  <c r="J295" i="1"/>
  <c r="K295" i="1"/>
  <c r="L295" i="1"/>
  <c r="A296" i="1"/>
  <c r="B296" i="1"/>
  <c r="C296" i="1"/>
  <c r="D296" i="1"/>
  <c r="F296" i="1"/>
  <c r="G296" i="1"/>
  <c r="I296" i="1"/>
  <c r="J296" i="1"/>
  <c r="K296" i="1"/>
  <c r="L296" i="1"/>
  <c r="A297" i="1"/>
  <c r="B297" i="1"/>
  <c r="C297" i="1"/>
  <c r="D297" i="1"/>
  <c r="E297" i="1" s="1"/>
  <c r="F297" i="1"/>
  <c r="G297" i="1"/>
  <c r="I297" i="1"/>
  <c r="J297" i="1"/>
  <c r="K297" i="1"/>
  <c r="L297" i="1"/>
  <c r="A298" i="1"/>
  <c r="B298" i="1"/>
  <c r="C298" i="1"/>
  <c r="D298" i="1"/>
  <c r="E298" i="1" s="1"/>
  <c r="F298" i="1"/>
  <c r="G298" i="1"/>
  <c r="I298" i="1"/>
  <c r="J298" i="1"/>
  <c r="K298" i="1"/>
  <c r="L298" i="1"/>
  <c r="A299" i="1"/>
  <c r="B299" i="1"/>
  <c r="C299" i="1"/>
  <c r="D299" i="1"/>
  <c r="E299" i="1" s="1"/>
  <c r="F299" i="1"/>
  <c r="G299" i="1"/>
  <c r="I299" i="1"/>
  <c r="J299" i="1"/>
  <c r="K299" i="1"/>
  <c r="L299" i="1"/>
  <c r="A300" i="1"/>
  <c r="B300" i="1"/>
  <c r="C300" i="1"/>
  <c r="D300" i="1"/>
  <c r="F300" i="1"/>
  <c r="G300" i="1"/>
  <c r="I300" i="1"/>
  <c r="J300" i="1"/>
  <c r="K300" i="1"/>
  <c r="L300" i="1"/>
  <c r="A301" i="1"/>
  <c r="B301" i="1"/>
  <c r="C301" i="1"/>
  <c r="D301" i="1"/>
  <c r="E301" i="1" s="1"/>
  <c r="F301" i="1"/>
  <c r="G301" i="1"/>
  <c r="I301" i="1"/>
  <c r="J301" i="1"/>
  <c r="K301" i="1"/>
  <c r="L301" i="1"/>
  <c r="A302" i="1"/>
  <c r="B302" i="1"/>
  <c r="C302" i="1"/>
  <c r="D302" i="1"/>
  <c r="E302" i="1" s="1"/>
  <c r="F302" i="1"/>
  <c r="G302" i="1"/>
  <c r="I302" i="1"/>
  <c r="J302" i="1"/>
  <c r="K302" i="1"/>
  <c r="L302" i="1"/>
  <c r="A303" i="1"/>
  <c r="B303" i="1"/>
  <c r="C303" i="1"/>
  <c r="D303" i="1"/>
  <c r="E303" i="1" s="1"/>
  <c r="F303" i="1"/>
  <c r="G303" i="1"/>
  <c r="I303" i="1"/>
  <c r="J303" i="1"/>
  <c r="K303" i="1"/>
  <c r="L303" i="1"/>
  <c r="A304" i="1"/>
  <c r="B304" i="1"/>
  <c r="C304" i="1"/>
  <c r="D304" i="1"/>
  <c r="E304" i="1" s="1"/>
  <c r="F304" i="1"/>
  <c r="G304" i="1"/>
  <c r="I304" i="1"/>
  <c r="J304" i="1"/>
  <c r="K304" i="1"/>
  <c r="L304" i="1"/>
  <c r="A305" i="1"/>
  <c r="B305" i="1"/>
  <c r="C305" i="1"/>
  <c r="D305" i="1"/>
  <c r="E305" i="1" s="1"/>
  <c r="F305" i="1"/>
  <c r="G305" i="1"/>
  <c r="I305" i="1"/>
  <c r="J305" i="1"/>
  <c r="K305" i="1"/>
  <c r="L305" i="1"/>
  <c r="A306" i="1"/>
  <c r="B306" i="1"/>
  <c r="C306" i="1"/>
  <c r="D306" i="1"/>
  <c r="E306" i="1" s="1"/>
  <c r="F306" i="1"/>
  <c r="G306" i="1"/>
  <c r="I306" i="1"/>
  <c r="J306" i="1"/>
  <c r="K306" i="1"/>
  <c r="L306" i="1"/>
  <c r="A307" i="1"/>
  <c r="B307" i="1"/>
  <c r="C307" i="1"/>
  <c r="D307" i="1"/>
  <c r="E307" i="1" s="1"/>
  <c r="F307" i="1"/>
  <c r="G307" i="1"/>
  <c r="I307" i="1"/>
  <c r="J307" i="1"/>
  <c r="K307" i="1"/>
  <c r="L307" i="1"/>
  <c r="A308" i="1"/>
  <c r="B308" i="1"/>
  <c r="C308" i="1"/>
  <c r="D308" i="1"/>
  <c r="F308" i="1"/>
  <c r="G308" i="1"/>
  <c r="I308" i="1"/>
  <c r="J308" i="1"/>
  <c r="K308" i="1"/>
  <c r="L308" i="1"/>
  <c r="A309" i="1"/>
  <c r="B309" i="1"/>
  <c r="C309" i="1"/>
  <c r="D309" i="1"/>
  <c r="E309" i="1" s="1"/>
  <c r="F309" i="1"/>
  <c r="G309" i="1"/>
  <c r="I309" i="1"/>
  <c r="J309" i="1"/>
  <c r="K309" i="1"/>
  <c r="L309" i="1"/>
  <c r="A310" i="1"/>
  <c r="B310" i="1"/>
  <c r="C310" i="1"/>
  <c r="D310" i="1"/>
  <c r="F310" i="1"/>
  <c r="G310" i="1"/>
  <c r="I310" i="1"/>
  <c r="J310" i="1"/>
  <c r="K310" i="1"/>
  <c r="L310" i="1"/>
  <c r="A311" i="1"/>
  <c r="B311" i="1"/>
  <c r="C311" i="1"/>
  <c r="D311" i="1"/>
  <c r="E311" i="1" s="1"/>
  <c r="F311" i="1"/>
  <c r="G311" i="1"/>
  <c r="I311" i="1"/>
  <c r="J311" i="1"/>
  <c r="K311" i="1"/>
  <c r="L311" i="1"/>
  <c r="A312" i="1"/>
  <c r="B312" i="1"/>
  <c r="C312" i="1"/>
  <c r="D312" i="1"/>
  <c r="E312" i="1" s="1"/>
  <c r="F312" i="1"/>
  <c r="G312" i="1"/>
  <c r="I312" i="1"/>
  <c r="J312" i="1"/>
  <c r="K312" i="1"/>
  <c r="L312" i="1"/>
  <c r="A313" i="1"/>
  <c r="B313" i="1"/>
  <c r="C313" i="1"/>
  <c r="D313" i="1"/>
  <c r="E313" i="1" s="1"/>
  <c r="F313" i="1"/>
  <c r="G313" i="1"/>
  <c r="I313" i="1"/>
  <c r="J313" i="1"/>
  <c r="K313" i="1"/>
  <c r="L313" i="1"/>
  <c r="A314" i="1"/>
  <c r="B314" i="1"/>
  <c r="C314" i="1"/>
  <c r="D314" i="1"/>
  <c r="E314" i="1" s="1"/>
  <c r="F314" i="1"/>
  <c r="G314" i="1"/>
  <c r="I314" i="1"/>
  <c r="J314" i="1"/>
  <c r="K314" i="1"/>
  <c r="L314" i="1"/>
  <c r="A315" i="1"/>
  <c r="B315" i="1"/>
  <c r="C315" i="1"/>
  <c r="D315" i="1"/>
  <c r="E315" i="1" s="1"/>
  <c r="F315" i="1"/>
  <c r="G315" i="1"/>
  <c r="I315" i="1"/>
  <c r="J315" i="1"/>
  <c r="K315" i="1"/>
  <c r="L315" i="1"/>
  <c r="A316" i="1"/>
  <c r="B316" i="1"/>
  <c r="C316" i="1"/>
  <c r="D316" i="1"/>
  <c r="F316" i="1"/>
  <c r="G316" i="1"/>
  <c r="I316" i="1"/>
  <c r="J316" i="1"/>
  <c r="K316" i="1"/>
  <c r="L316" i="1"/>
  <c r="A317" i="1"/>
  <c r="B317" i="1"/>
  <c r="C317" i="1"/>
  <c r="D317" i="1"/>
  <c r="E317" i="1" s="1"/>
  <c r="F317" i="1"/>
  <c r="G317" i="1"/>
  <c r="I317" i="1"/>
  <c r="J317" i="1"/>
  <c r="K317" i="1"/>
  <c r="L317" i="1"/>
  <c r="A318" i="1"/>
  <c r="B318" i="1"/>
  <c r="C318" i="1"/>
  <c r="D318" i="1"/>
  <c r="E318" i="1" s="1"/>
  <c r="H318" i="1" s="1"/>
  <c r="F318" i="1"/>
  <c r="G318" i="1"/>
  <c r="I318" i="1"/>
  <c r="J318" i="1"/>
  <c r="K318" i="1"/>
  <c r="L318" i="1"/>
  <c r="A319" i="1"/>
  <c r="B319" i="1"/>
  <c r="C319" i="1"/>
  <c r="D319" i="1"/>
  <c r="E319" i="1" s="1"/>
  <c r="H319" i="1" s="1"/>
  <c r="F319" i="1"/>
  <c r="G319" i="1"/>
  <c r="I319" i="1"/>
  <c r="J319" i="1"/>
  <c r="K319" i="1"/>
  <c r="L319" i="1"/>
  <c r="A320" i="1"/>
  <c r="B320" i="1"/>
  <c r="C320" i="1"/>
  <c r="D320" i="1"/>
  <c r="E320" i="1" s="1"/>
  <c r="H320" i="1" s="1"/>
  <c r="F320" i="1"/>
  <c r="G320" i="1"/>
  <c r="I320" i="1"/>
  <c r="J320" i="1"/>
  <c r="K320" i="1"/>
  <c r="L320" i="1"/>
  <c r="A321" i="1"/>
  <c r="B321" i="1"/>
  <c r="C321" i="1"/>
  <c r="D321" i="1"/>
  <c r="E321" i="1" s="1"/>
  <c r="H321" i="1" s="1"/>
  <c r="F321" i="1"/>
  <c r="G321" i="1"/>
  <c r="I321" i="1"/>
  <c r="J321" i="1"/>
  <c r="K321" i="1"/>
  <c r="L321" i="1"/>
  <c r="A322" i="1"/>
  <c r="B322" i="1"/>
  <c r="C322" i="1"/>
  <c r="D322" i="1"/>
  <c r="E322" i="1" s="1"/>
  <c r="H322" i="1" s="1"/>
  <c r="F322" i="1"/>
  <c r="G322" i="1"/>
  <c r="I322" i="1"/>
  <c r="J322" i="1"/>
  <c r="K322" i="1"/>
  <c r="L322" i="1"/>
  <c r="A323" i="1"/>
  <c r="B323" i="1"/>
  <c r="C323" i="1"/>
  <c r="D323" i="1"/>
  <c r="E323" i="1" s="1"/>
  <c r="H323" i="1" s="1"/>
  <c r="F323" i="1"/>
  <c r="G323" i="1"/>
  <c r="I323" i="1"/>
  <c r="J323" i="1"/>
  <c r="K323" i="1"/>
  <c r="L323" i="1"/>
  <c r="A324" i="1"/>
  <c r="B324" i="1"/>
  <c r="C324" i="1"/>
  <c r="D324" i="1"/>
  <c r="E324" i="1" s="1"/>
  <c r="H324" i="1" s="1"/>
  <c r="F324" i="1"/>
  <c r="G324" i="1"/>
  <c r="I324" i="1"/>
  <c r="J324" i="1"/>
  <c r="K324" i="1"/>
  <c r="L324" i="1"/>
  <c r="A325" i="1"/>
  <c r="B325" i="1"/>
  <c r="C325" i="1"/>
  <c r="D325" i="1"/>
  <c r="E325" i="1" s="1"/>
  <c r="H325" i="1" s="1"/>
  <c r="F325" i="1"/>
  <c r="G325" i="1"/>
  <c r="I325" i="1"/>
  <c r="J325" i="1"/>
  <c r="K325" i="1"/>
  <c r="L325" i="1"/>
  <c r="A326" i="1"/>
  <c r="B326" i="1"/>
  <c r="C326" i="1"/>
  <c r="D326" i="1"/>
  <c r="E326" i="1" s="1"/>
  <c r="H326" i="1" s="1"/>
  <c r="F326" i="1"/>
  <c r="G326" i="1"/>
  <c r="I326" i="1"/>
  <c r="J326" i="1"/>
  <c r="K326" i="1"/>
  <c r="L326" i="1"/>
  <c r="A327" i="1"/>
  <c r="B327" i="1"/>
  <c r="C327" i="1"/>
  <c r="D327" i="1"/>
  <c r="E327" i="1" s="1"/>
  <c r="H327" i="1" s="1"/>
  <c r="F327" i="1"/>
  <c r="G327" i="1"/>
  <c r="I327" i="1"/>
  <c r="J327" i="1"/>
  <c r="K327" i="1"/>
  <c r="L327" i="1"/>
  <c r="A328" i="1"/>
  <c r="B328" i="1"/>
  <c r="C328" i="1"/>
  <c r="D328" i="1"/>
  <c r="E328" i="1" s="1"/>
  <c r="H328" i="1" s="1"/>
  <c r="F328" i="1"/>
  <c r="G328" i="1"/>
  <c r="I328" i="1"/>
  <c r="J328" i="1"/>
  <c r="K328" i="1"/>
  <c r="L328" i="1"/>
  <c r="A329" i="1"/>
  <c r="B329" i="1"/>
  <c r="C329" i="1"/>
  <c r="D329" i="1"/>
  <c r="E329" i="1" s="1"/>
  <c r="H329" i="1" s="1"/>
  <c r="F329" i="1"/>
  <c r="G329" i="1"/>
  <c r="I329" i="1"/>
  <c r="J329" i="1"/>
  <c r="K329" i="1"/>
  <c r="L329" i="1"/>
  <c r="A330" i="1"/>
  <c r="B330" i="1"/>
  <c r="C330" i="1"/>
  <c r="D330" i="1"/>
  <c r="E330" i="1" s="1"/>
  <c r="H330" i="1" s="1"/>
  <c r="F330" i="1"/>
  <c r="G330" i="1"/>
  <c r="I330" i="1"/>
  <c r="J330" i="1"/>
  <c r="K330" i="1"/>
  <c r="L330" i="1"/>
  <c r="A331" i="1"/>
  <c r="B331" i="1"/>
  <c r="C331" i="1"/>
  <c r="D331" i="1"/>
  <c r="E331" i="1" s="1"/>
  <c r="H331" i="1" s="1"/>
  <c r="F331" i="1"/>
  <c r="G331" i="1"/>
  <c r="I331" i="1"/>
  <c r="J331" i="1"/>
  <c r="K331" i="1"/>
  <c r="L331" i="1"/>
  <c r="A332" i="1"/>
  <c r="B332" i="1"/>
  <c r="C332" i="1"/>
  <c r="D332" i="1"/>
  <c r="E332" i="1" s="1"/>
  <c r="H332" i="1" s="1"/>
  <c r="F332" i="1"/>
  <c r="G332" i="1"/>
  <c r="I332" i="1"/>
  <c r="J332" i="1"/>
  <c r="K332" i="1"/>
  <c r="L332" i="1"/>
  <c r="A333" i="1"/>
  <c r="B333" i="1"/>
  <c r="C333" i="1"/>
  <c r="D333" i="1"/>
  <c r="E333" i="1" s="1"/>
  <c r="H333" i="1" s="1"/>
  <c r="F333" i="1"/>
  <c r="G333" i="1"/>
  <c r="I333" i="1"/>
  <c r="J333" i="1"/>
  <c r="K333" i="1"/>
  <c r="L333" i="1"/>
  <c r="A334" i="1"/>
  <c r="B334" i="1"/>
  <c r="C334" i="1"/>
  <c r="D334" i="1"/>
  <c r="E334" i="1" s="1"/>
  <c r="H334" i="1" s="1"/>
  <c r="F334" i="1"/>
  <c r="G334" i="1"/>
  <c r="I334" i="1"/>
  <c r="J334" i="1"/>
  <c r="K334" i="1"/>
  <c r="L334" i="1"/>
  <c r="A335" i="1"/>
  <c r="B335" i="1"/>
  <c r="C335" i="1"/>
  <c r="D335" i="1"/>
  <c r="E335" i="1" s="1"/>
  <c r="H335" i="1" s="1"/>
  <c r="F335" i="1"/>
  <c r="G335" i="1"/>
  <c r="I335" i="1"/>
  <c r="J335" i="1"/>
  <c r="K335" i="1"/>
  <c r="L335" i="1"/>
  <c r="A336" i="1"/>
  <c r="B336" i="1"/>
  <c r="C336" i="1"/>
  <c r="D336" i="1"/>
  <c r="E336" i="1" s="1"/>
  <c r="H336" i="1" s="1"/>
  <c r="F336" i="1"/>
  <c r="G336" i="1"/>
  <c r="I336" i="1"/>
  <c r="J336" i="1"/>
  <c r="K336" i="1"/>
  <c r="L336" i="1"/>
  <c r="A337" i="1"/>
  <c r="B337" i="1"/>
  <c r="C337" i="1"/>
  <c r="D337" i="1"/>
  <c r="E337" i="1" s="1"/>
  <c r="H337" i="1" s="1"/>
  <c r="F337" i="1"/>
  <c r="G337" i="1"/>
  <c r="I337" i="1"/>
  <c r="J337" i="1"/>
  <c r="K337" i="1"/>
  <c r="L337" i="1"/>
  <c r="A338" i="1"/>
  <c r="B338" i="1"/>
  <c r="C338" i="1"/>
  <c r="D338" i="1"/>
  <c r="E338" i="1" s="1"/>
  <c r="H338" i="1" s="1"/>
  <c r="F338" i="1"/>
  <c r="G338" i="1"/>
  <c r="I338" i="1"/>
  <c r="J338" i="1"/>
  <c r="K338" i="1"/>
  <c r="L338" i="1"/>
  <c r="A339" i="1"/>
  <c r="B339" i="1"/>
  <c r="C339" i="1"/>
  <c r="D339" i="1"/>
  <c r="E339" i="1" s="1"/>
  <c r="H339" i="1" s="1"/>
  <c r="F339" i="1"/>
  <c r="G339" i="1"/>
  <c r="I339" i="1"/>
  <c r="J339" i="1"/>
  <c r="K339" i="1"/>
  <c r="L339" i="1"/>
  <c r="A340" i="1"/>
  <c r="B340" i="1"/>
  <c r="C340" i="1"/>
  <c r="D340" i="1"/>
  <c r="E340" i="1" s="1"/>
  <c r="H340" i="1" s="1"/>
  <c r="F340" i="1"/>
  <c r="G340" i="1"/>
  <c r="I340" i="1"/>
  <c r="J340" i="1"/>
  <c r="K340" i="1"/>
  <c r="L340" i="1"/>
  <c r="A341" i="1"/>
  <c r="B341" i="1"/>
  <c r="C341" i="1"/>
  <c r="D341" i="1"/>
  <c r="E341" i="1" s="1"/>
  <c r="H341" i="1" s="1"/>
  <c r="F341" i="1"/>
  <c r="G341" i="1"/>
  <c r="I341" i="1"/>
  <c r="J341" i="1"/>
  <c r="K341" i="1"/>
  <c r="L341" i="1"/>
  <c r="A342" i="1"/>
  <c r="B342" i="1"/>
  <c r="C342" i="1"/>
  <c r="D342" i="1"/>
  <c r="E342" i="1" s="1"/>
  <c r="H342" i="1" s="1"/>
  <c r="F342" i="1"/>
  <c r="G342" i="1"/>
  <c r="I342" i="1"/>
  <c r="J342" i="1"/>
  <c r="K342" i="1"/>
  <c r="L342" i="1"/>
  <c r="A343" i="1"/>
  <c r="B343" i="1"/>
  <c r="C343" i="1"/>
  <c r="D343" i="1"/>
  <c r="E343" i="1" s="1"/>
  <c r="H343" i="1" s="1"/>
  <c r="F343" i="1"/>
  <c r="G343" i="1"/>
  <c r="I343" i="1"/>
  <c r="J343" i="1"/>
  <c r="K343" i="1"/>
  <c r="L343" i="1"/>
  <c r="A344" i="1"/>
  <c r="B344" i="1"/>
  <c r="C344" i="1"/>
  <c r="D344" i="1"/>
  <c r="E344" i="1" s="1"/>
  <c r="H344" i="1" s="1"/>
  <c r="F344" i="1"/>
  <c r="G344" i="1"/>
  <c r="I344" i="1"/>
  <c r="J344" i="1"/>
  <c r="K344" i="1"/>
  <c r="L344" i="1"/>
  <c r="A345" i="1"/>
  <c r="B345" i="1"/>
  <c r="C345" i="1"/>
  <c r="D345" i="1"/>
  <c r="E345" i="1" s="1"/>
  <c r="H345" i="1" s="1"/>
  <c r="F345" i="1"/>
  <c r="G345" i="1"/>
  <c r="I345" i="1"/>
  <c r="J345" i="1"/>
  <c r="K345" i="1"/>
  <c r="L345" i="1"/>
  <c r="A346" i="1"/>
  <c r="B346" i="1"/>
  <c r="C346" i="1"/>
  <c r="D346" i="1"/>
  <c r="E346" i="1" s="1"/>
  <c r="H346" i="1" s="1"/>
  <c r="F346" i="1"/>
  <c r="G346" i="1"/>
  <c r="I346" i="1"/>
  <c r="J346" i="1"/>
  <c r="K346" i="1"/>
  <c r="L346" i="1"/>
  <c r="A347" i="1"/>
  <c r="B347" i="1"/>
  <c r="C347" i="1"/>
  <c r="D347" i="1"/>
  <c r="E347" i="1" s="1"/>
  <c r="H347" i="1" s="1"/>
  <c r="F347" i="1"/>
  <c r="G347" i="1"/>
  <c r="I347" i="1"/>
  <c r="J347" i="1"/>
  <c r="K347" i="1"/>
  <c r="L347" i="1"/>
  <c r="A348" i="1"/>
  <c r="B348" i="1"/>
  <c r="C348" i="1"/>
  <c r="D348" i="1"/>
  <c r="E348" i="1" s="1"/>
  <c r="H348" i="1" s="1"/>
  <c r="F348" i="1"/>
  <c r="G348" i="1"/>
  <c r="I348" i="1"/>
  <c r="J348" i="1"/>
  <c r="K348" i="1"/>
  <c r="L348" i="1"/>
  <c r="A349" i="1"/>
  <c r="B349" i="1"/>
  <c r="C349" i="1"/>
  <c r="D349" i="1"/>
  <c r="E349" i="1" s="1"/>
  <c r="H349" i="1" s="1"/>
  <c r="F349" i="1"/>
  <c r="G349" i="1"/>
  <c r="I349" i="1"/>
  <c r="J349" i="1"/>
  <c r="K349" i="1"/>
  <c r="L349" i="1"/>
  <c r="A350" i="1"/>
  <c r="B350" i="1"/>
  <c r="C350" i="1"/>
  <c r="D350" i="1"/>
  <c r="E350" i="1" s="1"/>
  <c r="H350" i="1" s="1"/>
  <c r="F350" i="1"/>
  <c r="G350" i="1"/>
  <c r="I350" i="1"/>
  <c r="J350" i="1"/>
  <c r="K350" i="1"/>
  <c r="L350" i="1"/>
  <c r="A351" i="1"/>
  <c r="B351" i="1"/>
  <c r="C351" i="1"/>
  <c r="D351" i="1"/>
  <c r="E351" i="1" s="1"/>
  <c r="H351" i="1" s="1"/>
  <c r="F351" i="1"/>
  <c r="G351" i="1"/>
  <c r="I351" i="1"/>
  <c r="J351" i="1"/>
  <c r="K351" i="1"/>
  <c r="L351" i="1"/>
  <c r="A352" i="1"/>
  <c r="B352" i="1"/>
  <c r="C352" i="1"/>
  <c r="D352" i="1"/>
  <c r="E352" i="1" s="1"/>
  <c r="H352" i="1" s="1"/>
  <c r="F352" i="1"/>
  <c r="G352" i="1"/>
  <c r="I352" i="1"/>
  <c r="J352" i="1"/>
  <c r="K352" i="1"/>
  <c r="L352" i="1"/>
  <c r="A353" i="1"/>
  <c r="B353" i="1"/>
  <c r="C353" i="1"/>
  <c r="D353" i="1"/>
  <c r="E353" i="1" s="1"/>
  <c r="H353" i="1" s="1"/>
  <c r="F353" i="1"/>
  <c r="G353" i="1"/>
  <c r="I353" i="1"/>
  <c r="J353" i="1"/>
  <c r="K353" i="1"/>
  <c r="L353" i="1"/>
  <c r="A354" i="1"/>
  <c r="B354" i="1"/>
  <c r="C354" i="1"/>
  <c r="D354" i="1"/>
  <c r="E354" i="1" s="1"/>
  <c r="H354" i="1" s="1"/>
  <c r="F354" i="1"/>
  <c r="G354" i="1"/>
  <c r="I354" i="1"/>
  <c r="J354" i="1"/>
  <c r="K354" i="1"/>
  <c r="L354" i="1"/>
  <c r="A355" i="1"/>
  <c r="B355" i="1"/>
  <c r="C355" i="1"/>
  <c r="D355" i="1"/>
  <c r="E355" i="1" s="1"/>
  <c r="H355" i="1" s="1"/>
  <c r="F355" i="1"/>
  <c r="G355" i="1"/>
  <c r="I355" i="1"/>
  <c r="J355" i="1"/>
  <c r="K355" i="1"/>
  <c r="L355" i="1"/>
  <c r="A356" i="1"/>
  <c r="B356" i="1"/>
  <c r="C356" i="1"/>
  <c r="D356" i="1"/>
  <c r="E356" i="1" s="1"/>
  <c r="H356" i="1" s="1"/>
  <c r="F356" i="1"/>
  <c r="G356" i="1"/>
  <c r="I356" i="1"/>
  <c r="J356" i="1"/>
  <c r="K356" i="1"/>
  <c r="L356" i="1"/>
  <c r="A357" i="1"/>
  <c r="B357" i="1"/>
  <c r="C357" i="1"/>
  <c r="D357" i="1"/>
  <c r="E357" i="1" s="1"/>
  <c r="H357" i="1" s="1"/>
  <c r="F357" i="1"/>
  <c r="G357" i="1"/>
  <c r="I357" i="1"/>
  <c r="J357" i="1"/>
  <c r="K357" i="1"/>
  <c r="L357" i="1"/>
  <c r="A358" i="1"/>
  <c r="B358" i="1"/>
  <c r="C358" i="1"/>
  <c r="D358" i="1"/>
  <c r="E358" i="1" s="1"/>
  <c r="H358" i="1" s="1"/>
  <c r="F358" i="1"/>
  <c r="G358" i="1"/>
  <c r="I358" i="1"/>
  <c r="J358" i="1"/>
  <c r="K358" i="1"/>
  <c r="L358" i="1"/>
  <c r="A359" i="1"/>
  <c r="B359" i="1"/>
  <c r="C359" i="1"/>
  <c r="D359" i="1"/>
  <c r="E359" i="1" s="1"/>
  <c r="H359" i="1" s="1"/>
  <c r="F359" i="1"/>
  <c r="G359" i="1"/>
  <c r="I359" i="1"/>
  <c r="J359" i="1"/>
  <c r="K359" i="1"/>
  <c r="L359" i="1"/>
  <c r="A360" i="1"/>
  <c r="B360" i="1"/>
  <c r="C360" i="1"/>
  <c r="D360" i="1"/>
  <c r="E360" i="1" s="1"/>
  <c r="H360" i="1" s="1"/>
  <c r="F360" i="1"/>
  <c r="G360" i="1"/>
  <c r="I360" i="1"/>
  <c r="J360" i="1"/>
  <c r="K360" i="1"/>
  <c r="L360" i="1"/>
  <c r="A361" i="1"/>
  <c r="B361" i="1"/>
  <c r="C361" i="1"/>
  <c r="D361" i="1"/>
  <c r="E361" i="1" s="1"/>
  <c r="H361" i="1" s="1"/>
  <c r="F361" i="1"/>
  <c r="G361" i="1"/>
  <c r="I361" i="1"/>
  <c r="J361" i="1"/>
  <c r="K361" i="1"/>
  <c r="L361" i="1"/>
  <c r="A362" i="1"/>
  <c r="B362" i="1"/>
  <c r="C362" i="1"/>
  <c r="D362" i="1"/>
  <c r="E362" i="1" s="1"/>
  <c r="H362" i="1" s="1"/>
  <c r="F362" i="1"/>
  <c r="G362" i="1"/>
  <c r="I362" i="1"/>
  <c r="J362" i="1"/>
  <c r="K362" i="1"/>
  <c r="L362" i="1"/>
  <c r="A363" i="1"/>
  <c r="B363" i="1"/>
  <c r="C363" i="1"/>
  <c r="D363" i="1"/>
  <c r="E363" i="1" s="1"/>
  <c r="H363" i="1" s="1"/>
  <c r="F363" i="1"/>
  <c r="G363" i="1"/>
  <c r="I363" i="1"/>
  <c r="J363" i="1"/>
  <c r="K363" i="1"/>
  <c r="L363" i="1"/>
  <c r="A364" i="1"/>
  <c r="B364" i="1"/>
  <c r="C364" i="1"/>
  <c r="D364" i="1"/>
  <c r="E364" i="1" s="1"/>
  <c r="H364" i="1" s="1"/>
  <c r="F364" i="1"/>
  <c r="G364" i="1"/>
  <c r="I364" i="1"/>
  <c r="J364" i="1"/>
  <c r="K364" i="1"/>
  <c r="L364" i="1"/>
  <c r="A365" i="1"/>
  <c r="B365" i="1"/>
  <c r="C365" i="1"/>
  <c r="D365" i="1"/>
  <c r="E365" i="1" s="1"/>
  <c r="H365" i="1" s="1"/>
  <c r="F365" i="1"/>
  <c r="G365" i="1"/>
  <c r="I365" i="1"/>
  <c r="J365" i="1"/>
  <c r="K365" i="1"/>
  <c r="L365" i="1"/>
  <c r="A366" i="1"/>
  <c r="B366" i="1"/>
  <c r="C366" i="1"/>
  <c r="D366" i="1"/>
  <c r="E366" i="1" s="1"/>
  <c r="H366" i="1" s="1"/>
  <c r="F366" i="1"/>
  <c r="G366" i="1"/>
  <c r="I366" i="1"/>
  <c r="J366" i="1"/>
  <c r="K366" i="1"/>
  <c r="L366" i="1"/>
  <c r="A367" i="1"/>
  <c r="B367" i="1"/>
  <c r="C367" i="1"/>
  <c r="D367" i="1"/>
  <c r="E367" i="1" s="1"/>
  <c r="H367" i="1" s="1"/>
  <c r="F367" i="1"/>
  <c r="G367" i="1"/>
  <c r="I367" i="1"/>
  <c r="J367" i="1"/>
  <c r="K367" i="1"/>
  <c r="L367" i="1"/>
  <c r="A368" i="1"/>
  <c r="B368" i="1"/>
  <c r="C368" i="1"/>
  <c r="D368" i="1"/>
  <c r="E368" i="1" s="1"/>
  <c r="H368" i="1" s="1"/>
  <c r="F368" i="1"/>
  <c r="G368" i="1"/>
  <c r="I368" i="1"/>
  <c r="J368" i="1"/>
  <c r="K368" i="1"/>
  <c r="L368" i="1"/>
  <c r="A369" i="1"/>
  <c r="B369" i="1"/>
  <c r="C369" i="1"/>
  <c r="D369" i="1"/>
  <c r="E369" i="1" s="1"/>
  <c r="H369" i="1" s="1"/>
  <c r="F369" i="1"/>
  <c r="G369" i="1"/>
  <c r="I369" i="1"/>
  <c r="J369" i="1"/>
  <c r="K369" i="1"/>
  <c r="L369" i="1"/>
  <c r="A370" i="1"/>
  <c r="B370" i="1"/>
  <c r="C370" i="1"/>
  <c r="D370" i="1"/>
  <c r="E370" i="1" s="1"/>
  <c r="H370" i="1" s="1"/>
  <c r="F370" i="1"/>
  <c r="G370" i="1"/>
  <c r="I370" i="1"/>
  <c r="J370" i="1"/>
  <c r="K370" i="1"/>
  <c r="L370" i="1"/>
  <c r="A371" i="1"/>
  <c r="B371" i="1"/>
  <c r="C371" i="1"/>
  <c r="D371" i="1"/>
  <c r="E371" i="1" s="1"/>
  <c r="H371" i="1" s="1"/>
  <c r="F371" i="1"/>
  <c r="G371" i="1"/>
  <c r="I371" i="1"/>
  <c r="J371" i="1"/>
  <c r="K371" i="1"/>
  <c r="L371" i="1"/>
  <c r="A372" i="1"/>
  <c r="B372" i="1"/>
  <c r="C372" i="1"/>
  <c r="D372" i="1"/>
  <c r="E372" i="1" s="1"/>
  <c r="H372" i="1" s="1"/>
  <c r="F372" i="1"/>
  <c r="G372" i="1"/>
  <c r="I372" i="1"/>
  <c r="J372" i="1"/>
  <c r="K372" i="1"/>
  <c r="L372" i="1"/>
  <c r="A373" i="1"/>
  <c r="B373" i="1"/>
  <c r="C373" i="1"/>
  <c r="D373" i="1"/>
  <c r="E373" i="1" s="1"/>
  <c r="H373" i="1" s="1"/>
  <c r="F373" i="1"/>
  <c r="G373" i="1"/>
  <c r="I373" i="1"/>
  <c r="J373" i="1"/>
  <c r="K373" i="1"/>
  <c r="L373" i="1"/>
  <c r="A374" i="1"/>
  <c r="B374" i="1"/>
  <c r="C374" i="1"/>
  <c r="D374" i="1"/>
  <c r="E374" i="1" s="1"/>
  <c r="H374" i="1" s="1"/>
  <c r="F374" i="1"/>
  <c r="G374" i="1"/>
  <c r="I374" i="1"/>
  <c r="J374" i="1"/>
  <c r="K374" i="1"/>
  <c r="L374" i="1"/>
  <c r="A375" i="1"/>
  <c r="B375" i="1"/>
  <c r="C375" i="1"/>
  <c r="D375" i="1"/>
  <c r="E375" i="1" s="1"/>
  <c r="H375" i="1" s="1"/>
  <c r="F375" i="1"/>
  <c r="G375" i="1"/>
  <c r="I375" i="1"/>
  <c r="J375" i="1"/>
  <c r="K375" i="1"/>
  <c r="L375" i="1"/>
  <c r="A376" i="1"/>
  <c r="B376" i="1"/>
  <c r="C376" i="1"/>
  <c r="D376" i="1"/>
  <c r="E376" i="1" s="1"/>
  <c r="H376" i="1" s="1"/>
  <c r="F376" i="1"/>
  <c r="G376" i="1"/>
  <c r="I376" i="1"/>
  <c r="J376" i="1"/>
  <c r="K376" i="1"/>
  <c r="L376" i="1"/>
  <c r="A377" i="1"/>
  <c r="B377" i="1"/>
  <c r="C377" i="1"/>
  <c r="D377" i="1"/>
  <c r="E377" i="1" s="1"/>
  <c r="H377" i="1" s="1"/>
  <c r="F377" i="1"/>
  <c r="G377" i="1"/>
  <c r="I377" i="1"/>
  <c r="J377" i="1"/>
  <c r="K377" i="1"/>
  <c r="L377" i="1"/>
  <c r="A378" i="1"/>
  <c r="B378" i="1"/>
  <c r="C378" i="1"/>
  <c r="D378" i="1"/>
  <c r="E378" i="1" s="1"/>
  <c r="H378" i="1" s="1"/>
  <c r="F378" i="1"/>
  <c r="G378" i="1"/>
  <c r="I378" i="1"/>
  <c r="J378" i="1"/>
  <c r="K378" i="1"/>
  <c r="L378" i="1"/>
  <c r="A379" i="1"/>
  <c r="B379" i="1"/>
  <c r="C379" i="1"/>
  <c r="D379" i="1"/>
  <c r="E379" i="1" s="1"/>
  <c r="H379" i="1" s="1"/>
  <c r="F379" i="1"/>
  <c r="G379" i="1"/>
  <c r="I379" i="1"/>
  <c r="J379" i="1"/>
  <c r="K379" i="1"/>
  <c r="L379" i="1"/>
  <c r="A380" i="1"/>
  <c r="B380" i="1"/>
  <c r="C380" i="1"/>
  <c r="D380" i="1"/>
  <c r="E380" i="1" s="1"/>
  <c r="H380" i="1" s="1"/>
  <c r="F380" i="1"/>
  <c r="G380" i="1"/>
  <c r="I380" i="1"/>
  <c r="J380" i="1"/>
  <c r="K380" i="1"/>
  <c r="L380" i="1"/>
  <c r="A381" i="1"/>
  <c r="B381" i="1"/>
  <c r="C381" i="1"/>
  <c r="D381" i="1"/>
  <c r="E381" i="1" s="1"/>
  <c r="H381" i="1" s="1"/>
  <c r="F381" i="1"/>
  <c r="G381" i="1"/>
  <c r="I381" i="1"/>
  <c r="J381" i="1"/>
  <c r="K381" i="1"/>
  <c r="L381" i="1"/>
  <c r="A382" i="1"/>
  <c r="B382" i="1"/>
  <c r="C382" i="1"/>
  <c r="D382" i="1"/>
  <c r="E382" i="1" s="1"/>
  <c r="H382" i="1" s="1"/>
  <c r="F382" i="1"/>
  <c r="G382" i="1"/>
  <c r="I382" i="1"/>
  <c r="J382" i="1"/>
  <c r="K382" i="1"/>
  <c r="L382" i="1"/>
  <c r="A383" i="1"/>
  <c r="B383" i="1"/>
  <c r="C383" i="1"/>
  <c r="D383" i="1"/>
  <c r="E383" i="1" s="1"/>
  <c r="H383" i="1" s="1"/>
  <c r="F383" i="1"/>
  <c r="G383" i="1"/>
  <c r="I383" i="1"/>
  <c r="J383" i="1"/>
  <c r="K383" i="1"/>
  <c r="L383" i="1"/>
  <c r="A384" i="1"/>
  <c r="B384" i="1"/>
  <c r="C384" i="1"/>
  <c r="D384" i="1"/>
  <c r="E384" i="1" s="1"/>
  <c r="H384" i="1" s="1"/>
  <c r="F384" i="1"/>
  <c r="G384" i="1"/>
  <c r="I384" i="1"/>
  <c r="J384" i="1"/>
  <c r="K384" i="1"/>
  <c r="L384" i="1"/>
  <c r="A385" i="1"/>
  <c r="B385" i="1"/>
  <c r="C385" i="1"/>
  <c r="D385" i="1"/>
  <c r="E385" i="1" s="1"/>
  <c r="H385" i="1" s="1"/>
  <c r="F385" i="1"/>
  <c r="G385" i="1"/>
  <c r="I385" i="1"/>
  <c r="J385" i="1"/>
  <c r="K385" i="1"/>
  <c r="L385" i="1"/>
  <c r="A386" i="1"/>
  <c r="B386" i="1"/>
  <c r="C386" i="1"/>
  <c r="D386" i="1"/>
  <c r="E386" i="1" s="1"/>
  <c r="H386" i="1" s="1"/>
  <c r="F386" i="1"/>
  <c r="G386" i="1"/>
  <c r="I386" i="1"/>
  <c r="J386" i="1"/>
  <c r="K386" i="1"/>
  <c r="L386" i="1"/>
  <c r="A387" i="1"/>
  <c r="B387" i="1"/>
  <c r="C387" i="1"/>
  <c r="D387" i="1"/>
  <c r="E387" i="1" s="1"/>
  <c r="H387" i="1" s="1"/>
  <c r="F387" i="1"/>
  <c r="G387" i="1"/>
  <c r="I387" i="1"/>
  <c r="J387" i="1"/>
  <c r="K387" i="1"/>
  <c r="L387" i="1"/>
  <c r="A388" i="1"/>
  <c r="B388" i="1"/>
  <c r="C388" i="1"/>
  <c r="D388" i="1"/>
  <c r="E388" i="1" s="1"/>
  <c r="H388" i="1" s="1"/>
  <c r="F388" i="1"/>
  <c r="G388" i="1"/>
  <c r="I388" i="1"/>
  <c r="J388" i="1"/>
  <c r="K388" i="1"/>
  <c r="L388" i="1"/>
  <c r="A389" i="1"/>
  <c r="B389" i="1"/>
  <c r="C389" i="1"/>
  <c r="D389" i="1"/>
  <c r="E389" i="1" s="1"/>
  <c r="H389" i="1" s="1"/>
  <c r="F389" i="1"/>
  <c r="G389" i="1"/>
  <c r="I389" i="1"/>
  <c r="J389" i="1"/>
  <c r="K389" i="1"/>
  <c r="L389" i="1"/>
  <c r="A390" i="1"/>
  <c r="B390" i="1"/>
  <c r="C390" i="1"/>
  <c r="D390" i="1"/>
  <c r="E390" i="1" s="1"/>
  <c r="H390" i="1" s="1"/>
  <c r="F390" i="1"/>
  <c r="G390" i="1"/>
  <c r="I390" i="1"/>
  <c r="J390" i="1"/>
  <c r="K390" i="1"/>
  <c r="L390" i="1"/>
  <c r="A391" i="1"/>
  <c r="B391" i="1"/>
  <c r="C391" i="1"/>
  <c r="D391" i="1"/>
  <c r="E391" i="1" s="1"/>
  <c r="H391" i="1" s="1"/>
  <c r="F391" i="1"/>
  <c r="G391" i="1"/>
  <c r="I391" i="1"/>
  <c r="J391" i="1"/>
  <c r="K391" i="1"/>
  <c r="L391" i="1"/>
  <c r="A392" i="1"/>
  <c r="B392" i="1"/>
  <c r="C392" i="1"/>
  <c r="D392" i="1"/>
  <c r="E392" i="1" s="1"/>
  <c r="H392" i="1" s="1"/>
  <c r="F392" i="1"/>
  <c r="G392" i="1"/>
  <c r="I392" i="1"/>
  <c r="J392" i="1"/>
  <c r="K392" i="1"/>
  <c r="L392" i="1"/>
  <c r="A393" i="1"/>
  <c r="B393" i="1"/>
  <c r="C393" i="1"/>
  <c r="D393" i="1"/>
  <c r="E393" i="1" s="1"/>
  <c r="H393" i="1" s="1"/>
  <c r="F393" i="1"/>
  <c r="G393" i="1"/>
  <c r="I393" i="1"/>
  <c r="J393" i="1"/>
  <c r="K393" i="1"/>
  <c r="L393" i="1"/>
  <c r="A394" i="1"/>
  <c r="B394" i="1"/>
  <c r="C394" i="1"/>
  <c r="D394" i="1"/>
  <c r="E394" i="1" s="1"/>
  <c r="H394" i="1" s="1"/>
  <c r="F394" i="1"/>
  <c r="G394" i="1"/>
  <c r="I394" i="1"/>
  <c r="J394" i="1"/>
  <c r="K394" i="1"/>
  <c r="L394" i="1"/>
  <c r="A395" i="1"/>
  <c r="B395" i="1"/>
  <c r="C395" i="1"/>
  <c r="D395" i="1"/>
  <c r="E395" i="1" s="1"/>
  <c r="H395" i="1" s="1"/>
  <c r="F395" i="1"/>
  <c r="G395" i="1"/>
  <c r="I395" i="1"/>
  <c r="J395" i="1"/>
  <c r="K395" i="1"/>
  <c r="L395" i="1"/>
  <c r="A396" i="1"/>
  <c r="B396" i="1"/>
  <c r="C396" i="1"/>
  <c r="D396" i="1"/>
  <c r="E396" i="1" s="1"/>
  <c r="H396" i="1" s="1"/>
  <c r="F396" i="1"/>
  <c r="G396" i="1"/>
  <c r="I396" i="1"/>
  <c r="J396" i="1"/>
  <c r="K396" i="1"/>
  <c r="L396" i="1"/>
  <c r="A397" i="1"/>
  <c r="B397" i="1"/>
  <c r="C397" i="1"/>
  <c r="D397" i="1"/>
  <c r="E397" i="1" s="1"/>
  <c r="H397" i="1" s="1"/>
  <c r="F397" i="1"/>
  <c r="G397" i="1"/>
  <c r="I397" i="1"/>
  <c r="J397" i="1"/>
  <c r="K397" i="1"/>
  <c r="L397" i="1"/>
  <c r="A398" i="1"/>
  <c r="B398" i="1"/>
  <c r="C398" i="1"/>
  <c r="D398" i="1"/>
  <c r="E398" i="1" s="1"/>
  <c r="H398" i="1" s="1"/>
  <c r="F398" i="1"/>
  <c r="G398" i="1"/>
  <c r="I398" i="1"/>
  <c r="J398" i="1"/>
  <c r="K398" i="1"/>
  <c r="L398" i="1"/>
  <c r="A399" i="1"/>
  <c r="B399" i="1"/>
  <c r="C399" i="1"/>
  <c r="D399" i="1"/>
  <c r="E399" i="1" s="1"/>
  <c r="H399" i="1" s="1"/>
  <c r="F399" i="1"/>
  <c r="G399" i="1"/>
  <c r="I399" i="1"/>
  <c r="J399" i="1"/>
  <c r="K399" i="1"/>
  <c r="L399" i="1"/>
  <c r="A400" i="1"/>
  <c r="B400" i="1"/>
  <c r="C400" i="1"/>
  <c r="D400" i="1"/>
  <c r="E400" i="1" s="1"/>
  <c r="H400" i="1" s="1"/>
  <c r="F400" i="1"/>
  <c r="G400" i="1"/>
  <c r="I400" i="1"/>
  <c r="J400" i="1"/>
  <c r="K400" i="1"/>
  <c r="L400" i="1"/>
  <c r="A401" i="1"/>
  <c r="B401" i="1"/>
  <c r="C401" i="1"/>
  <c r="D401" i="1"/>
  <c r="E401" i="1" s="1"/>
  <c r="H401" i="1" s="1"/>
  <c r="F401" i="1"/>
  <c r="G401" i="1"/>
  <c r="I401" i="1"/>
  <c r="J401" i="1"/>
  <c r="K401" i="1"/>
  <c r="L401" i="1"/>
  <c r="A402" i="1"/>
  <c r="B402" i="1"/>
  <c r="C402" i="1"/>
  <c r="D402" i="1"/>
  <c r="E402" i="1" s="1"/>
  <c r="H402" i="1" s="1"/>
  <c r="F402" i="1"/>
  <c r="G402" i="1"/>
  <c r="I402" i="1"/>
  <c r="J402" i="1"/>
  <c r="K402" i="1"/>
  <c r="L402" i="1"/>
  <c r="A403" i="1"/>
  <c r="B403" i="1"/>
  <c r="C403" i="1"/>
  <c r="D403" i="1"/>
  <c r="E403" i="1" s="1"/>
  <c r="H403" i="1" s="1"/>
  <c r="F403" i="1"/>
  <c r="G403" i="1"/>
  <c r="I403" i="1"/>
  <c r="J403" i="1"/>
  <c r="K403" i="1"/>
  <c r="L403" i="1"/>
  <c r="A404" i="1"/>
  <c r="B404" i="1"/>
  <c r="C404" i="1"/>
  <c r="D404" i="1"/>
  <c r="E404" i="1" s="1"/>
  <c r="H404" i="1" s="1"/>
  <c r="F404" i="1"/>
  <c r="G404" i="1"/>
  <c r="I404" i="1"/>
  <c r="J404" i="1"/>
  <c r="K404" i="1"/>
  <c r="L404" i="1"/>
  <c r="A405" i="1"/>
  <c r="B405" i="1"/>
  <c r="C405" i="1"/>
  <c r="D405" i="1"/>
  <c r="E405" i="1" s="1"/>
  <c r="H405" i="1" s="1"/>
  <c r="F405" i="1"/>
  <c r="G405" i="1"/>
  <c r="I405" i="1"/>
  <c r="J405" i="1"/>
  <c r="K405" i="1"/>
  <c r="L405" i="1"/>
  <c r="A406" i="1"/>
  <c r="B406" i="1"/>
  <c r="C406" i="1"/>
  <c r="D406" i="1"/>
  <c r="E406" i="1" s="1"/>
  <c r="H406" i="1" s="1"/>
  <c r="F406" i="1"/>
  <c r="G406" i="1"/>
  <c r="I406" i="1"/>
  <c r="J406" i="1"/>
  <c r="K406" i="1"/>
  <c r="L406" i="1"/>
  <c r="A407" i="1"/>
  <c r="B407" i="1"/>
  <c r="C407" i="1"/>
  <c r="D407" i="1"/>
  <c r="E407" i="1" s="1"/>
  <c r="H407" i="1" s="1"/>
  <c r="F407" i="1"/>
  <c r="G407" i="1"/>
  <c r="I407" i="1"/>
  <c r="J407" i="1"/>
  <c r="K407" i="1"/>
  <c r="L407" i="1"/>
  <c r="A408" i="1"/>
  <c r="B408" i="1"/>
  <c r="C408" i="1"/>
  <c r="D408" i="1"/>
  <c r="E408" i="1" s="1"/>
  <c r="H408" i="1" s="1"/>
  <c r="F408" i="1"/>
  <c r="G408" i="1"/>
  <c r="I408" i="1"/>
  <c r="J408" i="1"/>
  <c r="K408" i="1"/>
  <c r="L408" i="1"/>
  <c r="A409" i="1"/>
  <c r="B409" i="1"/>
  <c r="C409" i="1"/>
  <c r="D409" i="1"/>
  <c r="E409" i="1" s="1"/>
  <c r="H409" i="1" s="1"/>
  <c r="F409" i="1"/>
  <c r="G409" i="1"/>
  <c r="I409" i="1"/>
  <c r="J409" i="1"/>
  <c r="K409" i="1"/>
  <c r="L409" i="1"/>
  <c r="A410" i="1"/>
  <c r="B410" i="1"/>
  <c r="C410" i="1"/>
  <c r="D410" i="1"/>
  <c r="E410" i="1" s="1"/>
  <c r="H410" i="1" s="1"/>
  <c r="F410" i="1"/>
  <c r="G410" i="1"/>
  <c r="I410" i="1"/>
  <c r="J410" i="1"/>
  <c r="K410" i="1"/>
  <c r="L410" i="1"/>
  <c r="A411" i="1"/>
  <c r="B411" i="1"/>
  <c r="C411" i="1"/>
  <c r="D411" i="1"/>
  <c r="E411" i="1" s="1"/>
  <c r="H411" i="1" s="1"/>
  <c r="F411" i="1"/>
  <c r="G411" i="1"/>
  <c r="I411" i="1"/>
  <c r="J411" i="1"/>
  <c r="K411" i="1"/>
  <c r="L411" i="1"/>
  <c r="A412" i="1"/>
  <c r="B412" i="1"/>
  <c r="C412" i="1"/>
  <c r="D412" i="1"/>
  <c r="E412" i="1" s="1"/>
  <c r="H412" i="1" s="1"/>
  <c r="F412" i="1"/>
  <c r="G412" i="1"/>
  <c r="I412" i="1"/>
  <c r="J412" i="1"/>
  <c r="K412" i="1"/>
  <c r="L412" i="1"/>
  <c r="A413" i="1"/>
  <c r="B413" i="1"/>
  <c r="C413" i="1"/>
  <c r="D413" i="1"/>
  <c r="E413" i="1" s="1"/>
  <c r="H413" i="1" s="1"/>
  <c r="F413" i="1"/>
  <c r="G413" i="1"/>
  <c r="I413" i="1"/>
  <c r="J413" i="1"/>
  <c r="K413" i="1"/>
  <c r="L413" i="1"/>
  <c r="A414" i="1"/>
  <c r="B414" i="1"/>
  <c r="C414" i="1"/>
  <c r="D414" i="1"/>
  <c r="E414" i="1" s="1"/>
  <c r="H414" i="1" s="1"/>
  <c r="F414" i="1"/>
  <c r="G414" i="1"/>
  <c r="I414" i="1"/>
  <c r="J414" i="1"/>
  <c r="K414" i="1"/>
  <c r="L414" i="1"/>
  <c r="A415" i="1"/>
  <c r="B415" i="1"/>
  <c r="C415" i="1"/>
  <c r="D415" i="1"/>
  <c r="E415" i="1" s="1"/>
  <c r="H415" i="1" s="1"/>
  <c r="F415" i="1"/>
  <c r="G415" i="1"/>
  <c r="I415" i="1"/>
  <c r="J415" i="1"/>
  <c r="K415" i="1"/>
  <c r="L415" i="1"/>
  <c r="A416" i="1"/>
  <c r="B416" i="1"/>
  <c r="C416" i="1"/>
  <c r="D416" i="1"/>
  <c r="E416" i="1" s="1"/>
  <c r="H416" i="1" s="1"/>
  <c r="F416" i="1"/>
  <c r="G416" i="1"/>
  <c r="I416" i="1"/>
  <c r="J416" i="1"/>
  <c r="K416" i="1"/>
  <c r="L416" i="1"/>
  <c r="A417" i="1"/>
  <c r="B417" i="1"/>
  <c r="C417" i="1"/>
  <c r="D417" i="1"/>
  <c r="E417" i="1" s="1"/>
  <c r="H417" i="1" s="1"/>
  <c r="F417" i="1"/>
  <c r="G417" i="1"/>
  <c r="I417" i="1"/>
  <c r="J417" i="1"/>
  <c r="K417" i="1"/>
  <c r="L417" i="1"/>
  <c r="A418" i="1"/>
  <c r="B418" i="1"/>
  <c r="C418" i="1"/>
  <c r="D418" i="1"/>
  <c r="E418" i="1" s="1"/>
  <c r="H418" i="1" s="1"/>
  <c r="F418" i="1"/>
  <c r="G418" i="1"/>
  <c r="I418" i="1"/>
  <c r="J418" i="1"/>
  <c r="K418" i="1"/>
  <c r="L418" i="1"/>
  <c r="A419" i="1"/>
  <c r="B419" i="1"/>
  <c r="C419" i="1"/>
  <c r="D419" i="1"/>
  <c r="E419" i="1" s="1"/>
  <c r="H419" i="1" s="1"/>
  <c r="F419" i="1"/>
  <c r="G419" i="1"/>
  <c r="I419" i="1"/>
  <c r="J419" i="1"/>
  <c r="K419" i="1"/>
  <c r="L419" i="1"/>
  <c r="A420" i="1"/>
  <c r="B420" i="1"/>
  <c r="C420" i="1"/>
  <c r="D420" i="1"/>
  <c r="E420" i="1" s="1"/>
  <c r="H420" i="1" s="1"/>
  <c r="F420" i="1"/>
  <c r="G420" i="1"/>
  <c r="I420" i="1"/>
  <c r="J420" i="1"/>
  <c r="K420" i="1"/>
  <c r="L420" i="1"/>
  <c r="A421" i="1"/>
  <c r="B421" i="1"/>
  <c r="C421" i="1"/>
  <c r="D421" i="1"/>
  <c r="E421" i="1" s="1"/>
  <c r="H421" i="1" s="1"/>
  <c r="F421" i="1"/>
  <c r="G421" i="1"/>
  <c r="I421" i="1"/>
  <c r="J421" i="1"/>
  <c r="K421" i="1"/>
  <c r="L421" i="1"/>
  <c r="A422" i="1"/>
  <c r="B422" i="1"/>
  <c r="C422" i="1"/>
  <c r="D422" i="1"/>
  <c r="E422" i="1" s="1"/>
  <c r="H422" i="1" s="1"/>
  <c r="F422" i="1"/>
  <c r="G422" i="1"/>
  <c r="I422" i="1"/>
  <c r="J422" i="1"/>
  <c r="K422" i="1"/>
  <c r="L422" i="1"/>
  <c r="A423" i="1"/>
  <c r="B423" i="1"/>
  <c r="C423" i="1"/>
  <c r="D423" i="1"/>
  <c r="E423" i="1" s="1"/>
  <c r="H423" i="1" s="1"/>
  <c r="F423" i="1"/>
  <c r="G423" i="1"/>
  <c r="I423" i="1"/>
  <c r="J423" i="1"/>
  <c r="K423" i="1"/>
  <c r="L423" i="1"/>
  <c r="A424" i="1"/>
  <c r="B424" i="1"/>
  <c r="C424" i="1"/>
  <c r="D424" i="1"/>
  <c r="E424" i="1" s="1"/>
  <c r="H424" i="1" s="1"/>
  <c r="F424" i="1"/>
  <c r="G424" i="1"/>
  <c r="I424" i="1"/>
  <c r="J424" i="1"/>
  <c r="K424" i="1"/>
  <c r="L424" i="1"/>
  <c r="A425" i="1"/>
  <c r="B425" i="1"/>
  <c r="C425" i="1"/>
  <c r="D425" i="1"/>
  <c r="E425" i="1" s="1"/>
  <c r="H425" i="1" s="1"/>
  <c r="F425" i="1"/>
  <c r="G425" i="1"/>
  <c r="I425" i="1"/>
  <c r="J425" i="1"/>
  <c r="K425" i="1"/>
  <c r="L425" i="1"/>
  <c r="A426" i="1"/>
  <c r="B426" i="1"/>
  <c r="C426" i="1"/>
  <c r="D426" i="1"/>
  <c r="E426" i="1" s="1"/>
  <c r="H426" i="1" s="1"/>
  <c r="F426" i="1"/>
  <c r="G426" i="1"/>
  <c r="I426" i="1"/>
  <c r="J426" i="1"/>
  <c r="K426" i="1"/>
  <c r="L426" i="1"/>
  <c r="A427" i="1"/>
  <c r="B427" i="1"/>
  <c r="C427" i="1"/>
  <c r="D427" i="1"/>
  <c r="E427" i="1" s="1"/>
  <c r="H427" i="1" s="1"/>
  <c r="F427" i="1"/>
  <c r="G427" i="1"/>
  <c r="I427" i="1"/>
  <c r="J427" i="1"/>
  <c r="K427" i="1"/>
  <c r="L427" i="1"/>
  <c r="A428" i="1"/>
  <c r="B428" i="1"/>
  <c r="C428" i="1"/>
  <c r="D428" i="1"/>
  <c r="E428" i="1" s="1"/>
  <c r="H428" i="1" s="1"/>
  <c r="F428" i="1"/>
  <c r="G428" i="1"/>
  <c r="I428" i="1"/>
  <c r="J428" i="1"/>
  <c r="K428" i="1"/>
  <c r="L428" i="1"/>
  <c r="A429" i="1"/>
  <c r="B429" i="1"/>
  <c r="C429" i="1"/>
  <c r="D429" i="1"/>
  <c r="E429" i="1" s="1"/>
  <c r="H429" i="1" s="1"/>
  <c r="F429" i="1"/>
  <c r="G429" i="1"/>
  <c r="I429" i="1"/>
  <c r="J429" i="1"/>
  <c r="K429" i="1"/>
  <c r="L429" i="1"/>
  <c r="A430" i="1"/>
  <c r="B430" i="1"/>
  <c r="C430" i="1"/>
  <c r="D430" i="1"/>
  <c r="E430" i="1" s="1"/>
  <c r="H430" i="1" s="1"/>
  <c r="F430" i="1"/>
  <c r="G430" i="1"/>
  <c r="I430" i="1"/>
  <c r="J430" i="1"/>
  <c r="K430" i="1"/>
  <c r="L430" i="1"/>
  <c r="A431" i="1"/>
  <c r="B431" i="1"/>
  <c r="C431" i="1"/>
  <c r="D431" i="1"/>
  <c r="E431" i="1" s="1"/>
  <c r="H431" i="1" s="1"/>
  <c r="F431" i="1"/>
  <c r="G431" i="1"/>
  <c r="I431" i="1"/>
  <c r="J431" i="1"/>
  <c r="K431" i="1"/>
  <c r="L431" i="1"/>
  <c r="A432" i="1"/>
  <c r="B432" i="1"/>
  <c r="C432" i="1"/>
  <c r="D432" i="1"/>
  <c r="E432" i="1" s="1"/>
  <c r="H432" i="1" s="1"/>
  <c r="F432" i="1"/>
  <c r="G432" i="1"/>
  <c r="I432" i="1"/>
  <c r="J432" i="1"/>
  <c r="K432" i="1"/>
  <c r="L432" i="1"/>
  <c r="A433" i="1"/>
  <c r="B433" i="1"/>
  <c r="C433" i="1"/>
  <c r="D433" i="1"/>
  <c r="E433" i="1" s="1"/>
  <c r="H433" i="1" s="1"/>
  <c r="F433" i="1"/>
  <c r="G433" i="1"/>
  <c r="I433" i="1"/>
  <c r="J433" i="1"/>
  <c r="K433" i="1"/>
  <c r="L433" i="1"/>
  <c r="A434" i="1"/>
  <c r="B434" i="1"/>
  <c r="C434" i="1"/>
  <c r="D434" i="1"/>
  <c r="E434" i="1" s="1"/>
  <c r="H434" i="1" s="1"/>
  <c r="F434" i="1"/>
  <c r="G434" i="1"/>
  <c r="I434" i="1"/>
  <c r="J434" i="1"/>
  <c r="K434" i="1"/>
  <c r="L434" i="1"/>
  <c r="A435" i="1"/>
  <c r="B435" i="1"/>
  <c r="C435" i="1"/>
  <c r="D435" i="1"/>
  <c r="E435" i="1" s="1"/>
  <c r="H435" i="1" s="1"/>
  <c r="F435" i="1"/>
  <c r="G435" i="1"/>
  <c r="I435" i="1"/>
  <c r="J435" i="1"/>
  <c r="K435" i="1"/>
  <c r="L435" i="1"/>
  <c r="A436" i="1"/>
  <c r="B436" i="1"/>
  <c r="C436" i="1"/>
  <c r="D436" i="1"/>
  <c r="E436" i="1" s="1"/>
  <c r="H436" i="1" s="1"/>
  <c r="F436" i="1"/>
  <c r="G436" i="1"/>
  <c r="I436" i="1"/>
  <c r="J436" i="1"/>
  <c r="K436" i="1"/>
  <c r="L436" i="1"/>
  <c r="A437" i="1"/>
  <c r="B437" i="1"/>
  <c r="C437" i="1"/>
  <c r="D437" i="1"/>
  <c r="E437" i="1" s="1"/>
  <c r="H437" i="1" s="1"/>
  <c r="F437" i="1"/>
  <c r="G437" i="1"/>
  <c r="I437" i="1"/>
  <c r="J437" i="1"/>
  <c r="K437" i="1"/>
  <c r="L437" i="1"/>
  <c r="A438" i="1"/>
  <c r="B438" i="1"/>
  <c r="C438" i="1"/>
  <c r="D438" i="1"/>
  <c r="E438" i="1" s="1"/>
  <c r="H438" i="1" s="1"/>
  <c r="F438" i="1"/>
  <c r="G438" i="1"/>
  <c r="I438" i="1"/>
  <c r="J438" i="1"/>
  <c r="K438" i="1"/>
  <c r="L438" i="1"/>
  <c r="A439" i="1"/>
  <c r="B439" i="1"/>
  <c r="C439" i="1"/>
  <c r="D439" i="1"/>
  <c r="E439" i="1" s="1"/>
  <c r="H439" i="1" s="1"/>
  <c r="F439" i="1"/>
  <c r="G439" i="1"/>
  <c r="I439" i="1"/>
  <c r="J439" i="1"/>
  <c r="K439" i="1"/>
  <c r="L439" i="1"/>
  <c r="A440" i="1"/>
  <c r="B440" i="1"/>
  <c r="C440" i="1"/>
  <c r="D440" i="1"/>
  <c r="E440" i="1" s="1"/>
  <c r="H440" i="1" s="1"/>
  <c r="F440" i="1"/>
  <c r="G440" i="1"/>
  <c r="I440" i="1"/>
  <c r="J440" i="1"/>
  <c r="K440" i="1"/>
  <c r="L440" i="1"/>
  <c r="A441" i="1"/>
  <c r="B441" i="1"/>
  <c r="C441" i="1"/>
  <c r="D441" i="1"/>
  <c r="E441" i="1" s="1"/>
  <c r="H441" i="1" s="1"/>
  <c r="F441" i="1"/>
  <c r="G441" i="1"/>
  <c r="I441" i="1"/>
  <c r="J441" i="1"/>
  <c r="K441" i="1"/>
  <c r="L441" i="1"/>
  <c r="A442" i="1"/>
  <c r="B442" i="1"/>
  <c r="C442" i="1"/>
  <c r="D442" i="1"/>
  <c r="E442" i="1" s="1"/>
  <c r="H442" i="1" s="1"/>
  <c r="F442" i="1"/>
  <c r="G442" i="1"/>
  <c r="I442" i="1"/>
  <c r="J442" i="1"/>
  <c r="K442" i="1"/>
  <c r="L442" i="1"/>
  <c r="A443" i="1"/>
  <c r="B443" i="1"/>
  <c r="C443" i="1"/>
  <c r="D443" i="1"/>
  <c r="E443" i="1" s="1"/>
  <c r="H443" i="1" s="1"/>
  <c r="F443" i="1"/>
  <c r="G443" i="1"/>
  <c r="I443" i="1"/>
  <c r="J443" i="1"/>
  <c r="K443" i="1"/>
  <c r="L443" i="1"/>
  <c r="A444" i="1"/>
  <c r="B444" i="1"/>
  <c r="C444" i="1"/>
  <c r="D444" i="1"/>
  <c r="E444" i="1" s="1"/>
  <c r="H444" i="1" s="1"/>
  <c r="F444" i="1"/>
  <c r="G444" i="1"/>
  <c r="I444" i="1"/>
  <c r="J444" i="1"/>
  <c r="K444" i="1"/>
  <c r="L444" i="1"/>
  <c r="A445" i="1"/>
  <c r="B445" i="1"/>
  <c r="C445" i="1"/>
  <c r="D445" i="1"/>
  <c r="E445" i="1" s="1"/>
  <c r="H445" i="1" s="1"/>
  <c r="F445" i="1"/>
  <c r="G445" i="1"/>
  <c r="I445" i="1"/>
  <c r="J445" i="1"/>
  <c r="K445" i="1"/>
  <c r="L445" i="1"/>
  <c r="A446" i="1"/>
  <c r="B446" i="1"/>
  <c r="C446" i="1"/>
  <c r="D446" i="1"/>
  <c r="E446" i="1" s="1"/>
  <c r="H446" i="1" s="1"/>
  <c r="F446" i="1"/>
  <c r="G446" i="1"/>
  <c r="I446" i="1"/>
  <c r="J446" i="1"/>
  <c r="K446" i="1"/>
  <c r="L446" i="1"/>
  <c r="A447" i="1"/>
  <c r="B447" i="1"/>
  <c r="C447" i="1"/>
  <c r="D447" i="1"/>
  <c r="E447" i="1" s="1"/>
  <c r="H447" i="1" s="1"/>
  <c r="F447" i="1"/>
  <c r="G447" i="1"/>
  <c r="I447" i="1"/>
  <c r="J447" i="1"/>
  <c r="K447" i="1"/>
  <c r="L447" i="1"/>
  <c r="A448" i="1"/>
  <c r="B448" i="1"/>
  <c r="C448" i="1"/>
  <c r="D448" i="1"/>
  <c r="E448" i="1" s="1"/>
  <c r="H448" i="1" s="1"/>
  <c r="F448" i="1"/>
  <c r="G448" i="1"/>
  <c r="I448" i="1"/>
  <c r="J448" i="1"/>
  <c r="K448" i="1"/>
  <c r="L448" i="1"/>
  <c r="A449" i="1"/>
  <c r="B449" i="1"/>
  <c r="C449" i="1"/>
  <c r="D449" i="1"/>
  <c r="E449" i="1" s="1"/>
  <c r="H449" i="1" s="1"/>
  <c r="F449" i="1"/>
  <c r="G449" i="1"/>
  <c r="I449" i="1"/>
  <c r="J449" i="1"/>
  <c r="K449" i="1"/>
  <c r="L449" i="1"/>
  <c r="A450" i="1"/>
  <c r="B450" i="1"/>
  <c r="C450" i="1"/>
  <c r="D450" i="1"/>
  <c r="E450" i="1" s="1"/>
  <c r="H450" i="1" s="1"/>
  <c r="F450" i="1"/>
  <c r="G450" i="1"/>
  <c r="I450" i="1"/>
  <c r="J450" i="1"/>
  <c r="K450" i="1"/>
  <c r="L450" i="1"/>
  <c r="A451" i="1"/>
  <c r="B451" i="1"/>
  <c r="C451" i="1"/>
  <c r="D451" i="1"/>
  <c r="E451" i="1" s="1"/>
  <c r="H451" i="1" s="1"/>
  <c r="F451" i="1"/>
  <c r="G451" i="1"/>
  <c r="I451" i="1"/>
  <c r="J451" i="1"/>
  <c r="K451" i="1"/>
  <c r="L451" i="1"/>
  <c r="A452" i="1"/>
  <c r="B452" i="1"/>
  <c r="C452" i="1"/>
  <c r="D452" i="1"/>
  <c r="E452" i="1" s="1"/>
  <c r="H452" i="1" s="1"/>
  <c r="F452" i="1"/>
  <c r="G452" i="1"/>
  <c r="I452" i="1"/>
  <c r="J452" i="1"/>
  <c r="K452" i="1"/>
  <c r="L452" i="1"/>
  <c r="A453" i="1"/>
  <c r="B453" i="1"/>
  <c r="C453" i="1"/>
  <c r="D453" i="1"/>
  <c r="E453" i="1" s="1"/>
  <c r="H453" i="1" s="1"/>
  <c r="F453" i="1"/>
  <c r="G453" i="1"/>
  <c r="I453" i="1"/>
  <c r="J453" i="1"/>
  <c r="K453" i="1"/>
  <c r="L453" i="1"/>
  <c r="A454" i="1"/>
  <c r="B454" i="1"/>
  <c r="C454" i="1"/>
  <c r="D454" i="1"/>
  <c r="E454" i="1" s="1"/>
  <c r="H454" i="1" s="1"/>
  <c r="F454" i="1"/>
  <c r="G454" i="1"/>
  <c r="I454" i="1"/>
  <c r="J454" i="1"/>
  <c r="K454" i="1"/>
  <c r="L454" i="1"/>
  <c r="A455" i="1"/>
  <c r="B455" i="1"/>
  <c r="C455" i="1"/>
  <c r="D455" i="1"/>
  <c r="E455" i="1" s="1"/>
  <c r="H455" i="1" s="1"/>
  <c r="F455" i="1"/>
  <c r="G455" i="1"/>
  <c r="I455" i="1"/>
  <c r="J455" i="1"/>
  <c r="K455" i="1"/>
  <c r="L455" i="1"/>
  <c r="A456" i="1"/>
  <c r="B456" i="1"/>
  <c r="C456" i="1"/>
  <c r="D456" i="1"/>
  <c r="E456" i="1" s="1"/>
  <c r="H456" i="1" s="1"/>
  <c r="F456" i="1"/>
  <c r="G456" i="1"/>
  <c r="I456" i="1"/>
  <c r="J456" i="1"/>
  <c r="K456" i="1"/>
  <c r="L456" i="1"/>
  <c r="A457" i="1"/>
  <c r="B457" i="1"/>
  <c r="C457" i="1"/>
  <c r="D457" i="1"/>
  <c r="E457" i="1" s="1"/>
  <c r="H457" i="1" s="1"/>
  <c r="F457" i="1"/>
  <c r="G457" i="1"/>
  <c r="I457" i="1"/>
  <c r="J457" i="1"/>
  <c r="K457" i="1"/>
  <c r="L457" i="1"/>
  <c r="A458" i="1"/>
  <c r="B458" i="1"/>
  <c r="C458" i="1"/>
  <c r="D458" i="1"/>
  <c r="E458" i="1" s="1"/>
  <c r="H458" i="1" s="1"/>
  <c r="F458" i="1"/>
  <c r="G458" i="1"/>
  <c r="I458" i="1"/>
  <c r="J458" i="1"/>
  <c r="K458" i="1"/>
  <c r="L458" i="1"/>
  <c r="A459" i="1"/>
  <c r="B459" i="1"/>
  <c r="C459" i="1"/>
  <c r="D459" i="1"/>
  <c r="E459" i="1" s="1"/>
  <c r="H459" i="1" s="1"/>
  <c r="F459" i="1"/>
  <c r="G459" i="1"/>
  <c r="I459" i="1"/>
  <c r="J459" i="1"/>
  <c r="K459" i="1"/>
  <c r="L459" i="1"/>
  <c r="A460" i="1"/>
  <c r="B460" i="1"/>
  <c r="C460" i="1"/>
  <c r="D460" i="1"/>
  <c r="E460" i="1" s="1"/>
  <c r="H460" i="1" s="1"/>
  <c r="F460" i="1"/>
  <c r="G460" i="1"/>
  <c r="I460" i="1"/>
  <c r="J460" i="1"/>
  <c r="K460" i="1"/>
  <c r="L460" i="1"/>
  <c r="A461" i="1"/>
  <c r="B461" i="1"/>
  <c r="C461" i="1"/>
  <c r="D461" i="1"/>
  <c r="E461" i="1" s="1"/>
  <c r="H461" i="1" s="1"/>
  <c r="F461" i="1"/>
  <c r="G461" i="1"/>
  <c r="I461" i="1"/>
  <c r="J461" i="1"/>
  <c r="K461" i="1"/>
  <c r="L461" i="1"/>
  <c r="A462" i="1"/>
  <c r="B462" i="1"/>
  <c r="C462" i="1"/>
  <c r="D462" i="1"/>
  <c r="E462" i="1" s="1"/>
  <c r="H462" i="1" s="1"/>
  <c r="F462" i="1"/>
  <c r="G462" i="1"/>
  <c r="I462" i="1"/>
  <c r="J462" i="1"/>
  <c r="K462" i="1"/>
  <c r="L462" i="1"/>
  <c r="A463" i="1"/>
  <c r="B463" i="1"/>
  <c r="C463" i="1"/>
  <c r="D463" i="1"/>
  <c r="E463" i="1" s="1"/>
  <c r="H463" i="1" s="1"/>
  <c r="F463" i="1"/>
  <c r="G463" i="1"/>
  <c r="I463" i="1"/>
  <c r="J463" i="1"/>
  <c r="K463" i="1"/>
  <c r="L463" i="1"/>
  <c r="A464" i="1"/>
  <c r="B464" i="1"/>
  <c r="C464" i="1"/>
  <c r="D464" i="1"/>
  <c r="E464" i="1" s="1"/>
  <c r="H464" i="1" s="1"/>
  <c r="F464" i="1"/>
  <c r="G464" i="1"/>
  <c r="I464" i="1"/>
  <c r="J464" i="1"/>
  <c r="K464" i="1"/>
  <c r="L464" i="1"/>
  <c r="A465" i="1"/>
  <c r="B465" i="1"/>
  <c r="C465" i="1"/>
  <c r="D465" i="1"/>
  <c r="E465" i="1" s="1"/>
  <c r="H465" i="1" s="1"/>
  <c r="F465" i="1"/>
  <c r="G465" i="1"/>
  <c r="I465" i="1"/>
  <c r="J465" i="1"/>
  <c r="K465" i="1"/>
  <c r="L465" i="1"/>
  <c r="A466" i="1"/>
  <c r="B466" i="1"/>
  <c r="C466" i="1"/>
  <c r="D466" i="1"/>
  <c r="E466" i="1" s="1"/>
  <c r="H466" i="1" s="1"/>
  <c r="F466" i="1"/>
  <c r="G466" i="1"/>
  <c r="I466" i="1"/>
  <c r="J466" i="1"/>
  <c r="K466" i="1"/>
  <c r="L466" i="1"/>
  <c r="A467" i="1"/>
  <c r="B467" i="1"/>
  <c r="C467" i="1"/>
  <c r="D467" i="1"/>
  <c r="E467" i="1" s="1"/>
  <c r="H467" i="1" s="1"/>
  <c r="F467" i="1"/>
  <c r="G467" i="1"/>
  <c r="I467" i="1"/>
  <c r="J467" i="1"/>
  <c r="K467" i="1"/>
  <c r="L467" i="1"/>
  <c r="A468" i="1"/>
  <c r="B468" i="1"/>
  <c r="C468" i="1"/>
  <c r="D468" i="1"/>
  <c r="E468" i="1" s="1"/>
  <c r="H468" i="1" s="1"/>
  <c r="F468" i="1"/>
  <c r="G468" i="1"/>
  <c r="I468" i="1"/>
  <c r="J468" i="1"/>
  <c r="K468" i="1"/>
  <c r="L468" i="1"/>
  <c r="A469" i="1"/>
  <c r="B469" i="1"/>
  <c r="C469" i="1"/>
  <c r="D469" i="1"/>
  <c r="E469" i="1" s="1"/>
  <c r="H469" i="1" s="1"/>
  <c r="F469" i="1"/>
  <c r="G469" i="1"/>
  <c r="I469" i="1"/>
  <c r="J469" i="1"/>
  <c r="K469" i="1"/>
  <c r="L469" i="1"/>
  <c r="A470" i="1"/>
  <c r="B470" i="1"/>
  <c r="C470" i="1"/>
  <c r="D470" i="1"/>
  <c r="E470" i="1" s="1"/>
  <c r="H470" i="1" s="1"/>
  <c r="F470" i="1"/>
  <c r="G470" i="1"/>
  <c r="I470" i="1"/>
  <c r="J470" i="1"/>
  <c r="K470" i="1"/>
  <c r="L470" i="1"/>
  <c r="A471" i="1"/>
  <c r="B471" i="1"/>
  <c r="C471" i="1"/>
  <c r="D471" i="1"/>
  <c r="E471" i="1" s="1"/>
  <c r="H471" i="1" s="1"/>
  <c r="F471" i="1"/>
  <c r="G471" i="1"/>
  <c r="I471" i="1"/>
  <c r="J471" i="1"/>
  <c r="K471" i="1"/>
  <c r="L471" i="1"/>
  <c r="A472" i="1"/>
  <c r="B472" i="1"/>
  <c r="C472" i="1"/>
  <c r="D472" i="1"/>
  <c r="E472" i="1" s="1"/>
  <c r="H472" i="1" s="1"/>
  <c r="F472" i="1"/>
  <c r="G472" i="1"/>
  <c r="I472" i="1"/>
  <c r="J472" i="1"/>
  <c r="K472" i="1"/>
  <c r="L472" i="1"/>
  <c r="A473" i="1"/>
  <c r="B473" i="1"/>
  <c r="C473" i="1"/>
  <c r="D473" i="1"/>
  <c r="E473" i="1" s="1"/>
  <c r="H473" i="1" s="1"/>
  <c r="F473" i="1"/>
  <c r="G473" i="1"/>
  <c r="I473" i="1"/>
  <c r="J473" i="1"/>
  <c r="K473" i="1"/>
  <c r="L473" i="1"/>
  <c r="A474" i="1"/>
  <c r="B474" i="1"/>
  <c r="C474" i="1"/>
  <c r="D474" i="1"/>
  <c r="E474" i="1" s="1"/>
  <c r="H474" i="1" s="1"/>
  <c r="F474" i="1"/>
  <c r="G474" i="1"/>
  <c r="I474" i="1"/>
  <c r="J474" i="1"/>
  <c r="K474" i="1"/>
  <c r="L474" i="1"/>
  <c r="A475" i="1"/>
  <c r="B475" i="1"/>
  <c r="C475" i="1"/>
  <c r="D475" i="1"/>
  <c r="E475" i="1" s="1"/>
  <c r="H475" i="1" s="1"/>
  <c r="F475" i="1"/>
  <c r="G475" i="1"/>
  <c r="I475" i="1"/>
  <c r="J475" i="1"/>
  <c r="K475" i="1"/>
  <c r="L475" i="1"/>
  <c r="A476" i="1"/>
  <c r="B476" i="1"/>
  <c r="C476" i="1"/>
  <c r="D476" i="1"/>
  <c r="E476" i="1" s="1"/>
  <c r="H476" i="1" s="1"/>
  <c r="F476" i="1"/>
  <c r="G476" i="1"/>
  <c r="I476" i="1"/>
  <c r="J476" i="1"/>
  <c r="K476" i="1"/>
  <c r="L476" i="1"/>
  <c r="A477" i="1"/>
  <c r="B477" i="1"/>
  <c r="C477" i="1"/>
  <c r="D477" i="1"/>
  <c r="E477" i="1" s="1"/>
  <c r="H477" i="1" s="1"/>
  <c r="F477" i="1"/>
  <c r="G477" i="1"/>
  <c r="I477" i="1"/>
  <c r="J477" i="1"/>
  <c r="K477" i="1"/>
  <c r="L477" i="1"/>
  <c r="A478" i="1"/>
  <c r="B478" i="1"/>
  <c r="C478" i="1"/>
  <c r="D478" i="1"/>
  <c r="E478" i="1" s="1"/>
  <c r="H478" i="1" s="1"/>
  <c r="F478" i="1"/>
  <c r="G478" i="1"/>
  <c r="I478" i="1"/>
  <c r="J478" i="1"/>
  <c r="K478" i="1"/>
  <c r="L478" i="1"/>
  <c r="A479" i="1"/>
  <c r="B479" i="1"/>
  <c r="C479" i="1"/>
  <c r="D479" i="1"/>
  <c r="E479" i="1" s="1"/>
  <c r="H479" i="1" s="1"/>
  <c r="F479" i="1"/>
  <c r="G479" i="1"/>
  <c r="I479" i="1"/>
  <c r="J479" i="1"/>
  <c r="K479" i="1"/>
  <c r="L479" i="1"/>
  <c r="A480" i="1"/>
  <c r="B480" i="1"/>
  <c r="C480" i="1"/>
  <c r="D480" i="1"/>
  <c r="E480" i="1" s="1"/>
  <c r="H480" i="1" s="1"/>
  <c r="F480" i="1"/>
  <c r="G480" i="1"/>
  <c r="I480" i="1"/>
  <c r="J480" i="1"/>
  <c r="K480" i="1"/>
  <c r="L480" i="1"/>
  <c r="A481" i="1"/>
  <c r="B481" i="1"/>
  <c r="C481" i="1"/>
  <c r="D481" i="1"/>
  <c r="E481" i="1" s="1"/>
  <c r="H481" i="1" s="1"/>
  <c r="F481" i="1"/>
  <c r="G481" i="1"/>
  <c r="I481" i="1"/>
  <c r="J481" i="1"/>
  <c r="K481" i="1"/>
  <c r="L481" i="1"/>
  <c r="A482" i="1"/>
  <c r="B482" i="1"/>
  <c r="C482" i="1"/>
  <c r="D482" i="1"/>
  <c r="E482" i="1" s="1"/>
  <c r="H482" i="1" s="1"/>
  <c r="F482" i="1"/>
  <c r="G482" i="1"/>
  <c r="I482" i="1"/>
  <c r="J482" i="1"/>
  <c r="K482" i="1"/>
  <c r="L482" i="1"/>
  <c r="A483" i="1"/>
  <c r="B483" i="1"/>
  <c r="C483" i="1"/>
  <c r="D483" i="1"/>
  <c r="E483" i="1" s="1"/>
  <c r="H483" i="1" s="1"/>
  <c r="F483" i="1"/>
  <c r="G483" i="1"/>
  <c r="I483" i="1"/>
  <c r="J483" i="1"/>
  <c r="K483" i="1"/>
  <c r="L483" i="1"/>
  <c r="A484" i="1"/>
  <c r="B484" i="1"/>
  <c r="C484" i="1"/>
  <c r="D484" i="1"/>
  <c r="E484" i="1" s="1"/>
  <c r="H484" i="1" s="1"/>
  <c r="F484" i="1"/>
  <c r="G484" i="1"/>
  <c r="I484" i="1"/>
  <c r="J484" i="1"/>
  <c r="K484" i="1"/>
  <c r="L484" i="1"/>
  <c r="A485" i="1"/>
  <c r="B485" i="1"/>
  <c r="C485" i="1"/>
  <c r="D485" i="1"/>
  <c r="E485" i="1" s="1"/>
  <c r="H485" i="1" s="1"/>
  <c r="F485" i="1"/>
  <c r="G485" i="1"/>
  <c r="I485" i="1"/>
  <c r="J485" i="1"/>
  <c r="K485" i="1"/>
  <c r="L485" i="1"/>
  <c r="A486" i="1"/>
  <c r="B486" i="1"/>
  <c r="C486" i="1"/>
  <c r="D486" i="1"/>
  <c r="E486" i="1" s="1"/>
  <c r="H486" i="1" s="1"/>
  <c r="F486" i="1"/>
  <c r="G486" i="1"/>
  <c r="I486" i="1"/>
  <c r="J486" i="1"/>
  <c r="K486" i="1"/>
  <c r="L486" i="1"/>
  <c r="A487" i="1"/>
  <c r="B487" i="1"/>
  <c r="C487" i="1"/>
  <c r="D487" i="1"/>
  <c r="E487" i="1" s="1"/>
  <c r="H487" i="1" s="1"/>
  <c r="F487" i="1"/>
  <c r="G487" i="1"/>
  <c r="I487" i="1"/>
  <c r="J487" i="1"/>
  <c r="K487" i="1"/>
  <c r="L487" i="1"/>
  <c r="A488" i="1"/>
  <c r="B488" i="1"/>
  <c r="C488" i="1"/>
  <c r="D488" i="1"/>
  <c r="E488" i="1" s="1"/>
  <c r="H488" i="1" s="1"/>
  <c r="F488" i="1"/>
  <c r="G488" i="1"/>
  <c r="I488" i="1"/>
  <c r="J488" i="1"/>
  <c r="K488" i="1"/>
  <c r="L488" i="1"/>
  <c r="A489" i="1"/>
  <c r="B489" i="1"/>
  <c r="C489" i="1"/>
  <c r="D489" i="1"/>
  <c r="E489" i="1" s="1"/>
  <c r="H489" i="1" s="1"/>
  <c r="F489" i="1"/>
  <c r="G489" i="1"/>
  <c r="I489" i="1"/>
  <c r="J489" i="1"/>
  <c r="K489" i="1"/>
  <c r="L489" i="1"/>
  <c r="A490" i="1"/>
  <c r="B490" i="1"/>
  <c r="C490" i="1"/>
  <c r="D490" i="1"/>
  <c r="E490" i="1" s="1"/>
  <c r="H490" i="1" s="1"/>
  <c r="F490" i="1"/>
  <c r="G490" i="1"/>
  <c r="I490" i="1"/>
  <c r="J490" i="1"/>
  <c r="K490" i="1"/>
  <c r="L490" i="1"/>
  <c r="A491" i="1"/>
  <c r="B491" i="1"/>
  <c r="C491" i="1"/>
  <c r="D491" i="1"/>
  <c r="E491" i="1" s="1"/>
  <c r="H491" i="1" s="1"/>
  <c r="F491" i="1"/>
  <c r="G491" i="1"/>
  <c r="I491" i="1"/>
  <c r="J491" i="1"/>
  <c r="K491" i="1"/>
  <c r="L491" i="1"/>
  <c r="A492" i="1"/>
  <c r="B492" i="1"/>
  <c r="C492" i="1"/>
  <c r="D492" i="1"/>
  <c r="E492" i="1" s="1"/>
  <c r="H492" i="1" s="1"/>
  <c r="F492" i="1"/>
  <c r="G492" i="1"/>
  <c r="I492" i="1"/>
  <c r="J492" i="1"/>
  <c r="K492" i="1"/>
  <c r="L492" i="1"/>
  <c r="A493" i="1"/>
  <c r="B493" i="1"/>
  <c r="C493" i="1"/>
  <c r="D493" i="1"/>
  <c r="E493" i="1" s="1"/>
  <c r="H493" i="1" s="1"/>
  <c r="F493" i="1"/>
  <c r="G493" i="1"/>
  <c r="I493" i="1"/>
  <c r="J493" i="1"/>
  <c r="K493" i="1"/>
  <c r="L493" i="1"/>
  <c r="A494" i="1"/>
  <c r="B494" i="1"/>
  <c r="C494" i="1"/>
  <c r="D494" i="1"/>
  <c r="E494" i="1" s="1"/>
  <c r="H494" i="1" s="1"/>
  <c r="F494" i="1"/>
  <c r="G494" i="1"/>
  <c r="I494" i="1"/>
  <c r="J494" i="1"/>
  <c r="K494" i="1"/>
  <c r="L494" i="1"/>
  <c r="A495" i="1"/>
  <c r="B495" i="1"/>
  <c r="C495" i="1"/>
  <c r="D495" i="1"/>
  <c r="E495" i="1" s="1"/>
  <c r="H495" i="1" s="1"/>
  <c r="F495" i="1"/>
  <c r="G495" i="1"/>
  <c r="I495" i="1"/>
  <c r="J495" i="1"/>
  <c r="K495" i="1"/>
  <c r="L495" i="1"/>
  <c r="A496" i="1"/>
  <c r="B496" i="1"/>
  <c r="C496" i="1"/>
  <c r="D496" i="1"/>
  <c r="E496" i="1" s="1"/>
  <c r="H496" i="1" s="1"/>
  <c r="F496" i="1"/>
  <c r="G496" i="1"/>
  <c r="I496" i="1"/>
  <c r="J496" i="1"/>
  <c r="K496" i="1"/>
  <c r="L496" i="1"/>
  <c r="A497" i="1"/>
  <c r="B497" i="1"/>
  <c r="C497" i="1"/>
  <c r="D497" i="1"/>
  <c r="E497" i="1" s="1"/>
  <c r="H497" i="1" s="1"/>
  <c r="F497" i="1"/>
  <c r="G497" i="1"/>
  <c r="I497" i="1"/>
  <c r="J497" i="1"/>
  <c r="K497" i="1"/>
  <c r="L497" i="1"/>
  <c r="A498" i="1"/>
  <c r="B498" i="1"/>
  <c r="C498" i="1"/>
  <c r="D498" i="1"/>
  <c r="E498" i="1" s="1"/>
  <c r="H498" i="1" s="1"/>
  <c r="F498" i="1"/>
  <c r="G498" i="1"/>
  <c r="I498" i="1"/>
  <c r="J498" i="1"/>
  <c r="K498" i="1"/>
  <c r="L498" i="1"/>
  <c r="A499" i="1"/>
  <c r="B499" i="1"/>
  <c r="C499" i="1"/>
  <c r="D499" i="1"/>
  <c r="E499" i="1" s="1"/>
  <c r="H499" i="1" s="1"/>
  <c r="F499" i="1"/>
  <c r="G499" i="1"/>
  <c r="I499" i="1"/>
  <c r="J499" i="1"/>
  <c r="K499" i="1"/>
  <c r="L499" i="1"/>
  <c r="A500" i="1"/>
  <c r="B500" i="1"/>
  <c r="C500" i="1"/>
  <c r="D500" i="1"/>
  <c r="E500" i="1" s="1"/>
  <c r="H500" i="1" s="1"/>
  <c r="F500" i="1"/>
  <c r="G500" i="1"/>
  <c r="I500" i="1"/>
  <c r="J500" i="1"/>
  <c r="K500" i="1"/>
  <c r="L500" i="1"/>
  <c r="A501" i="1"/>
  <c r="B501" i="1"/>
  <c r="C501" i="1"/>
  <c r="D501" i="1"/>
  <c r="E501" i="1" s="1"/>
  <c r="H501" i="1" s="1"/>
  <c r="F501" i="1"/>
  <c r="G501" i="1"/>
  <c r="I501" i="1"/>
  <c r="J501" i="1"/>
  <c r="K501" i="1"/>
  <c r="L501" i="1"/>
  <c r="A502" i="1"/>
  <c r="B502" i="1"/>
  <c r="C502" i="1"/>
  <c r="D502" i="1"/>
  <c r="E502" i="1" s="1"/>
  <c r="H502" i="1" s="1"/>
  <c r="F502" i="1"/>
  <c r="G502" i="1"/>
  <c r="I502" i="1"/>
  <c r="J502" i="1"/>
  <c r="K502" i="1"/>
  <c r="L502" i="1"/>
  <c r="A503" i="1"/>
  <c r="B503" i="1"/>
  <c r="C503" i="1"/>
  <c r="D503" i="1"/>
  <c r="E503" i="1" s="1"/>
  <c r="H503" i="1" s="1"/>
  <c r="F503" i="1"/>
  <c r="G503" i="1"/>
  <c r="I503" i="1"/>
  <c r="J503" i="1"/>
  <c r="K503" i="1"/>
  <c r="L503" i="1"/>
  <c r="A504" i="1"/>
  <c r="B504" i="1"/>
  <c r="C504" i="1"/>
  <c r="D504" i="1"/>
  <c r="E504" i="1" s="1"/>
  <c r="H504" i="1" s="1"/>
  <c r="F504" i="1"/>
  <c r="G504" i="1"/>
  <c r="I504" i="1"/>
  <c r="J504" i="1"/>
  <c r="K504" i="1"/>
  <c r="L504" i="1"/>
  <c r="A505" i="1"/>
  <c r="B505" i="1"/>
  <c r="C505" i="1"/>
  <c r="D505" i="1"/>
  <c r="E505" i="1" s="1"/>
  <c r="H505" i="1" s="1"/>
  <c r="F505" i="1"/>
  <c r="G505" i="1"/>
  <c r="I505" i="1"/>
  <c r="J505" i="1"/>
  <c r="K505" i="1"/>
  <c r="L505" i="1"/>
  <c r="A506" i="1"/>
  <c r="B506" i="1"/>
  <c r="C506" i="1"/>
  <c r="D506" i="1"/>
  <c r="E506" i="1" s="1"/>
  <c r="H506" i="1" s="1"/>
  <c r="F506" i="1"/>
  <c r="G506" i="1"/>
  <c r="I506" i="1"/>
  <c r="J506" i="1"/>
  <c r="K506" i="1"/>
  <c r="L506" i="1"/>
  <c r="A507" i="1"/>
  <c r="B507" i="1"/>
  <c r="C507" i="1"/>
  <c r="D507" i="1"/>
  <c r="E507" i="1" s="1"/>
  <c r="H507" i="1" s="1"/>
  <c r="F507" i="1"/>
  <c r="G507" i="1"/>
  <c r="I507" i="1"/>
  <c r="J507" i="1"/>
  <c r="K507" i="1"/>
  <c r="L507" i="1"/>
  <c r="A508" i="1"/>
  <c r="B508" i="1"/>
  <c r="C508" i="1"/>
  <c r="D508" i="1"/>
  <c r="E508" i="1" s="1"/>
  <c r="H508" i="1" s="1"/>
  <c r="F508" i="1"/>
  <c r="G508" i="1"/>
  <c r="I508" i="1"/>
  <c r="J508" i="1"/>
  <c r="K508" i="1"/>
  <c r="L508" i="1"/>
  <c r="A509" i="1"/>
  <c r="B509" i="1"/>
  <c r="C509" i="1"/>
  <c r="D509" i="1"/>
  <c r="E509" i="1" s="1"/>
  <c r="H509" i="1" s="1"/>
  <c r="F509" i="1"/>
  <c r="G509" i="1"/>
  <c r="I509" i="1"/>
  <c r="J509" i="1"/>
  <c r="K509" i="1"/>
  <c r="L509" i="1"/>
  <c r="A510" i="1"/>
  <c r="B510" i="1"/>
  <c r="C510" i="1"/>
  <c r="D510" i="1"/>
  <c r="E510" i="1" s="1"/>
  <c r="H510" i="1" s="1"/>
  <c r="F510" i="1"/>
  <c r="G510" i="1"/>
  <c r="I510" i="1"/>
  <c r="J510" i="1"/>
  <c r="K510" i="1"/>
  <c r="L510" i="1"/>
  <c r="A511" i="1"/>
  <c r="B511" i="1"/>
  <c r="C511" i="1"/>
  <c r="D511" i="1"/>
  <c r="E511" i="1" s="1"/>
  <c r="H511" i="1" s="1"/>
  <c r="F511" i="1"/>
  <c r="G511" i="1"/>
  <c r="I511" i="1"/>
  <c r="J511" i="1"/>
  <c r="K511" i="1"/>
  <c r="L511" i="1"/>
  <c r="A512" i="1"/>
  <c r="B512" i="1"/>
  <c r="C512" i="1"/>
  <c r="D512" i="1"/>
  <c r="E512" i="1" s="1"/>
  <c r="H512" i="1" s="1"/>
  <c r="F512" i="1"/>
  <c r="G512" i="1"/>
  <c r="I512" i="1"/>
  <c r="J512" i="1"/>
  <c r="K512" i="1"/>
  <c r="L512" i="1"/>
  <c r="A513" i="1"/>
  <c r="B513" i="1"/>
  <c r="C513" i="1"/>
  <c r="D513" i="1"/>
  <c r="E513" i="1" s="1"/>
  <c r="H513" i="1" s="1"/>
  <c r="F513" i="1"/>
  <c r="G513" i="1"/>
  <c r="I513" i="1"/>
  <c r="J513" i="1"/>
  <c r="K513" i="1"/>
  <c r="L513" i="1"/>
  <c r="A514" i="1"/>
  <c r="B514" i="1"/>
  <c r="C514" i="1"/>
  <c r="D514" i="1"/>
  <c r="E514" i="1" s="1"/>
  <c r="H514" i="1" s="1"/>
  <c r="F514" i="1"/>
  <c r="G514" i="1"/>
  <c r="I514" i="1"/>
  <c r="J514" i="1"/>
  <c r="K514" i="1"/>
  <c r="L514" i="1"/>
  <c r="A515" i="1"/>
  <c r="B515" i="1"/>
  <c r="C515" i="1"/>
  <c r="D515" i="1"/>
  <c r="E515" i="1" s="1"/>
  <c r="H515" i="1" s="1"/>
  <c r="F515" i="1"/>
  <c r="G515" i="1"/>
  <c r="I515" i="1"/>
  <c r="J515" i="1"/>
  <c r="K515" i="1"/>
  <c r="L515" i="1"/>
  <c r="A516" i="1"/>
  <c r="B516" i="1"/>
  <c r="C516" i="1"/>
  <c r="D516" i="1"/>
  <c r="E516" i="1" s="1"/>
  <c r="H516" i="1" s="1"/>
  <c r="F516" i="1"/>
  <c r="G516" i="1"/>
  <c r="I516" i="1"/>
  <c r="J516" i="1"/>
  <c r="K516" i="1"/>
  <c r="L516" i="1"/>
  <c r="A517" i="1"/>
  <c r="B517" i="1"/>
  <c r="C517" i="1"/>
  <c r="D517" i="1"/>
  <c r="E517" i="1" s="1"/>
  <c r="H517" i="1" s="1"/>
  <c r="F517" i="1"/>
  <c r="G517" i="1"/>
  <c r="I517" i="1"/>
  <c r="J517" i="1"/>
  <c r="K517" i="1"/>
  <c r="L517" i="1"/>
  <c r="A518" i="1"/>
  <c r="B518" i="1"/>
  <c r="C518" i="1"/>
  <c r="D518" i="1"/>
  <c r="E518" i="1" s="1"/>
  <c r="H518" i="1" s="1"/>
  <c r="F518" i="1"/>
  <c r="G518" i="1"/>
  <c r="I518" i="1"/>
  <c r="J518" i="1"/>
  <c r="K518" i="1"/>
  <c r="L518" i="1"/>
  <c r="A519" i="1"/>
  <c r="B519" i="1"/>
  <c r="C519" i="1"/>
  <c r="D519" i="1"/>
  <c r="E519" i="1" s="1"/>
  <c r="H519" i="1" s="1"/>
  <c r="F519" i="1"/>
  <c r="G519" i="1"/>
  <c r="I519" i="1"/>
  <c r="J519" i="1"/>
  <c r="K519" i="1"/>
  <c r="L519" i="1"/>
  <c r="A520" i="1"/>
  <c r="B520" i="1"/>
  <c r="C520" i="1"/>
  <c r="D520" i="1"/>
  <c r="E520" i="1" s="1"/>
  <c r="H520" i="1" s="1"/>
  <c r="F520" i="1"/>
  <c r="G520" i="1"/>
  <c r="I520" i="1"/>
  <c r="J520" i="1"/>
  <c r="K520" i="1"/>
  <c r="L520" i="1"/>
  <c r="A521" i="1"/>
  <c r="B521" i="1"/>
  <c r="C521" i="1"/>
  <c r="D521" i="1"/>
  <c r="E521" i="1" s="1"/>
  <c r="H521" i="1" s="1"/>
  <c r="F521" i="1"/>
  <c r="G521" i="1"/>
  <c r="I521" i="1"/>
  <c r="J521" i="1"/>
  <c r="K521" i="1"/>
  <c r="L521" i="1"/>
  <c r="A522" i="1"/>
  <c r="B522" i="1"/>
  <c r="C522" i="1"/>
  <c r="D522" i="1"/>
  <c r="E522" i="1" s="1"/>
  <c r="H522" i="1" s="1"/>
  <c r="F522" i="1"/>
  <c r="G522" i="1"/>
  <c r="I522" i="1"/>
  <c r="J522" i="1"/>
  <c r="K522" i="1"/>
  <c r="L522" i="1"/>
  <c r="A523" i="1"/>
  <c r="B523" i="1"/>
  <c r="C523" i="1"/>
  <c r="D523" i="1"/>
  <c r="E523" i="1" s="1"/>
  <c r="H523" i="1" s="1"/>
  <c r="F523" i="1"/>
  <c r="G523" i="1"/>
  <c r="I523" i="1"/>
  <c r="J523" i="1"/>
  <c r="K523" i="1"/>
  <c r="L523" i="1"/>
  <c r="A524" i="1"/>
  <c r="B524" i="1"/>
  <c r="C524" i="1"/>
  <c r="D524" i="1"/>
  <c r="E524" i="1" s="1"/>
  <c r="H524" i="1" s="1"/>
  <c r="F524" i="1"/>
  <c r="G524" i="1"/>
  <c r="I524" i="1"/>
  <c r="J524" i="1"/>
  <c r="K524" i="1"/>
  <c r="L524" i="1"/>
  <c r="A525" i="1"/>
  <c r="B525" i="1"/>
  <c r="C525" i="1"/>
  <c r="D525" i="1"/>
  <c r="E525" i="1" s="1"/>
  <c r="H525" i="1" s="1"/>
  <c r="F525" i="1"/>
  <c r="G525" i="1"/>
  <c r="I525" i="1"/>
  <c r="J525" i="1"/>
  <c r="K525" i="1"/>
  <c r="L525" i="1"/>
  <c r="A526" i="1"/>
  <c r="B526" i="1"/>
  <c r="C526" i="1"/>
  <c r="D526" i="1"/>
  <c r="E526" i="1" s="1"/>
  <c r="H526" i="1" s="1"/>
  <c r="F526" i="1"/>
  <c r="G526" i="1"/>
  <c r="I526" i="1"/>
  <c r="J526" i="1"/>
  <c r="K526" i="1"/>
  <c r="L526" i="1"/>
  <c r="A527" i="1"/>
  <c r="B527" i="1"/>
  <c r="C527" i="1"/>
  <c r="D527" i="1"/>
  <c r="E527" i="1" s="1"/>
  <c r="H527" i="1" s="1"/>
  <c r="F527" i="1"/>
  <c r="G527" i="1"/>
  <c r="I527" i="1"/>
  <c r="J527" i="1"/>
  <c r="K527" i="1"/>
  <c r="L527" i="1"/>
  <c r="A528" i="1"/>
  <c r="B528" i="1"/>
  <c r="C528" i="1"/>
  <c r="D528" i="1"/>
  <c r="E528" i="1" s="1"/>
  <c r="H528" i="1" s="1"/>
  <c r="F528" i="1"/>
  <c r="G528" i="1"/>
  <c r="I528" i="1"/>
  <c r="J528" i="1"/>
  <c r="K528" i="1"/>
  <c r="L528" i="1"/>
  <c r="A529" i="1"/>
  <c r="B529" i="1"/>
  <c r="C529" i="1"/>
  <c r="D529" i="1"/>
  <c r="E529" i="1" s="1"/>
  <c r="H529" i="1" s="1"/>
  <c r="F529" i="1"/>
  <c r="G529" i="1"/>
  <c r="I529" i="1"/>
  <c r="J529" i="1"/>
  <c r="K529" i="1"/>
  <c r="L529" i="1"/>
  <c r="A530" i="1"/>
  <c r="B530" i="1"/>
  <c r="C530" i="1"/>
  <c r="D530" i="1"/>
  <c r="E530" i="1" s="1"/>
  <c r="H530" i="1" s="1"/>
  <c r="F530" i="1"/>
  <c r="G530" i="1"/>
  <c r="I530" i="1"/>
  <c r="J530" i="1"/>
  <c r="K530" i="1"/>
  <c r="L530" i="1"/>
  <c r="A531" i="1"/>
  <c r="B531" i="1"/>
  <c r="C531" i="1"/>
  <c r="D531" i="1"/>
  <c r="E531" i="1" s="1"/>
  <c r="H531" i="1" s="1"/>
  <c r="F531" i="1"/>
  <c r="G531" i="1"/>
  <c r="I531" i="1"/>
  <c r="J531" i="1"/>
  <c r="K531" i="1"/>
  <c r="L531" i="1"/>
  <c r="A532" i="1"/>
  <c r="B532" i="1"/>
  <c r="C532" i="1"/>
  <c r="D532" i="1"/>
  <c r="E532" i="1" s="1"/>
  <c r="H532" i="1" s="1"/>
  <c r="F532" i="1"/>
  <c r="G532" i="1"/>
  <c r="I532" i="1"/>
  <c r="J532" i="1"/>
  <c r="K532" i="1"/>
  <c r="L532" i="1"/>
  <c r="A533" i="1"/>
  <c r="B533" i="1"/>
  <c r="C533" i="1"/>
  <c r="D533" i="1"/>
  <c r="E533" i="1" s="1"/>
  <c r="H533" i="1" s="1"/>
  <c r="F533" i="1"/>
  <c r="G533" i="1"/>
  <c r="I533" i="1"/>
  <c r="J533" i="1"/>
  <c r="K533" i="1"/>
  <c r="L533" i="1"/>
  <c r="A534" i="1"/>
  <c r="B534" i="1"/>
  <c r="C534" i="1"/>
  <c r="D534" i="1"/>
  <c r="E534" i="1" s="1"/>
  <c r="H534" i="1" s="1"/>
  <c r="F534" i="1"/>
  <c r="G534" i="1"/>
  <c r="I534" i="1"/>
  <c r="J534" i="1"/>
  <c r="K534" i="1"/>
  <c r="L534" i="1"/>
  <c r="A535" i="1"/>
  <c r="B535" i="1"/>
  <c r="C535" i="1"/>
  <c r="D535" i="1"/>
  <c r="E535" i="1" s="1"/>
  <c r="H535" i="1" s="1"/>
  <c r="F535" i="1"/>
  <c r="G535" i="1"/>
  <c r="I535" i="1"/>
  <c r="J535" i="1"/>
  <c r="K535" i="1"/>
  <c r="L535" i="1"/>
  <c r="A536" i="1"/>
  <c r="B536" i="1"/>
  <c r="C536" i="1"/>
  <c r="D536" i="1"/>
  <c r="E536" i="1" s="1"/>
  <c r="H536" i="1" s="1"/>
  <c r="F536" i="1"/>
  <c r="G536" i="1"/>
  <c r="I536" i="1"/>
  <c r="J536" i="1"/>
  <c r="K536" i="1"/>
  <c r="L536" i="1"/>
  <c r="A537" i="1"/>
  <c r="B537" i="1"/>
  <c r="C537" i="1"/>
  <c r="D537" i="1"/>
  <c r="E537" i="1" s="1"/>
  <c r="H537" i="1" s="1"/>
  <c r="F537" i="1"/>
  <c r="G537" i="1"/>
  <c r="I537" i="1"/>
  <c r="J537" i="1"/>
  <c r="K537" i="1"/>
  <c r="L537" i="1"/>
  <c r="A538" i="1"/>
  <c r="B538" i="1"/>
  <c r="C538" i="1"/>
  <c r="D538" i="1"/>
  <c r="E538" i="1" s="1"/>
  <c r="H538" i="1" s="1"/>
  <c r="F538" i="1"/>
  <c r="G538" i="1"/>
  <c r="I538" i="1"/>
  <c r="J538" i="1"/>
  <c r="K538" i="1"/>
  <c r="L538" i="1"/>
  <c r="A539" i="1"/>
  <c r="B539" i="1"/>
  <c r="C539" i="1"/>
  <c r="D539" i="1"/>
  <c r="E539" i="1" s="1"/>
  <c r="H539" i="1" s="1"/>
  <c r="F539" i="1"/>
  <c r="G539" i="1"/>
  <c r="I539" i="1"/>
  <c r="J539" i="1"/>
  <c r="K539" i="1"/>
  <c r="L539" i="1"/>
  <c r="A540" i="1"/>
  <c r="B540" i="1"/>
  <c r="C540" i="1"/>
  <c r="D540" i="1"/>
  <c r="E540" i="1" s="1"/>
  <c r="H540" i="1" s="1"/>
  <c r="F540" i="1"/>
  <c r="G540" i="1"/>
  <c r="I540" i="1"/>
  <c r="J540" i="1"/>
  <c r="K540" i="1"/>
  <c r="L540" i="1"/>
  <c r="A541" i="1"/>
  <c r="B541" i="1"/>
  <c r="C541" i="1"/>
  <c r="D541" i="1"/>
  <c r="E541" i="1" s="1"/>
  <c r="H541" i="1" s="1"/>
  <c r="F541" i="1"/>
  <c r="G541" i="1"/>
  <c r="I541" i="1"/>
  <c r="J541" i="1"/>
  <c r="K541" i="1"/>
  <c r="L541" i="1"/>
  <c r="A542" i="1"/>
  <c r="B542" i="1"/>
  <c r="C542" i="1"/>
  <c r="D542" i="1"/>
  <c r="E542" i="1" s="1"/>
  <c r="H542" i="1" s="1"/>
  <c r="F542" i="1"/>
  <c r="G542" i="1"/>
  <c r="I542" i="1"/>
  <c r="J542" i="1"/>
  <c r="K542" i="1"/>
  <c r="L542" i="1"/>
  <c r="A543" i="1"/>
  <c r="B543" i="1"/>
  <c r="C543" i="1"/>
  <c r="D543" i="1"/>
  <c r="E543" i="1" s="1"/>
  <c r="H543" i="1" s="1"/>
  <c r="F543" i="1"/>
  <c r="G543" i="1"/>
  <c r="I543" i="1"/>
  <c r="J543" i="1"/>
  <c r="K543" i="1"/>
  <c r="L543" i="1"/>
  <c r="A544" i="1"/>
  <c r="B544" i="1"/>
  <c r="C544" i="1"/>
  <c r="D544" i="1"/>
  <c r="E544" i="1" s="1"/>
  <c r="H544" i="1" s="1"/>
  <c r="F544" i="1"/>
  <c r="G544" i="1"/>
  <c r="I544" i="1"/>
  <c r="J544" i="1"/>
  <c r="K544" i="1"/>
  <c r="L544" i="1"/>
  <c r="A545" i="1"/>
  <c r="B545" i="1"/>
  <c r="C545" i="1"/>
  <c r="D545" i="1"/>
  <c r="E545" i="1" s="1"/>
  <c r="H545" i="1" s="1"/>
  <c r="F545" i="1"/>
  <c r="G545" i="1"/>
  <c r="I545" i="1"/>
  <c r="J545" i="1"/>
  <c r="K545" i="1"/>
  <c r="L545" i="1"/>
  <c r="A546" i="1"/>
  <c r="B546" i="1"/>
  <c r="C546" i="1"/>
  <c r="D546" i="1"/>
  <c r="E546" i="1" s="1"/>
  <c r="H546" i="1" s="1"/>
  <c r="F546" i="1"/>
  <c r="G546" i="1"/>
  <c r="I546" i="1"/>
  <c r="J546" i="1"/>
  <c r="K546" i="1"/>
  <c r="L546" i="1"/>
  <c r="A547" i="1"/>
  <c r="B547" i="1"/>
  <c r="C547" i="1"/>
  <c r="D547" i="1"/>
  <c r="E547" i="1" s="1"/>
  <c r="H547" i="1" s="1"/>
  <c r="F547" i="1"/>
  <c r="G547" i="1"/>
  <c r="I547" i="1"/>
  <c r="J547" i="1"/>
  <c r="K547" i="1"/>
  <c r="L547" i="1"/>
  <c r="A548" i="1"/>
  <c r="B548" i="1"/>
  <c r="C548" i="1"/>
  <c r="D548" i="1"/>
  <c r="E548" i="1" s="1"/>
  <c r="H548" i="1" s="1"/>
  <c r="F548" i="1"/>
  <c r="G548" i="1"/>
  <c r="I548" i="1"/>
  <c r="J548" i="1"/>
  <c r="K548" i="1"/>
  <c r="L548" i="1"/>
  <c r="A549" i="1"/>
  <c r="B549" i="1"/>
  <c r="C549" i="1"/>
  <c r="D549" i="1"/>
  <c r="E549" i="1" s="1"/>
  <c r="H549" i="1" s="1"/>
  <c r="F549" i="1"/>
  <c r="G549" i="1"/>
  <c r="I549" i="1"/>
  <c r="J549" i="1"/>
  <c r="K549" i="1"/>
  <c r="L549" i="1"/>
  <c r="A550" i="1"/>
  <c r="B550" i="1"/>
  <c r="C550" i="1"/>
  <c r="D550" i="1"/>
  <c r="E550" i="1" s="1"/>
  <c r="H550" i="1" s="1"/>
  <c r="F550" i="1"/>
  <c r="G550" i="1"/>
  <c r="I550" i="1"/>
  <c r="J550" i="1"/>
  <c r="K550" i="1"/>
  <c r="L550" i="1"/>
  <c r="A551" i="1"/>
  <c r="B551" i="1"/>
  <c r="C551" i="1"/>
  <c r="D551" i="1"/>
  <c r="E551" i="1" s="1"/>
  <c r="H551" i="1" s="1"/>
  <c r="F551" i="1"/>
  <c r="G551" i="1"/>
  <c r="I551" i="1"/>
  <c r="J551" i="1"/>
  <c r="K551" i="1"/>
  <c r="L551" i="1"/>
  <c r="A552" i="1"/>
  <c r="B552" i="1"/>
  <c r="C552" i="1"/>
  <c r="D552" i="1"/>
  <c r="E552" i="1" s="1"/>
  <c r="H552" i="1" s="1"/>
  <c r="F552" i="1"/>
  <c r="G552" i="1"/>
  <c r="I552" i="1"/>
  <c r="J552" i="1"/>
  <c r="K552" i="1"/>
  <c r="L552" i="1"/>
  <c r="A553" i="1"/>
  <c r="B553" i="1"/>
  <c r="C553" i="1"/>
  <c r="D553" i="1"/>
  <c r="E553" i="1" s="1"/>
  <c r="H553" i="1" s="1"/>
  <c r="F553" i="1"/>
  <c r="G553" i="1"/>
  <c r="I553" i="1"/>
  <c r="J553" i="1"/>
  <c r="K553" i="1"/>
  <c r="L553" i="1"/>
  <c r="A554" i="1"/>
  <c r="B554" i="1"/>
  <c r="C554" i="1"/>
  <c r="D554" i="1"/>
  <c r="E554" i="1" s="1"/>
  <c r="H554" i="1" s="1"/>
  <c r="F554" i="1"/>
  <c r="G554" i="1"/>
  <c r="I554" i="1"/>
  <c r="J554" i="1"/>
  <c r="K554" i="1"/>
  <c r="L554" i="1"/>
  <c r="A555" i="1"/>
  <c r="B555" i="1"/>
  <c r="C555" i="1"/>
  <c r="D555" i="1"/>
  <c r="E555" i="1" s="1"/>
  <c r="H555" i="1" s="1"/>
  <c r="F555" i="1"/>
  <c r="G555" i="1"/>
  <c r="I555" i="1"/>
  <c r="J555" i="1"/>
  <c r="K555" i="1"/>
  <c r="L555" i="1"/>
  <c r="A556" i="1"/>
  <c r="B556" i="1"/>
  <c r="C556" i="1"/>
  <c r="D556" i="1"/>
  <c r="E556" i="1" s="1"/>
  <c r="H556" i="1" s="1"/>
  <c r="F556" i="1"/>
  <c r="G556" i="1"/>
  <c r="I556" i="1"/>
  <c r="J556" i="1"/>
  <c r="K556" i="1"/>
  <c r="L556" i="1"/>
  <c r="A557" i="1"/>
  <c r="B557" i="1"/>
  <c r="C557" i="1"/>
  <c r="D557" i="1"/>
  <c r="E557" i="1" s="1"/>
  <c r="H557" i="1" s="1"/>
  <c r="F557" i="1"/>
  <c r="G557" i="1"/>
  <c r="I557" i="1"/>
  <c r="J557" i="1"/>
  <c r="K557" i="1"/>
  <c r="L557" i="1"/>
  <c r="A558" i="1"/>
  <c r="B558" i="1"/>
  <c r="C558" i="1"/>
  <c r="D558" i="1"/>
  <c r="E558" i="1" s="1"/>
  <c r="H558" i="1" s="1"/>
  <c r="F558" i="1"/>
  <c r="G558" i="1"/>
  <c r="I558" i="1"/>
  <c r="J558" i="1"/>
  <c r="K558" i="1"/>
  <c r="L558" i="1"/>
  <c r="A559" i="1"/>
  <c r="B559" i="1"/>
  <c r="C559" i="1"/>
  <c r="D559" i="1"/>
  <c r="E559" i="1" s="1"/>
  <c r="H559" i="1" s="1"/>
  <c r="F559" i="1"/>
  <c r="G559" i="1"/>
  <c r="I559" i="1"/>
  <c r="J559" i="1"/>
  <c r="K559" i="1"/>
  <c r="L559" i="1"/>
  <c r="A560" i="1"/>
  <c r="B560" i="1"/>
  <c r="C560" i="1"/>
  <c r="D560" i="1"/>
  <c r="E560" i="1" s="1"/>
  <c r="H560" i="1" s="1"/>
  <c r="F560" i="1"/>
  <c r="G560" i="1"/>
  <c r="I560" i="1"/>
  <c r="J560" i="1"/>
  <c r="K560" i="1"/>
  <c r="L560" i="1"/>
  <c r="A561" i="1"/>
  <c r="B561" i="1"/>
  <c r="C561" i="1"/>
  <c r="D561" i="1"/>
  <c r="E561" i="1" s="1"/>
  <c r="H561" i="1" s="1"/>
  <c r="F561" i="1"/>
  <c r="G561" i="1"/>
  <c r="I561" i="1"/>
  <c r="J561" i="1"/>
  <c r="K561" i="1"/>
  <c r="L561" i="1"/>
  <c r="A562" i="1"/>
  <c r="B562" i="1"/>
  <c r="C562" i="1"/>
  <c r="D562" i="1"/>
  <c r="E562" i="1" s="1"/>
  <c r="H562" i="1" s="1"/>
  <c r="F562" i="1"/>
  <c r="G562" i="1"/>
  <c r="I562" i="1"/>
  <c r="J562" i="1"/>
  <c r="K562" i="1"/>
  <c r="L562" i="1"/>
  <c r="A563" i="1"/>
  <c r="B563" i="1"/>
  <c r="C563" i="1"/>
  <c r="D563" i="1"/>
  <c r="E563" i="1" s="1"/>
  <c r="H563" i="1" s="1"/>
  <c r="F563" i="1"/>
  <c r="G563" i="1"/>
  <c r="I563" i="1"/>
  <c r="J563" i="1"/>
  <c r="K563" i="1"/>
  <c r="L563" i="1"/>
  <c r="A564" i="1"/>
  <c r="B564" i="1"/>
  <c r="C564" i="1"/>
  <c r="D564" i="1"/>
  <c r="E564" i="1" s="1"/>
  <c r="H564" i="1" s="1"/>
  <c r="F564" i="1"/>
  <c r="G564" i="1"/>
  <c r="I564" i="1"/>
  <c r="J564" i="1"/>
  <c r="K564" i="1"/>
  <c r="L564" i="1"/>
  <c r="A565" i="1"/>
  <c r="B565" i="1"/>
  <c r="C565" i="1"/>
  <c r="D565" i="1"/>
  <c r="E565" i="1" s="1"/>
  <c r="H565" i="1" s="1"/>
  <c r="F565" i="1"/>
  <c r="G565" i="1"/>
  <c r="I565" i="1"/>
  <c r="J565" i="1"/>
  <c r="K565" i="1"/>
  <c r="L565" i="1"/>
  <c r="A566" i="1"/>
  <c r="B566" i="1"/>
  <c r="C566" i="1"/>
  <c r="D566" i="1"/>
  <c r="E566" i="1" s="1"/>
  <c r="H566" i="1" s="1"/>
  <c r="F566" i="1"/>
  <c r="G566" i="1"/>
  <c r="I566" i="1"/>
  <c r="J566" i="1"/>
  <c r="K566" i="1"/>
  <c r="L566" i="1"/>
  <c r="A567" i="1"/>
  <c r="B567" i="1"/>
  <c r="C567" i="1"/>
  <c r="D567" i="1"/>
  <c r="E567" i="1" s="1"/>
  <c r="H567" i="1" s="1"/>
  <c r="F567" i="1"/>
  <c r="G567" i="1"/>
  <c r="I567" i="1"/>
  <c r="J567" i="1"/>
  <c r="K567" i="1"/>
  <c r="L567" i="1"/>
  <c r="A568" i="1"/>
  <c r="B568" i="1"/>
  <c r="C568" i="1"/>
  <c r="D568" i="1"/>
  <c r="E568" i="1" s="1"/>
  <c r="H568" i="1" s="1"/>
  <c r="F568" i="1"/>
  <c r="G568" i="1"/>
  <c r="I568" i="1"/>
  <c r="J568" i="1"/>
  <c r="K568" i="1"/>
  <c r="L568" i="1"/>
  <c r="A569" i="1"/>
  <c r="B569" i="1"/>
  <c r="C569" i="1"/>
  <c r="D569" i="1"/>
  <c r="E569" i="1" s="1"/>
  <c r="H569" i="1" s="1"/>
  <c r="F569" i="1"/>
  <c r="G569" i="1"/>
  <c r="I569" i="1"/>
  <c r="J569" i="1"/>
  <c r="K569" i="1"/>
  <c r="L569" i="1"/>
  <c r="A570" i="1"/>
  <c r="B570" i="1"/>
  <c r="C570" i="1"/>
  <c r="D570" i="1"/>
  <c r="E570" i="1" s="1"/>
  <c r="H570" i="1" s="1"/>
  <c r="F570" i="1"/>
  <c r="G570" i="1"/>
  <c r="I570" i="1"/>
  <c r="J570" i="1"/>
  <c r="K570" i="1"/>
  <c r="L570" i="1"/>
  <c r="A571" i="1"/>
  <c r="B571" i="1"/>
  <c r="C571" i="1"/>
  <c r="D571" i="1"/>
  <c r="E571" i="1" s="1"/>
  <c r="H571" i="1" s="1"/>
  <c r="F571" i="1"/>
  <c r="G571" i="1"/>
  <c r="I571" i="1"/>
  <c r="J571" i="1"/>
  <c r="K571" i="1"/>
  <c r="L571" i="1"/>
  <c r="A572" i="1"/>
  <c r="B572" i="1"/>
  <c r="C572" i="1"/>
  <c r="D572" i="1"/>
  <c r="E572" i="1" s="1"/>
  <c r="H572" i="1" s="1"/>
  <c r="F572" i="1"/>
  <c r="G572" i="1"/>
  <c r="I572" i="1"/>
  <c r="J572" i="1"/>
  <c r="K572" i="1"/>
  <c r="L572" i="1"/>
  <c r="A573" i="1"/>
  <c r="B573" i="1"/>
  <c r="C573" i="1"/>
  <c r="D573" i="1"/>
  <c r="E573" i="1" s="1"/>
  <c r="H573" i="1" s="1"/>
  <c r="F573" i="1"/>
  <c r="G573" i="1"/>
  <c r="I573" i="1"/>
  <c r="J573" i="1"/>
  <c r="K573" i="1"/>
  <c r="L573" i="1"/>
  <c r="A574" i="1"/>
  <c r="B574" i="1"/>
  <c r="C574" i="1"/>
  <c r="D574" i="1"/>
  <c r="E574" i="1" s="1"/>
  <c r="H574" i="1" s="1"/>
  <c r="F574" i="1"/>
  <c r="G574" i="1"/>
  <c r="I574" i="1"/>
  <c r="J574" i="1"/>
  <c r="K574" i="1"/>
  <c r="L574" i="1"/>
  <c r="A575" i="1"/>
  <c r="B575" i="1"/>
  <c r="C575" i="1"/>
  <c r="D575" i="1"/>
  <c r="E575" i="1" s="1"/>
  <c r="H575" i="1" s="1"/>
  <c r="F575" i="1"/>
  <c r="G575" i="1"/>
  <c r="I575" i="1"/>
  <c r="J575" i="1"/>
  <c r="K575" i="1"/>
  <c r="L575" i="1"/>
  <c r="A576" i="1"/>
  <c r="B576" i="1"/>
  <c r="C576" i="1"/>
  <c r="D576" i="1"/>
  <c r="E576" i="1" s="1"/>
  <c r="H576" i="1" s="1"/>
  <c r="F576" i="1"/>
  <c r="G576" i="1"/>
  <c r="I576" i="1"/>
  <c r="J576" i="1"/>
  <c r="K576" i="1"/>
  <c r="L576" i="1"/>
  <c r="A577" i="1"/>
  <c r="B577" i="1"/>
  <c r="C577" i="1"/>
  <c r="D577" i="1"/>
  <c r="E577" i="1" s="1"/>
  <c r="H577" i="1" s="1"/>
  <c r="F577" i="1"/>
  <c r="G577" i="1"/>
  <c r="I577" i="1"/>
  <c r="J577" i="1"/>
  <c r="K577" i="1"/>
  <c r="L577" i="1"/>
  <c r="A578" i="1"/>
  <c r="B578" i="1"/>
  <c r="C578" i="1"/>
  <c r="D578" i="1"/>
  <c r="E578" i="1" s="1"/>
  <c r="H578" i="1" s="1"/>
  <c r="F578" i="1"/>
  <c r="G578" i="1"/>
  <c r="I578" i="1"/>
  <c r="J578" i="1"/>
  <c r="K578" i="1"/>
  <c r="L578" i="1"/>
  <c r="A579" i="1"/>
  <c r="B579" i="1"/>
  <c r="C579" i="1"/>
  <c r="D579" i="1"/>
  <c r="E579" i="1" s="1"/>
  <c r="H579" i="1" s="1"/>
  <c r="F579" i="1"/>
  <c r="G579" i="1"/>
  <c r="I579" i="1"/>
  <c r="J579" i="1"/>
  <c r="K579" i="1"/>
  <c r="L579" i="1"/>
  <c r="A580" i="1"/>
  <c r="B580" i="1"/>
  <c r="C580" i="1"/>
  <c r="D580" i="1"/>
  <c r="E580" i="1" s="1"/>
  <c r="H580" i="1" s="1"/>
  <c r="F580" i="1"/>
  <c r="G580" i="1"/>
  <c r="I580" i="1"/>
  <c r="J580" i="1"/>
  <c r="K580" i="1"/>
  <c r="L580" i="1"/>
  <c r="A581" i="1"/>
  <c r="B581" i="1"/>
  <c r="C581" i="1"/>
  <c r="D581" i="1"/>
  <c r="E581" i="1" s="1"/>
  <c r="H581" i="1" s="1"/>
  <c r="F581" i="1"/>
  <c r="G581" i="1"/>
  <c r="I581" i="1"/>
  <c r="J581" i="1"/>
  <c r="K581" i="1"/>
  <c r="L581" i="1"/>
  <c r="A582" i="1"/>
  <c r="B582" i="1"/>
  <c r="C582" i="1"/>
  <c r="D582" i="1"/>
  <c r="E582" i="1" s="1"/>
  <c r="H582" i="1" s="1"/>
  <c r="F582" i="1"/>
  <c r="G582" i="1"/>
  <c r="I582" i="1"/>
  <c r="J582" i="1"/>
  <c r="K582" i="1"/>
  <c r="L582" i="1"/>
  <c r="A583" i="1"/>
  <c r="B583" i="1"/>
  <c r="C583" i="1"/>
  <c r="D583" i="1"/>
  <c r="E583" i="1" s="1"/>
  <c r="H583" i="1" s="1"/>
  <c r="F583" i="1"/>
  <c r="G583" i="1"/>
  <c r="I583" i="1"/>
  <c r="J583" i="1"/>
  <c r="K583" i="1"/>
  <c r="L583" i="1"/>
  <c r="A584" i="1"/>
  <c r="B584" i="1"/>
  <c r="C584" i="1"/>
  <c r="D584" i="1"/>
  <c r="E584" i="1" s="1"/>
  <c r="H584" i="1" s="1"/>
  <c r="F584" i="1"/>
  <c r="G584" i="1"/>
  <c r="I584" i="1"/>
  <c r="J584" i="1"/>
  <c r="K584" i="1"/>
  <c r="L584" i="1"/>
  <c r="A585" i="1"/>
  <c r="B585" i="1"/>
  <c r="C585" i="1"/>
  <c r="D585" i="1"/>
  <c r="E585" i="1" s="1"/>
  <c r="H585" i="1" s="1"/>
  <c r="F585" i="1"/>
  <c r="G585" i="1"/>
  <c r="I585" i="1"/>
  <c r="J585" i="1"/>
  <c r="K585" i="1"/>
  <c r="L585" i="1"/>
  <c r="A586" i="1"/>
  <c r="B586" i="1"/>
  <c r="C586" i="1"/>
  <c r="D586" i="1"/>
  <c r="E586" i="1" s="1"/>
  <c r="H586" i="1" s="1"/>
  <c r="F586" i="1"/>
  <c r="G586" i="1"/>
  <c r="I586" i="1"/>
  <c r="J586" i="1"/>
  <c r="K586" i="1"/>
  <c r="L586" i="1"/>
  <c r="A587" i="1"/>
  <c r="B587" i="1"/>
  <c r="C587" i="1"/>
  <c r="D587" i="1"/>
  <c r="E587" i="1" s="1"/>
  <c r="H587" i="1" s="1"/>
  <c r="F587" i="1"/>
  <c r="G587" i="1"/>
  <c r="I587" i="1"/>
  <c r="J587" i="1"/>
  <c r="K587" i="1"/>
  <c r="L587" i="1"/>
  <c r="A588" i="1"/>
  <c r="B588" i="1"/>
  <c r="C588" i="1"/>
  <c r="D588" i="1"/>
  <c r="E588" i="1" s="1"/>
  <c r="H588" i="1" s="1"/>
  <c r="F588" i="1"/>
  <c r="G588" i="1"/>
  <c r="I588" i="1"/>
  <c r="J588" i="1"/>
  <c r="K588" i="1"/>
  <c r="L588" i="1"/>
  <c r="A589" i="1"/>
  <c r="B589" i="1"/>
  <c r="C589" i="1"/>
  <c r="D589" i="1"/>
  <c r="E589" i="1" s="1"/>
  <c r="H589" i="1" s="1"/>
  <c r="F589" i="1"/>
  <c r="G589" i="1"/>
  <c r="I589" i="1"/>
  <c r="J589" i="1"/>
  <c r="K589" i="1"/>
  <c r="L589" i="1"/>
  <c r="A590" i="1"/>
  <c r="B590" i="1"/>
  <c r="C590" i="1"/>
  <c r="D590" i="1"/>
  <c r="E590" i="1" s="1"/>
  <c r="H590" i="1" s="1"/>
  <c r="F590" i="1"/>
  <c r="G590" i="1"/>
  <c r="I590" i="1"/>
  <c r="J590" i="1"/>
  <c r="K590" i="1"/>
  <c r="L590" i="1"/>
  <c r="A591" i="1"/>
  <c r="B591" i="1"/>
  <c r="C591" i="1"/>
  <c r="D591" i="1"/>
  <c r="E591" i="1" s="1"/>
  <c r="H591" i="1" s="1"/>
  <c r="F591" i="1"/>
  <c r="G591" i="1"/>
  <c r="I591" i="1"/>
  <c r="J591" i="1"/>
  <c r="K591" i="1"/>
  <c r="L591" i="1"/>
  <c r="A592" i="1"/>
  <c r="B592" i="1"/>
  <c r="C592" i="1"/>
  <c r="D592" i="1"/>
  <c r="E592" i="1" s="1"/>
  <c r="H592" i="1" s="1"/>
  <c r="F592" i="1"/>
  <c r="G592" i="1"/>
  <c r="I592" i="1"/>
  <c r="J592" i="1"/>
  <c r="K592" i="1"/>
  <c r="L592" i="1"/>
  <c r="A593" i="1"/>
  <c r="B593" i="1"/>
  <c r="C593" i="1"/>
  <c r="D593" i="1"/>
  <c r="E593" i="1" s="1"/>
  <c r="H593" i="1" s="1"/>
  <c r="F593" i="1"/>
  <c r="G593" i="1"/>
  <c r="I593" i="1"/>
  <c r="J593" i="1"/>
  <c r="K593" i="1"/>
  <c r="L593" i="1"/>
  <c r="A594" i="1"/>
  <c r="B594" i="1"/>
  <c r="C594" i="1"/>
  <c r="D594" i="1"/>
  <c r="E594" i="1" s="1"/>
  <c r="H594" i="1" s="1"/>
  <c r="F594" i="1"/>
  <c r="G594" i="1"/>
  <c r="I594" i="1"/>
  <c r="J594" i="1"/>
  <c r="K594" i="1"/>
  <c r="L594" i="1"/>
  <c r="A595" i="1"/>
  <c r="B595" i="1"/>
  <c r="C595" i="1"/>
  <c r="D595" i="1"/>
  <c r="E595" i="1" s="1"/>
  <c r="H595" i="1" s="1"/>
  <c r="F595" i="1"/>
  <c r="G595" i="1"/>
  <c r="I595" i="1"/>
  <c r="J595" i="1"/>
  <c r="K595" i="1"/>
  <c r="L595" i="1"/>
  <c r="A596" i="1"/>
  <c r="B596" i="1"/>
  <c r="C596" i="1"/>
  <c r="D596" i="1"/>
  <c r="E596" i="1" s="1"/>
  <c r="H596" i="1" s="1"/>
  <c r="F596" i="1"/>
  <c r="G596" i="1"/>
  <c r="I596" i="1"/>
  <c r="J596" i="1"/>
  <c r="K596" i="1"/>
  <c r="L596" i="1"/>
  <c r="A597" i="1"/>
  <c r="B597" i="1"/>
  <c r="C597" i="1"/>
  <c r="D597" i="1"/>
  <c r="E597" i="1" s="1"/>
  <c r="H597" i="1" s="1"/>
  <c r="F597" i="1"/>
  <c r="G597" i="1"/>
  <c r="I597" i="1"/>
  <c r="J597" i="1"/>
  <c r="K597" i="1"/>
  <c r="L597" i="1"/>
  <c r="A598" i="1"/>
  <c r="B598" i="1"/>
  <c r="C598" i="1"/>
  <c r="D598" i="1"/>
  <c r="E598" i="1" s="1"/>
  <c r="H598" i="1" s="1"/>
  <c r="F598" i="1"/>
  <c r="G598" i="1"/>
  <c r="I598" i="1"/>
  <c r="J598" i="1"/>
  <c r="K598" i="1"/>
  <c r="L598" i="1"/>
  <c r="A599" i="1"/>
  <c r="B599" i="1"/>
  <c r="C599" i="1"/>
  <c r="D599" i="1"/>
  <c r="E599" i="1" s="1"/>
  <c r="H599" i="1" s="1"/>
  <c r="F599" i="1"/>
  <c r="G599" i="1"/>
  <c r="I599" i="1"/>
  <c r="J599" i="1"/>
  <c r="K599" i="1"/>
  <c r="L599" i="1"/>
  <c r="A600" i="1"/>
  <c r="B600" i="1"/>
  <c r="C600" i="1"/>
  <c r="D600" i="1"/>
  <c r="E600" i="1" s="1"/>
  <c r="H600" i="1" s="1"/>
  <c r="F600" i="1"/>
  <c r="G600" i="1"/>
  <c r="I600" i="1"/>
  <c r="J600" i="1"/>
  <c r="K600" i="1"/>
  <c r="L600" i="1"/>
  <c r="A601" i="1"/>
  <c r="B601" i="1"/>
  <c r="C601" i="1"/>
  <c r="D601" i="1"/>
  <c r="E601" i="1" s="1"/>
  <c r="H601" i="1" s="1"/>
  <c r="F601" i="1"/>
  <c r="G601" i="1"/>
  <c r="I601" i="1"/>
  <c r="J601" i="1"/>
  <c r="K601" i="1"/>
  <c r="L601" i="1"/>
  <c r="A602" i="1"/>
  <c r="B602" i="1"/>
  <c r="C602" i="1"/>
  <c r="D602" i="1"/>
  <c r="E602" i="1" s="1"/>
  <c r="H602" i="1" s="1"/>
  <c r="F602" i="1"/>
  <c r="G602" i="1"/>
  <c r="I602" i="1"/>
  <c r="J602" i="1"/>
  <c r="K602" i="1"/>
  <c r="L602" i="1"/>
  <c r="A603" i="1"/>
  <c r="B603" i="1"/>
  <c r="C603" i="1"/>
  <c r="D603" i="1"/>
  <c r="E603" i="1" s="1"/>
  <c r="H603" i="1" s="1"/>
  <c r="F603" i="1"/>
  <c r="G603" i="1"/>
  <c r="I603" i="1"/>
  <c r="J603" i="1"/>
  <c r="K603" i="1"/>
  <c r="L603" i="1"/>
  <c r="A604" i="1"/>
  <c r="B604" i="1"/>
  <c r="C604" i="1"/>
  <c r="D604" i="1"/>
  <c r="E604" i="1" s="1"/>
  <c r="H604" i="1" s="1"/>
  <c r="F604" i="1"/>
  <c r="G604" i="1"/>
  <c r="I604" i="1"/>
  <c r="J604" i="1"/>
  <c r="K604" i="1"/>
  <c r="L604" i="1"/>
  <c r="A605" i="1"/>
  <c r="B605" i="1"/>
  <c r="C605" i="1"/>
  <c r="D605" i="1"/>
  <c r="E605" i="1" s="1"/>
  <c r="H605" i="1" s="1"/>
  <c r="F605" i="1"/>
  <c r="G605" i="1"/>
  <c r="I605" i="1"/>
  <c r="J605" i="1"/>
  <c r="K605" i="1"/>
  <c r="L605" i="1"/>
  <c r="A606" i="1"/>
  <c r="B606" i="1"/>
  <c r="C606" i="1"/>
  <c r="D606" i="1"/>
  <c r="E606" i="1" s="1"/>
  <c r="H606" i="1" s="1"/>
  <c r="F606" i="1"/>
  <c r="G606" i="1"/>
  <c r="I606" i="1"/>
  <c r="J606" i="1"/>
  <c r="K606" i="1"/>
  <c r="L606" i="1"/>
  <c r="A607" i="1"/>
  <c r="B607" i="1"/>
  <c r="C607" i="1"/>
  <c r="D607" i="1"/>
  <c r="E607" i="1" s="1"/>
  <c r="H607" i="1" s="1"/>
  <c r="F607" i="1"/>
  <c r="G607" i="1"/>
  <c r="I607" i="1"/>
  <c r="J607" i="1"/>
  <c r="K607" i="1"/>
  <c r="L607" i="1"/>
  <c r="A608" i="1"/>
  <c r="B608" i="1"/>
  <c r="C608" i="1"/>
  <c r="D608" i="1"/>
  <c r="E608" i="1" s="1"/>
  <c r="H608" i="1" s="1"/>
  <c r="F608" i="1"/>
  <c r="G608" i="1"/>
  <c r="I608" i="1"/>
  <c r="J608" i="1"/>
  <c r="K608" i="1"/>
  <c r="L608" i="1"/>
  <c r="A609" i="1"/>
  <c r="B609" i="1"/>
  <c r="C609" i="1"/>
  <c r="D609" i="1"/>
  <c r="E609" i="1" s="1"/>
  <c r="H609" i="1" s="1"/>
  <c r="F609" i="1"/>
  <c r="G609" i="1"/>
  <c r="I609" i="1"/>
  <c r="J609" i="1"/>
  <c r="K609" i="1"/>
  <c r="L609" i="1"/>
  <c r="A610" i="1"/>
  <c r="B610" i="1"/>
  <c r="C610" i="1"/>
  <c r="D610" i="1"/>
  <c r="E610" i="1" s="1"/>
  <c r="H610" i="1" s="1"/>
  <c r="F610" i="1"/>
  <c r="G610" i="1"/>
  <c r="I610" i="1"/>
  <c r="J610" i="1"/>
  <c r="K610" i="1"/>
  <c r="L610" i="1"/>
  <c r="A611" i="1"/>
  <c r="B611" i="1"/>
  <c r="C611" i="1"/>
  <c r="D611" i="1"/>
  <c r="E611" i="1" s="1"/>
  <c r="H611" i="1" s="1"/>
  <c r="F611" i="1"/>
  <c r="G611" i="1"/>
  <c r="I611" i="1"/>
  <c r="J611" i="1"/>
  <c r="K611" i="1"/>
  <c r="L611" i="1"/>
  <c r="A612" i="1"/>
  <c r="B612" i="1"/>
  <c r="C612" i="1"/>
  <c r="D612" i="1"/>
  <c r="E612" i="1" s="1"/>
  <c r="H612" i="1" s="1"/>
  <c r="F612" i="1"/>
  <c r="G612" i="1"/>
  <c r="I612" i="1"/>
  <c r="J612" i="1"/>
  <c r="K612" i="1"/>
  <c r="L612" i="1"/>
  <c r="A613" i="1"/>
  <c r="B613" i="1"/>
  <c r="C613" i="1"/>
  <c r="D613" i="1"/>
  <c r="E613" i="1" s="1"/>
  <c r="H613" i="1" s="1"/>
  <c r="F613" i="1"/>
  <c r="G613" i="1"/>
  <c r="I613" i="1"/>
  <c r="J613" i="1"/>
  <c r="K613" i="1"/>
  <c r="L613" i="1"/>
  <c r="A614" i="1"/>
  <c r="B614" i="1"/>
  <c r="C614" i="1"/>
  <c r="D614" i="1"/>
  <c r="E614" i="1" s="1"/>
  <c r="H614" i="1" s="1"/>
  <c r="F614" i="1"/>
  <c r="G614" i="1"/>
  <c r="I614" i="1"/>
  <c r="J614" i="1"/>
  <c r="K614" i="1"/>
  <c r="L614" i="1"/>
  <c r="A615" i="1"/>
  <c r="B615" i="1"/>
  <c r="C615" i="1"/>
  <c r="D615" i="1"/>
  <c r="E615" i="1" s="1"/>
  <c r="H615" i="1" s="1"/>
  <c r="F615" i="1"/>
  <c r="G615" i="1"/>
  <c r="I615" i="1"/>
  <c r="J615" i="1"/>
  <c r="K615" i="1"/>
  <c r="L615" i="1"/>
  <c r="A616" i="1"/>
  <c r="B616" i="1"/>
  <c r="C616" i="1"/>
  <c r="D616" i="1"/>
  <c r="E616" i="1" s="1"/>
  <c r="H616" i="1" s="1"/>
  <c r="F616" i="1"/>
  <c r="G616" i="1"/>
  <c r="I616" i="1"/>
  <c r="J616" i="1"/>
  <c r="K616" i="1"/>
  <c r="L616" i="1"/>
  <c r="A617" i="1"/>
  <c r="B617" i="1"/>
  <c r="C617" i="1"/>
  <c r="D617" i="1"/>
  <c r="E617" i="1" s="1"/>
  <c r="H617" i="1" s="1"/>
  <c r="F617" i="1"/>
  <c r="G617" i="1"/>
  <c r="I617" i="1"/>
  <c r="J617" i="1"/>
  <c r="K617" i="1"/>
  <c r="L617" i="1"/>
  <c r="A618" i="1"/>
  <c r="B618" i="1"/>
  <c r="C618" i="1"/>
  <c r="D618" i="1"/>
  <c r="E618" i="1" s="1"/>
  <c r="H618" i="1" s="1"/>
  <c r="F618" i="1"/>
  <c r="G618" i="1"/>
  <c r="I618" i="1"/>
  <c r="J618" i="1"/>
  <c r="K618" i="1"/>
  <c r="L618" i="1"/>
  <c r="A619" i="1"/>
  <c r="B619" i="1"/>
  <c r="C619" i="1"/>
  <c r="D619" i="1"/>
  <c r="E619" i="1" s="1"/>
  <c r="H619" i="1" s="1"/>
  <c r="F619" i="1"/>
  <c r="G619" i="1"/>
  <c r="I619" i="1"/>
  <c r="J619" i="1"/>
  <c r="K619" i="1"/>
  <c r="L619" i="1"/>
  <c r="A620" i="1"/>
  <c r="B620" i="1"/>
  <c r="C620" i="1"/>
  <c r="D620" i="1"/>
  <c r="E620" i="1" s="1"/>
  <c r="H620" i="1" s="1"/>
  <c r="F620" i="1"/>
  <c r="G620" i="1"/>
  <c r="I620" i="1"/>
  <c r="J620" i="1"/>
  <c r="K620" i="1"/>
  <c r="L620" i="1"/>
  <c r="A621" i="1"/>
  <c r="B621" i="1"/>
  <c r="C621" i="1"/>
  <c r="D621" i="1"/>
  <c r="E621" i="1" s="1"/>
  <c r="H621" i="1" s="1"/>
  <c r="F621" i="1"/>
  <c r="G621" i="1"/>
  <c r="I621" i="1"/>
  <c r="J621" i="1"/>
  <c r="K621" i="1"/>
  <c r="L621" i="1"/>
  <c r="A622" i="1"/>
  <c r="B622" i="1"/>
  <c r="C622" i="1"/>
  <c r="D622" i="1"/>
  <c r="E622" i="1" s="1"/>
  <c r="H622" i="1" s="1"/>
  <c r="F622" i="1"/>
  <c r="G622" i="1"/>
  <c r="I622" i="1"/>
  <c r="J622" i="1"/>
  <c r="K622" i="1"/>
  <c r="L622" i="1"/>
  <c r="A623" i="1"/>
  <c r="B623" i="1"/>
  <c r="C623" i="1"/>
  <c r="D623" i="1"/>
  <c r="E623" i="1" s="1"/>
  <c r="H623" i="1" s="1"/>
  <c r="F623" i="1"/>
  <c r="G623" i="1"/>
  <c r="I623" i="1"/>
  <c r="J623" i="1"/>
  <c r="K623" i="1"/>
  <c r="L623" i="1"/>
  <c r="A624" i="1"/>
  <c r="B624" i="1"/>
  <c r="C624" i="1"/>
  <c r="D624" i="1"/>
  <c r="E624" i="1" s="1"/>
  <c r="H624" i="1" s="1"/>
  <c r="F624" i="1"/>
  <c r="G624" i="1"/>
  <c r="I624" i="1"/>
  <c r="J624" i="1"/>
  <c r="K624" i="1"/>
  <c r="L624" i="1"/>
  <c r="A625" i="1"/>
  <c r="B625" i="1"/>
  <c r="C625" i="1"/>
  <c r="D625" i="1"/>
  <c r="E625" i="1" s="1"/>
  <c r="H625" i="1" s="1"/>
  <c r="F625" i="1"/>
  <c r="G625" i="1"/>
  <c r="I625" i="1"/>
  <c r="J625" i="1"/>
  <c r="K625" i="1"/>
  <c r="L625" i="1"/>
  <c r="A626" i="1"/>
  <c r="B626" i="1"/>
  <c r="C626" i="1"/>
  <c r="D626" i="1"/>
  <c r="E626" i="1" s="1"/>
  <c r="H626" i="1" s="1"/>
  <c r="F626" i="1"/>
  <c r="G626" i="1"/>
  <c r="I626" i="1"/>
  <c r="J626" i="1"/>
  <c r="K626" i="1"/>
  <c r="L626" i="1"/>
  <c r="A627" i="1"/>
  <c r="B627" i="1"/>
  <c r="C627" i="1"/>
  <c r="D627" i="1"/>
  <c r="E627" i="1" s="1"/>
  <c r="H627" i="1" s="1"/>
  <c r="F627" i="1"/>
  <c r="G627" i="1"/>
  <c r="I627" i="1"/>
  <c r="J627" i="1"/>
  <c r="K627" i="1"/>
  <c r="L627" i="1"/>
  <c r="A628" i="1"/>
  <c r="B628" i="1"/>
  <c r="C628" i="1"/>
  <c r="D628" i="1"/>
  <c r="E628" i="1" s="1"/>
  <c r="H628" i="1" s="1"/>
  <c r="F628" i="1"/>
  <c r="G628" i="1"/>
  <c r="I628" i="1"/>
  <c r="J628" i="1"/>
  <c r="K628" i="1"/>
  <c r="L628" i="1"/>
  <c r="A629" i="1"/>
  <c r="B629" i="1"/>
  <c r="C629" i="1"/>
  <c r="D629" i="1"/>
  <c r="E629" i="1" s="1"/>
  <c r="H629" i="1" s="1"/>
  <c r="F629" i="1"/>
  <c r="G629" i="1"/>
  <c r="I629" i="1"/>
  <c r="J629" i="1"/>
  <c r="K629" i="1"/>
  <c r="L629" i="1"/>
  <c r="A630" i="1"/>
  <c r="B630" i="1"/>
  <c r="C630" i="1"/>
  <c r="D630" i="1"/>
  <c r="E630" i="1" s="1"/>
  <c r="H630" i="1" s="1"/>
  <c r="F630" i="1"/>
  <c r="G630" i="1"/>
  <c r="I630" i="1"/>
  <c r="J630" i="1"/>
  <c r="K630" i="1"/>
  <c r="L630" i="1"/>
  <c r="A631" i="1"/>
  <c r="B631" i="1"/>
  <c r="C631" i="1"/>
  <c r="D631" i="1"/>
  <c r="E631" i="1" s="1"/>
  <c r="H631" i="1" s="1"/>
  <c r="F631" i="1"/>
  <c r="G631" i="1"/>
  <c r="I631" i="1"/>
  <c r="J631" i="1"/>
  <c r="K631" i="1"/>
  <c r="L631" i="1"/>
  <c r="A632" i="1"/>
  <c r="B632" i="1"/>
  <c r="C632" i="1"/>
  <c r="D632" i="1"/>
  <c r="E632" i="1" s="1"/>
  <c r="H632" i="1" s="1"/>
  <c r="F632" i="1"/>
  <c r="G632" i="1"/>
  <c r="I632" i="1"/>
  <c r="J632" i="1"/>
  <c r="K632" i="1"/>
  <c r="L632" i="1"/>
  <c r="A633" i="1"/>
  <c r="B633" i="1"/>
  <c r="C633" i="1"/>
  <c r="D633" i="1"/>
  <c r="E633" i="1" s="1"/>
  <c r="H633" i="1" s="1"/>
  <c r="F633" i="1"/>
  <c r="G633" i="1"/>
  <c r="I633" i="1"/>
  <c r="J633" i="1"/>
  <c r="K633" i="1"/>
  <c r="L633" i="1"/>
  <c r="A634" i="1"/>
  <c r="B634" i="1"/>
  <c r="C634" i="1"/>
  <c r="D634" i="1"/>
  <c r="E634" i="1" s="1"/>
  <c r="H634" i="1" s="1"/>
  <c r="F634" i="1"/>
  <c r="G634" i="1"/>
  <c r="I634" i="1"/>
  <c r="J634" i="1"/>
  <c r="K634" i="1"/>
  <c r="L634" i="1"/>
  <c r="A635" i="1"/>
  <c r="B635" i="1"/>
  <c r="C635" i="1"/>
  <c r="D635" i="1"/>
  <c r="E635" i="1" s="1"/>
  <c r="H635" i="1" s="1"/>
  <c r="F635" i="1"/>
  <c r="G635" i="1"/>
  <c r="I635" i="1"/>
  <c r="J635" i="1"/>
  <c r="K635" i="1"/>
  <c r="L635" i="1"/>
  <c r="A636" i="1"/>
  <c r="B636" i="1"/>
  <c r="C636" i="1"/>
  <c r="D636" i="1"/>
  <c r="E636" i="1" s="1"/>
  <c r="H636" i="1" s="1"/>
  <c r="F636" i="1"/>
  <c r="G636" i="1"/>
  <c r="I636" i="1"/>
  <c r="J636" i="1"/>
  <c r="K636" i="1"/>
  <c r="L636" i="1"/>
  <c r="A637" i="1"/>
  <c r="B637" i="1"/>
  <c r="C637" i="1"/>
  <c r="D637" i="1"/>
  <c r="E637" i="1" s="1"/>
  <c r="H637" i="1" s="1"/>
  <c r="F637" i="1"/>
  <c r="G637" i="1"/>
  <c r="I637" i="1"/>
  <c r="J637" i="1"/>
  <c r="K637" i="1"/>
  <c r="L637" i="1"/>
  <c r="A638" i="1"/>
  <c r="B638" i="1"/>
  <c r="C638" i="1"/>
  <c r="D638" i="1"/>
  <c r="E638" i="1" s="1"/>
  <c r="H638" i="1" s="1"/>
  <c r="F638" i="1"/>
  <c r="G638" i="1"/>
  <c r="I638" i="1"/>
  <c r="J638" i="1"/>
  <c r="K638" i="1"/>
  <c r="L638" i="1"/>
  <c r="A639" i="1"/>
  <c r="B639" i="1"/>
  <c r="C639" i="1"/>
  <c r="D639" i="1"/>
  <c r="E639" i="1" s="1"/>
  <c r="H639" i="1" s="1"/>
  <c r="F639" i="1"/>
  <c r="G639" i="1"/>
  <c r="I639" i="1"/>
  <c r="J639" i="1"/>
  <c r="K639" i="1"/>
  <c r="L639" i="1"/>
  <c r="A640" i="1"/>
  <c r="B640" i="1"/>
  <c r="C640" i="1"/>
  <c r="D640" i="1"/>
  <c r="E640" i="1" s="1"/>
  <c r="H640" i="1" s="1"/>
  <c r="F640" i="1"/>
  <c r="G640" i="1"/>
  <c r="I640" i="1"/>
  <c r="J640" i="1"/>
  <c r="K640" i="1"/>
  <c r="L640" i="1"/>
  <c r="A641" i="1"/>
  <c r="B641" i="1"/>
  <c r="C641" i="1"/>
  <c r="D641" i="1"/>
  <c r="E641" i="1" s="1"/>
  <c r="H641" i="1" s="1"/>
  <c r="F641" i="1"/>
  <c r="G641" i="1"/>
  <c r="I641" i="1"/>
  <c r="J641" i="1"/>
  <c r="K641" i="1"/>
  <c r="L641" i="1"/>
  <c r="A642" i="1"/>
  <c r="B642" i="1"/>
  <c r="C642" i="1"/>
  <c r="D642" i="1"/>
  <c r="E642" i="1" s="1"/>
  <c r="H642" i="1" s="1"/>
  <c r="F642" i="1"/>
  <c r="G642" i="1"/>
  <c r="I642" i="1"/>
  <c r="J642" i="1"/>
  <c r="K642" i="1"/>
  <c r="L642" i="1"/>
  <c r="A643" i="1"/>
  <c r="B643" i="1"/>
  <c r="C643" i="1"/>
  <c r="D643" i="1"/>
  <c r="E643" i="1" s="1"/>
  <c r="H643" i="1" s="1"/>
  <c r="F643" i="1"/>
  <c r="G643" i="1"/>
  <c r="I643" i="1"/>
  <c r="J643" i="1"/>
  <c r="K643" i="1"/>
  <c r="L643" i="1"/>
  <c r="A644" i="1"/>
  <c r="B644" i="1"/>
  <c r="C644" i="1"/>
  <c r="D644" i="1"/>
  <c r="E644" i="1" s="1"/>
  <c r="H644" i="1" s="1"/>
  <c r="F644" i="1"/>
  <c r="G644" i="1"/>
  <c r="I644" i="1"/>
  <c r="J644" i="1"/>
  <c r="K644" i="1"/>
  <c r="L644" i="1"/>
  <c r="A645" i="1"/>
  <c r="B645" i="1"/>
  <c r="C645" i="1"/>
  <c r="D645" i="1"/>
  <c r="E645" i="1" s="1"/>
  <c r="H645" i="1" s="1"/>
  <c r="F645" i="1"/>
  <c r="G645" i="1"/>
  <c r="I645" i="1"/>
  <c r="J645" i="1"/>
  <c r="K645" i="1"/>
  <c r="L645" i="1"/>
  <c r="A646" i="1"/>
  <c r="B646" i="1"/>
  <c r="C646" i="1"/>
  <c r="D646" i="1"/>
  <c r="E646" i="1" s="1"/>
  <c r="H646" i="1" s="1"/>
  <c r="F646" i="1"/>
  <c r="G646" i="1"/>
  <c r="I646" i="1"/>
  <c r="J646" i="1"/>
  <c r="K646" i="1"/>
  <c r="L646" i="1"/>
  <c r="A647" i="1"/>
  <c r="B647" i="1"/>
  <c r="C647" i="1"/>
  <c r="D647" i="1"/>
  <c r="E647" i="1" s="1"/>
  <c r="H647" i="1" s="1"/>
  <c r="F647" i="1"/>
  <c r="G647" i="1"/>
  <c r="I647" i="1"/>
  <c r="J647" i="1"/>
  <c r="K647" i="1"/>
  <c r="L647" i="1"/>
  <c r="A648" i="1"/>
  <c r="B648" i="1"/>
  <c r="C648" i="1"/>
  <c r="D648" i="1"/>
  <c r="E648" i="1" s="1"/>
  <c r="H648" i="1" s="1"/>
  <c r="F648" i="1"/>
  <c r="G648" i="1"/>
  <c r="I648" i="1"/>
  <c r="J648" i="1"/>
  <c r="K648" i="1"/>
  <c r="L648" i="1"/>
  <c r="A649" i="1"/>
  <c r="B649" i="1"/>
  <c r="C649" i="1"/>
  <c r="D649" i="1"/>
  <c r="E649" i="1" s="1"/>
  <c r="H649" i="1" s="1"/>
  <c r="F649" i="1"/>
  <c r="G649" i="1"/>
  <c r="I649" i="1"/>
  <c r="J649" i="1"/>
  <c r="K649" i="1"/>
  <c r="L649" i="1"/>
  <c r="A650" i="1"/>
  <c r="B650" i="1"/>
  <c r="C650" i="1"/>
  <c r="D650" i="1"/>
  <c r="E650" i="1" s="1"/>
  <c r="H650" i="1" s="1"/>
  <c r="F650" i="1"/>
  <c r="G650" i="1"/>
  <c r="I650" i="1"/>
  <c r="J650" i="1"/>
  <c r="K650" i="1"/>
  <c r="L650" i="1"/>
  <c r="A651" i="1"/>
  <c r="B651" i="1"/>
  <c r="C651" i="1"/>
  <c r="D651" i="1"/>
  <c r="E651" i="1" s="1"/>
  <c r="H651" i="1" s="1"/>
  <c r="F651" i="1"/>
  <c r="G651" i="1"/>
  <c r="I651" i="1"/>
  <c r="J651" i="1"/>
  <c r="K651" i="1"/>
  <c r="L651" i="1"/>
  <c r="A652" i="1"/>
  <c r="B652" i="1"/>
  <c r="C652" i="1"/>
  <c r="D652" i="1"/>
  <c r="E652" i="1" s="1"/>
  <c r="H652" i="1" s="1"/>
  <c r="F652" i="1"/>
  <c r="G652" i="1"/>
  <c r="I652" i="1"/>
  <c r="J652" i="1"/>
  <c r="K652" i="1"/>
  <c r="L652" i="1"/>
  <c r="A653" i="1"/>
  <c r="B653" i="1"/>
  <c r="C653" i="1"/>
  <c r="D653" i="1"/>
  <c r="E653" i="1" s="1"/>
  <c r="H653" i="1" s="1"/>
  <c r="F653" i="1"/>
  <c r="G653" i="1"/>
  <c r="I653" i="1"/>
  <c r="J653" i="1"/>
  <c r="K653" i="1"/>
  <c r="L653" i="1"/>
  <c r="A654" i="1"/>
  <c r="B654" i="1"/>
  <c r="C654" i="1"/>
  <c r="D654" i="1"/>
  <c r="E654" i="1" s="1"/>
  <c r="H654" i="1" s="1"/>
  <c r="F654" i="1"/>
  <c r="G654" i="1"/>
  <c r="I654" i="1"/>
  <c r="J654" i="1"/>
  <c r="K654" i="1"/>
  <c r="L654" i="1"/>
  <c r="A655" i="1"/>
  <c r="B655" i="1"/>
  <c r="C655" i="1"/>
  <c r="D655" i="1"/>
  <c r="E655" i="1" s="1"/>
  <c r="H655" i="1" s="1"/>
  <c r="F655" i="1"/>
  <c r="G655" i="1"/>
  <c r="I655" i="1"/>
  <c r="J655" i="1"/>
  <c r="K655" i="1"/>
  <c r="L655" i="1"/>
  <c r="A656" i="1"/>
  <c r="B656" i="1"/>
  <c r="C656" i="1"/>
  <c r="D656" i="1"/>
  <c r="E656" i="1" s="1"/>
  <c r="H656" i="1" s="1"/>
  <c r="F656" i="1"/>
  <c r="G656" i="1"/>
  <c r="I656" i="1"/>
  <c r="J656" i="1"/>
  <c r="K656" i="1"/>
  <c r="L656" i="1"/>
  <c r="A657" i="1"/>
  <c r="B657" i="1"/>
  <c r="C657" i="1"/>
  <c r="D657" i="1"/>
  <c r="E657" i="1" s="1"/>
  <c r="H657" i="1" s="1"/>
  <c r="F657" i="1"/>
  <c r="G657" i="1"/>
  <c r="I657" i="1"/>
  <c r="J657" i="1"/>
  <c r="K657" i="1"/>
  <c r="L657" i="1"/>
  <c r="A658" i="1"/>
  <c r="B658" i="1"/>
  <c r="C658" i="1"/>
  <c r="D658" i="1"/>
  <c r="E658" i="1" s="1"/>
  <c r="H658" i="1" s="1"/>
  <c r="F658" i="1"/>
  <c r="G658" i="1"/>
  <c r="I658" i="1"/>
  <c r="J658" i="1"/>
  <c r="K658" i="1"/>
  <c r="L658" i="1"/>
  <c r="A659" i="1"/>
  <c r="B659" i="1"/>
  <c r="C659" i="1"/>
  <c r="D659" i="1"/>
  <c r="E659" i="1" s="1"/>
  <c r="H659" i="1" s="1"/>
  <c r="F659" i="1"/>
  <c r="G659" i="1"/>
  <c r="I659" i="1"/>
  <c r="J659" i="1"/>
  <c r="K659" i="1"/>
  <c r="L659" i="1"/>
  <c r="A660" i="1"/>
  <c r="B660" i="1"/>
  <c r="C660" i="1"/>
  <c r="D660" i="1"/>
  <c r="E660" i="1" s="1"/>
  <c r="H660" i="1" s="1"/>
  <c r="F660" i="1"/>
  <c r="G660" i="1"/>
  <c r="I660" i="1"/>
  <c r="J660" i="1"/>
  <c r="K660" i="1"/>
  <c r="L660" i="1"/>
  <c r="A661" i="1"/>
  <c r="B661" i="1"/>
  <c r="C661" i="1"/>
  <c r="D661" i="1"/>
  <c r="E661" i="1" s="1"/>
  <c r="H661" i="1" s="1"/>
  <c r="F661" i="1"/>
  <c r="G661" i="1"/>
  <c r="I661" i="1"/>
  <c r="J661" i="1"/>
  <c r="K661" i="1"/>
  <c r="L661" i="1"/>
  <c r="A662" i="1"/>
  <c r="B662" i="1"/>
  <c r="C662" i="1"/>
  <c r="D662" i="1"/>
  <c r="E662" i="1" s="1"/>
  <c r="H662" i="1" s="1"/>
  <c r="F662" i="1"/>
  <c r="G662" i="1"/>
  <c r="I662" i="1"/>
  <c r="J662" i="1"/>
  <c r="K662" i="1"/>
  <c r="L662" i="1"/>
  <c r="A663" i="1"/>
  <c r="B663" i="1"/>
  <c r="C663" i="1"/>
  <c r="D663" i="1"/>
  <c r="E663" i="1" s="1"/>
  <c r="H663" i="1" s="1"/>
  <c r="F663" i="1"/>
  <c r="G663" i="1"/>
  <c r="I663" i="1"/>
  <c r="J663" i="1"/>
  <c r="K663" i="1"/>
  <c r="L663" i="1"/>
  <c r="A664" i="1"/>
  <c r="B664" i="1"/>
  <c r="C664" i="1"/>
  <c r="D664" i="1"/>
  <c r="E664" i="1" s="1"/>
  <c r="H664" i="1" s="1"/>
  <c r="F664" i="1"/>
  <c r="G664" i="1"/>
  <c r="I664" i="1"/>
  <c r="J664" i="1"/>
  <c r="K664" i="1"/>
  <c r="L664" i="1"/>
  <c r="A665" i="1"/>
  <c r="B665" i="1"/>
  <c r="C665" i="1"/>
  <c r="D665" i="1"/>
  <c r="E665" i="1" s="1"/>
  <c r="H665" i="1" s="1"/>
  <c r="F665" i="1"/>
  <c r="G665" i="1"/>
  <c r="I665" i="1"/>
  <c r="J665" i="1"/>
  <c r="K665" i="1"/>
  <c r="L665" i="1"/>
  <c r="A666" i="1"/>
  <c r="B666" i="1"/>
  <c r="C666" i="1"/>
  <c r="D666" i="1"/>
  <c r="E666" i="1" s="1"/>
  <c r="H666" i="1" s="1"/>
  <c r="F666" i="1"/>
  <c r="G666" i="1"/>
  <c r="I666" i="1"/>
  <c r="J666" i="1"/>
  <c r="K666" i="1"/>
  <c r="L666" i="1"/>
  <c r="A667" i="1"/>
  <c r="B667" i="1"/>
  <c r="C667" i="1"/>
  <c r="D667" i="1"/>
  <c r="E667" i="1" s="1"/>
  <c r="H667" i="1" s="1"/>
  <c r="F667" i="1"/>
  <c r="G667" i="1"/>
  <c r="I667" i="1"/>
  <c r="J667" i="1"/>
  <c r="K667" i="1"/>
  <c r="L667" i="1"/>
  <c r="A668" i="1"/>
  <c r="B668" i="1"/>
  <c r="C668" i="1"/>
  <c r="D668" i="1"/>
  <c r="E668" i="1" s="1"/>
  <c r="H668" i="1" s="1"/>
  <c r="F668" i="1"/>
  <c r="G668" i="1"/>
  <c r="I668" i="1"/>
  <c r="J668" i="1"/>
  <c r="K668" i="1"/>
  <c r="L668" i="1"/>
  <c r="A669" i="1"/>
  <c r="B669" i="1"/>
  <c r="C669" i="1"/>
  <c r="D669" i="1"/>
  <c r="E669" i="1" s="1"/>
  <c r="H669" i="1" s="1"/>
  <c r="F669" i="1"/>
  <c r="G669" i="1"/>
  <c r="I669" i="1"/>
  <c r="J669" i="1"/>
  <c r="K669" i="1"/>
  <c r="L669" i="1"/>
  <c r="A670" i="1"/>
  <c r="B670" i="1"/>
  <c r="C670" i="1"/>
  <c r="D670" i="1"/>
  <c r="E670" i="1" s="1"/>
  <c r="H670" i="1" s="1"/>
  <c r="F670" i="1"/>
  <c r="G670" i="1"/>
  <c r="I670" i="1"/>
  <c r="J670" i="1"/>
  <c r="K670" i="1"/>
  <c r="L670" i="1"/>
  <c r="A671" i="1"/>
  <c r="B671" i="1"/>
  <c r="C671" i="1"/>
  <c r="D671" i="1"/>
  <c r="E671" i="1" s="1"/>
  <c r="H671" i="1" s="1"/>
  <c r="F671" i="1"/>
  <c r="G671" i="1"/>
  <c r="I671" i="1"/>
  <c r="J671" i="1"/>
  <c r="K671" i="1"/>
  <c r="L671" i="1"/>
  <c r="A672" i="1"/>
  <c r="B672" i="1"/>
  <c r="C672" i="1"/>
  <c r="D672" i="1"/>
  <c r="E672" i="1" s="1"/>
  <c r="H672" i="1" s="1"/>
  <c r="F672" i="1"/>
  <c r="G672" i="1"/>
  <c r="I672" i="1"/>
  <c r="J672" i="1"/>
  <c r="K672" i="1"/>
  <c r="L672" i="1"/>
  <c r="A673" i="1"/>
  <c r="B673" i="1"/>
  <c r="C673" i="1"/>
  <c r="D673" i="1"/>
  <c r="E673" i="1" s="1"/>
  <c r="H673" i="1" s="1"/>
  <c r="F673" i="1"/>
  <c r="G673" i="1"/>
  <c r="I673" i="1"/>
  <c r="J673" i="1"/>
  <c r="K673" i="1"/>
  <c r="L673" i="1"/>
  <c r="A674" i="1"/>
  <c r="B674" i="1"/>
  <c r="C674" i="1"/>
  <c r="D674" i="1"/>
  <c r="F674" i="1"/>
  <c r="G674" i="1"/>
  <c r="I674" i="1"/>
  <c r="J674" i="1"/>
  <c r="K674" i="1"/>
  <c r="L674" i="1"/>
  <c r="A675" i="1"/>
  <c r="B675" i="1"/>
  <c r="C675" i="1"/>
  <c r="D675" i="1"/>
  <c r="E675" i="1" s="1"/>
  <c r="F675" i="1"/>
  <c r="G675" i="1"/>
  <c r="I675" i="1"/>
  <c r="J675" i="1"/>
  <c r="K675" i="1"/>
  <c r="L675" i="1"/>
  <c r="A676" i="1"/>
  <c r="B676" i="1"/>
  <c r="C676" i="1"/>
  <c r="D676" i="1"/>
  <c r="E676" i="1" s="1"/>
  <c r="F676" i="1"/>
  <c r="G676" i="1"/>
  <c r="I676" i="1"/>
  <c r="J676" i="1"/>
  <c r="K676" i="1"/>
  <c r="L676" i="1"/>
  <c r="A677" i="1"/>
  <c r="B677" i="1"/>
  <c r="C677" i="1"/>
  <c r="D677" i="1"/>
  <c r="E677" i="1" s="1"/>
  <c r="F677" i="1"/>
  <c r="G677" i="1"/>
  <c r="I677" i="1"/>
  <c r="J677" i="1"/>
  <c r="K677" i="1"/>
  <c r="L677" i="1"/>
  <c r="A678" i="1"/>
  <c r="B678" i="1"/>
  <c r="C678" i="1"/>
  <c r="D678" i="1"/>
  <c r="E678" i="1" s="1"/>
  <c r="F678" i="1"/>
  <c r="G678" i="1"/>
  <c r="I678" i="1"/>
  <c r="J678" i="1"/>
  <c r="K678" i="1"/>
  <c r="L678" i="1"/>
  <c r="A679" i="1"/>
  <c r="B679" i="1"/>
  <c r="C679" i="1"/>
  <c r="D679" i="1"/>
  <c r="E679" i="1" s="1"/>
  <c r="F679" i="1"/>
  <c r="G679" i="1"/>
  <c r="I679" i="1"/>
  <c r="J679" i="1"/>
  <c r="K679" i="1"/>
  <c r="L679" i="1"/>
  <c r="A680" i="1"/>
  <c r="B680" i="1"/>
  <c r="C680" i="1"/>
  <c r="D680" i="1"/>
  <c r="E680" i="1" s="1"/>
  <c r="F680" i="1"/>
  <c r="G680" i="1"/>
  <c r="I680" i="1"/>
  <c r="J680" i="1"/>
  <c r="K680" i="1"/>
  <c r="L680" i="1"/>
  <c r="A681" i="1"/>
  <c r="B681" i="1"/>
  <c r="C681" i="1"/>
  <c r="D681" i="1"/>
  <c r="E681" i="1" s="1"/>
  <c r="F681" i="1"/>
  <c r="G681" i="1"/>
  <c r="I681" i="1"/>
  <c r="J681" i="1"/>
  <c r="K681" i="1"/>
  <c r="L681" i="1"/>
  <c r="A682" i="1"/>
  <c r="B682" i="1"/>
  <c r="C682" i="1"/>
  <c r="D682" i="1"/>
  <c r="F682" i="1"/>
  <c r="G682" i="1"/>
  <c r="I682" i="1"/>
  <c r="J682" i="1"/>
  <c r="K682" i="1"/>
  <c r="L682" i="1"/>
  <c r="A683" i="1"/>
  <c r="B683" i="1"/>
  <c r="C683" i="1"/>
  <c r="D683" i="1"/>
  <c r="E683" i="1" s="1"/>
  <c r="F683" i="1"/>
  <c r="G683" i="1"/>
  <c r="I683" i="1"/>
  <c r="J683" i="1"/>
  <c r="K683" i="1"/>
  <c r="L683" i="1"/>
  <c r="A684" i="1"/>
  <c r="B684" i="1"/>
  <c r="C684" i="1"/>
  <c r="D684" i="1"/>
  <c r="E684" i="1" s="1"/>
  <c r="F684" i="1"/>
  <c r="G684" i="1"/>
  <c r="I684" i="1"/>
  <c r="J684" i="1"/>
  <c r="K684" i="1"/>
  <c r="L684" i="1"/>
  <c r="A685" i="1"/>
  <c r="B685" i="1"/>
  <c r="C685" i="1"/>
  <c r="D685" i="1"/>
  <c r="E685" i="1" s="1"/>
  <c r="F685" i="1"/>
  <c r="G685" i="1"/>
  <c r="I685" i="1"/>
  <c r="J685" i="1"/>
  <c r="K685" i="1"/>
  <c r="L685" i="1"/>
  <c r="A686" i="1"/>
  <c r="B686" i="1"/>
  <c r="C686" i="1"/>
  <c r="D686" i="1"/>
  <c r="E686" i="1" s="1"/>
  <c r="F686" i="1"/>
  <c r="G686" i="1"/>
  <c r="I686" i="1"/>
  <c r="J686" i="1"/>
  <c r="K686" i="1"/>
  <c r="L686" i="1"/>
  <c r="A687" i="1"/>
  <c r="B687" i="1"/>
  <c r="C687" i="1"/>
  <c r="D687" i="1"/>
  <c r="E687" i="1" s="1"/>
  <c r="F687" i="1"/>
  <c r="G687" i="1"/>
  <c r="I687" i="1"/>
  <c r="J687" i="1"/>
  <c r="K687" i="1"/>
  <c r="L687" i="1"/>
  <c r="A688" i="1"/>
  <c r="B688" i="1"/>
  <c r="C688" i="1"/>
  <c r="D688" i="1"/>
  <c r="F688" i="1"/>
  <c r="G688" i="1"/>
  <c r="I688" i="1"/>
  <c r="J688" i="1"/>
  <c r="K688" i="1"/>
  <c r="L688" i="1"/>
  <c r="A689" i="1"/>
  <c r="B689" i="1"/>
  <c r="C689" i="1"/>
  <c r="D689" i="1"/>
  <c r="E689" i="1" s="1"/>
  <c r="F689" i="1"/>
  <c r="G689" i="1"/>
  <c r="I689" i="1"/>
  <c r="J689" i="1"/>
  <c r="K689" i="1"/>
  <c r="L689" i="1"/>
  <c r="A690" i="1"/>
  <c r="B690" i="1"/>
  <c r="C690" i="1"/>
  <c r="D690" i="1"/>
  <c r="F690" i="1"/>
  <c r="G690" i="1"/>
  <c r="I690" i="1"/>
  <c r="J690" i="1"/>
  <c r="K690" i="1"/>
  <c r="L690" i="1"/>
  <c r="A691" i="1"/>
  <c r="B691" i="1"/>
  <c r="C691" i="1"/>
  <c r="D691" i="1"/>
  <c r="E691" i="1" s="1"/>
  <c r="F691" i="1"/>
  <c r="G691" i="1"/>
  <c r="I691" i="1"/>
  <c r="J691" i="1"/>
  <c r="K691" i="1"/>
  <c r="L691" i="1"/>
  <c r="A692" i="1"/>
  <c r="B692" i="1"/>
  <c r="C692" i="1"/>
  <c r="D692" i="1"/>
  <c r="E692" i="1" s="1"/>
  <c r="F692" i="1"/>
  <c r="G692" i="1"/>
  <c r="I692" i="1"/>
  <c r="J692" i="1"/>
  <c r="K692" i="1"/>
  <c r="L692" i="1"/>
  <c r="A693" i="1"/>
  <c r="B693" i="1"/>
  <c r="C693" i="1"/>
  <c r="D693" i="1"/>
  <c r="E693" i="1" s="1"/>
  <c r="F693" i="1"/>
  <c r="G693" i="1"/>
  <c r="I693" i="1"/>
  <c r="J693" i="1"/>
  <c r="K693" i="1"/>
  <c r="L693" i="1"/>
  <c r="A694" i="1"/>
  <c r="B694" i="1"/>
  <c r="C694" i="1"/>
  <c r="D694" i="1"/>
  <c r="E694" i="1" s="1"/>
  <c r="F694" i="1"/>
  <c r="G694" i="1"/>
  <c r="I694" i="1"/>
  <c r="J694" i="1"/>
  <c r="K694" i="1"/>
  <c r="L694" i="1"/>
  <c r="A695" i="1"/>
  <c r="B695" i="1"/>
  <c r="C695" i="1"/>
  <c r="D695" i="1"/>
  <c r="E695" i="1" s="1"/>
  <c r="F695" i="1"/>
  <c r="G695" i="1"/>
  <c r="I695" i="1"/>
  <c r="J695" i="1"/>
  <c r="K695" i="1"/>
  <c r="L695" i="1"/>
  <c r="A696" i="1"/>
  <c r="B696" i="1"/>
  <c r="C696" i="1"/>
  <c r="D696" i="1"/>
  <c r="E696" i="1" s="1"/>
  <c r="F696" i="1"/>
  <c r="G696" i="1"/>
  <c r="I696" i="1"/>
  <c r="J696" i="1"/>
  <c r="K696" i="1"/>
  <c r="L696" i="1"/>
  <c r="A697" i="1"/>
  <c r="B697" i="1"/>
  <c r="C697" i="1"/>
  <c r="D697" i="1"/>
  <c r="E697" i="1" s="1"/>
  <c r="F697" i="1"/>
  <c r="G697" i="1"/>
  <c r="I697" i="1"/>
  <c r="J697" i="1"/>
  <c r="K697" i="1"/>
  <c r="L697" i="1"/>
  <c r="A698" i="1"/>
  <c r="B698" i="1"/>
  <c r="C698" i="1"/>
  <c r="D698" i="1"/>
  <c r="F698" i="1"/>
  <c r="G698" i="1"/>
  <c r="I698" i="1"/>
  <c r="J698" i="1"/>
  <c r="K698" i="1"/>
  <c r="L698" i="1"/>
  <c r="A699" i="1"/>
  <c r="B699" i="1"/>
  <c r="C699" i="1"/>
  <c r="D699" i="1"/>
  <c r="E699" i="1" s="1"/>
  <c r="F699" i="1"/>
  <c r="G699" i="1"/>
  <c r="I699" i="1"/>
  <c r="J699" i="1"/>
  <c r="K699" i="1"/>
  <c r="L699" i="1"/>
  <c r="A700" i="1"/>
  <c r="B700" i="1"/>
  <c r="C700" i="1"/>
  <c r="D700" i="1"/>
  <c r="E700" i="1" s="1"/>
  <c r="F700" i="1"/>
  <c r="G700" i="1"/>
  <c r="I700" i="1"/>
  <c r="J700" i="1"/>
  <c r="K700" i="1"/>
  <c r="L700" i="1"/>
  <c r="A701" i="1"/>
  <c r="B701" i="1"/>
  <c r="C701" i="1"/>
  <c r="D701" i="1"/>
  <c r="E701" i="1" s="1"/>
  <c r="F701" i="1"/>
  <c r="G701" i="1"/>
  <c r="I701" i="1"/>
  <c r="J701" i="1"/>
  <c r="K701" i="1"/>
  <c r="L701" i="1"/>
  <c r="A702" i="1"/>
  <c r="B702" i="1"/>
  <c r="C702" i="1"/>
  <c r="D702" i="1"/>
  <c r="E702" i="1" s="1"/>
  <c r="H702" i="1" s="1"/>
  <c r="F702" i="1"/>
  <c r="G702" i="1"/>
  <c r="I702" i="1"/>
  <c r="J702" i="1"/>
  <c r="K702" i="1"/>
  <c r="L702" i="1"/>
  <c r="A703" i="1"/>
  <c r="B703" i="1"/>
  <c r="C703" i="1"/>
  <c r="D703" i="1"/>
  <c r="E703" i="1" s="1"/>
  <c r="H703" i="1" s="1"/>
  <c r="F703" i="1"/>
  <c r="G703" i="1"/>
  <c r="I703" i="1"/>
  <c r="J703" i="1"/>
  <c r="K703" i="1"/>
  <c r="L703" i="1"/>
  <c r="A704" i="1"/>
  <c r="B704" i="1"/>
  <c r="C704" i="1"/>
  <c r="D704" i="1"/>
  <c r="E704" i="1" s="1"/>
  <c r="H704" i="1" s="1"/>
  <c r="F704" i="1"/>
  <c r="G704" i="1"/>
  <c r="I704" i="1"/>
  <c r="J704" i="1"/>
  <c r="K704" i="1"/>
  <c r="L704" i="1"/>
  <c r="A705" i="1"/>
  <c r="B705" i="1"/>
  <c r="C705" i="1"/>
  <c r="D705" i="1"/>
  <c r="E705" i="1" s="1"/>
  <c r="H705" i="1" s="1"/>
  <c r="F705" i="1"/>
  <c r="G705" i="1"/>
  <c r="I705" i="1"/>
  <c r="J705" i="1"/>
  <c r="K705" i="1"/>
  <c r="L705" i="1"/>
  <c r="A706" i="1"/>
  <c r="B706" i="1"/>
  <c r="C706" i="1"/>
  <c r="D706" i="1"/>
  <c r="E706" i="1" s="1"/>
  <c r="H706" i="1" s="1"/>
  <c r="F706" i="1"/>
  <c r="G706" i="1"/>
  <c r="I706" i="1"/>
  <c r="J706" i="1"/>
  <c r="K706" i="1"/>
  <c r="L706" i="1"/>
  <c r="A707" i="1"/>
  <c r="B707" i="1"/>
  <c r="C707" i="1"/>
  <c r="D707" i="1"/>
  <c r="E707" i="1" s="1"/>
  <c r="H707" i="1" s="1"/>
  <c r="F707" i="1"/>
  <c r="G707" i="1"/>
  <c r="I707" i="1"/>
  <c r="J707" i="1"/>
  <c r="K707" i="1"/>
  <c r="L707" i="1"/>
  <c r="A708" i="1"/>
  <c r="B708" i="1"/>
  <c r="C708" i="1"/>
  <c r="D708" i="1"/>
  <c r="E708" i="1" s="1"/>
  <c r="H708" i="1" s="1"/>
  <c r="F708" i="1"/>
  <c r="G708" i="1"/>
  <c r="I708" i="1"/>
  <c r="J708" i="1"/>
  <c r="K708" i="1"/>
  <c r="L708" i="1"/>
  <c r="A709" i="1"/>
  <c r="B709" i="1"/>
  <c r="C709" i="1"/>
  <c r="D709" i="1"/>
  <c r="E709" i="1" s="1"/>
  <c r="H709" i="1" s="1"/>
  <c r="F709" i="1"/>
  <c r="G709" i="1"/>
  <c r="I709" i="1"/>
  <c r="J709" i="1"/>
  <c r="K709" i="1"/>
  <c r="L709" i="1"/>
  <c r="A710" i="1"/>
  <c r="B710" i="1"/>
  <c r="C710" i="1"/>
  <c r="D710" i="1"/>
  <c r="E710" i="1" s="1"/>
  <c r="H710" i="1" s="1"/>
  <c r="F710" i="1"/>
  <c r="G710" i="1"/>
  <c r="I710" i="1"/>
  <c r="J710" i="1"/>
  <c r="K710" i="1"/>
  <c r="L710" i="1"/>
  <c r="A711" i="1"/>
  <c r="B711" i="1"/>
  <c r="C711" i="1"/>
  <c r="D711" i="1"/>
  <c r="E711" i="1" s="1"/>
  <c r="H711" i="1" s="1"/>
  <c r="F711" i="1"/>
  <c r="G711" i="1"/>
  <c r="I711" i="1"/>
  <c r="J711" i="1"/>
  <c r="K711" i="1"/>
  <c r="L711" i="1"/>
  <c r="A712" i="1"/>
  <c r="B712" i="1"/>
  <c r="C712" i="1"/>
  <c r="D712" i="1"/>
  <c r="E712" i="1" s="1"/>
  <c r="H712" i="1" s="1"/>
  <c r="F712" i="1"/>
  <c r="G712" i="1"/>
  <c r="I712" i="1"/>
  <c r="J712" i="1"/>
  <c r="K712" i="1"/>
  <c r="L712" i="1"/>
  <c r="A713" i="1"/>
  <c r="B713" i="1"/>
  <c r="C713" i="1"/>
  <c r="D713" i="1"/>
  <c r="E713" i="1" s="1"/>
  <c r="H713" i="1" s="1"/>
  <c r="F713" i="1"/>
  <c r="G713" i="1"/>
  <c r="I713" i="1"/>
  <c r="J713" i="1"/>
  <c r="K713" i="1"/>
  <c r="L713" i="1"/>
  <c r="A714" i="1"/>
  <c r="B714" i="1"/>
  <c r="C714" i="1"/>
  <c r="D714" i="1"/>
  <c r="E714" i="1" s="1"/>
  <c r="H714" i="1" s="1"/>
  <c r="F714" i="1"/>
  <c r="G714" i="1"/>
  <c r="I714" i="1"/>
  <c r="J714" i="1"/>
  <c r="K714" i="1"/>
  <c r="L714" i="1"/>
  <c r="A715" i="1"/>
  <c r="B715" i="1"/>
  <c r="C715" i="1"/>
  <c r="D715" i="1"/>
  <c r="E715" i="1" s="1"/>
  <c r="H715" i="1" s="1"/>
  <c r="F715" i="1"/>
  <c r="G715" i="1"/>
  <c r="I715" i="1"/>
  <c r="J715" i="1"/>
  <c r="K715" i="1"/>
  <c r="L715" i="1"/>
  <c r="A716" i="1"/>
  <c r="B716" i="1"/>
  <c r="C716" i="1"/>
  <c r="D716" i="1"/>
  <c r="E716" i="1" s="1"/>
  <c r="H716" i="1" s="1"/>
  <c r="F716" i="1"/>
  <c r="G716" i="1"/>
  <c r="I716" i="1"/>
  <c r="J716" i="1"/>
  <c r="K716" i="1"/>
  <c r="L716" i="1"/>
  <c r="A717" i="1"/>
  <c r="B717" i="1"/>
  <c r="C717" i="1"/>
  <c r="D717" i="1"/>
  <c r="E717" i="1" s="1"/>
  <c r="H717" i="1" s="1"/>
  <c r="F717" i="1"/>
  <c r="G717" i="1"/>
  <c r="I717" i="1"/>
  <c r="J717" i="1"/>
  <c r="K717" i="1"/>
  <c r="L717" i="1"/>
  <c r="A718" i="1"/>
  <c r="B718" i="1"/>
  <c r="C718" i="1"/>
  <c r="D718" i="1"/>
  <c r="E718" i="1" s="1"/>
  <c r="H718" i="1" s="1"/>
  <c r="F718" i="1"/>
  <c r="G718" i="1"/>
  <c r="I718" i="1"/>
  <c r="J718" i="1"/>
  <c r="K718" i="1"/>
  <c r="L718" i="1"/>
  <c r="A719" i="1"/>
  <c r="B719" i="1"/>
  <c r="C719" i="1"/>
  <c r="D719" i="1"/>
  <c r="E719" i="1" s="1"/>
  <c r="H719" i="1" s="1"/>
  <c r="F719" i="1"/>
  <c r="G719" i="1"/>
  <c r="I719" i="1"/>
  <c r="J719" i="1"/>
  <c r="K719" i="1"/>
  <c r="L719" i="1"/>
  <c r="A720" i="1"/>
  <c r="B720" i="1"/>
  <c r="C720" i="1"/>
  <c r="D720" i="1"/>
  <c r="E720" i="1" s="1"/>
  <c r="H720" i="1" s="1"/>
  <c r="F720" i="1"/>
  <c r="G720" i="1"/>
  <c r="I720" i="1"/>
  <c r="J720" i="1"/>
  <c r="K720" i="1"/>
  <c r="L720" i="1"/>
  <c r="A721" i="1"/>
  <c r="B721" i="1"/>
  <c r="C721" i="1"/>
  <c r="D721" i="1"/>
  <c r="E721" i="1" s="1"/>
  <c r="H721" i="1" s="1"/>
  <c r="F721" i="1"/>
  <c r="G721" i="1"/>
  <c r="I721" i="1"/>
  <c r="J721" i="1"/>
  <c r="K721" i="1"/>
  <c r="L721" i="1"/>
  <c r="A722" i="1"/>
  <c r="B722" i="1"/>
  <c r="C722" i="1"/>
  <c r="D722" i="1"/>
  <c r="E722" i="1" s="1"/>
  <c r="H722" i="1" s="1"/>
  <c r="F722" i="1"/>
  <c r="G722" i="1"/>
  <c r="I722" i="1"/>
  <c r="J722" i="1"/>
  <c r="K722" i="1"/>
  <c r="L722" i="1"/>
  <c r="A723" i="1"/>
  <c r="B723" i="1"/>
  <c r="C723" i="1"/>
  <c r="D723" i="1"/>
  <c r="E723" i="1" s="1"/>
  <c r="H723" i="1" s="1"/>
  <c r="F723" i="1"/>
  <c r="G723" i="1"/>
  <c r="I723" i="1"/>
  <c r="J723" i="1"/>
  <c r="K723" i="1"/>
  <c r="L723" i="1"/>
  <c r="A724" i="1"/>
  <c r="B724" i="1"/>
  <c r="C724" i="1"/>
  <c r="D724" i="1"/>
  <c r="E724" i="1" s="1"/>
  <c r="H724" i="1" s="1"/>
  <c r="F724" i="1"/>
  <c r="G724" i="1"/>
  <c r="I724" i="1"/>
  <c r="J724" i="1"/>
  <c r="K724" i="1"/>
  <c r="L724" i="1"/>
  <c r="A725" i="1"/>
  <c r="B725" i="1"/>
  <c r="C725" i="1"/>
  <c r="D725" i="1"/>
  <c r="E725" i="1" s="1"/>
  <c r="H725" i="1" s="1"/>
  <c r="F725" i="1"/>
  <c r="G725" i="1"/>
  <c r="I725" i="1"/>
  <c r="J725" i="1"/>
  <c r="K725" i="1"/>
  <c r="L725" i="1"/>
  <c r="A726" i="1"/>
  <c r="B726" i="1"/>
  <c r="C726" i="1"/>
  <c r="D726" i="1"/>
  <c r="E726" i="1" s="1"/>
  <c r="H726" i="1" s="1"/>
  <c r="F726" i="1"/>
  <c r="G726" i="1"/>
  <c r="I726" i="1"/>
  <c r="J726" i="1"/>
  <c r="K726" i="1"/>
  <c r="L726" i="1"/>
  <c r="A727" i="1"/>
  <c r="B727" i="1"/>
  <c r="C727" i="1"/>
  <c r="D727" i="1"/>
  <c r="E727" i="1" s="1"/>
  <c r="H727" i="1" s="1"/>
  <c r="F727" i="1"/>
  <c r="G727" i="1"/>
  <c r="I727" i="1"/>
  <c r="J727" i="1"/>
  <c r="K727" i="1"/>
  <c r="L727" i="1"/>
  <c r="A728" i="1"/>
  <c r="B728" i="1"/>
  <c r="C728" i="1"/>
  <c r="D728" i="1"/>
  <c r="E728" i="1" s="1"/>
  <c r="H728" i="1" s="1"/>
  <c r="F728" i="1"/>
  <c r="G728" i="1"/>
  <c r="I728" i="1"/>
  <c r="J728" i="1"/>
  <c r="K728" i="1"/>
  <c r="L728" i="1"/>
  <c r="A729" i="1"/>
  <c r="B729" i="1"/>
  <c r="C729" i="1"/>
  <c r="D729" i="1"/>
  <c r="E729" i="1" s="1"/>
  <c r="H729" i="1" s="1"/>
  <c r="F729" i="1"/>
  <c r="G729" i="1"/>
  <c r="I729" i="1"/>
  <c r="J729" i="1"/>
  <c r="K729" i="1"/>
  <c r="L729" i="1"/>
  <c r="A730" i="1"/>
  <c r="B730" i="1"/>
  <c r="C730" i="1"/>
  <c r="D730" i="1"/>
  <c r="E730" i="1" s="1"/>
  <c r="H730" i="1" s="1"/>
  <c r="F730" i="1"/>
  <c r="G730" i="1"/>
  <c r="I730" i="1"/>
  <c r="J730" i="1"/>
  <c r="K730" i="1"/>
  <c r="L730" i="1"/>
  <c r="A731" i="1"/>
  <c r="B731" i="1"/>
  <c r="C731" i="1"/>
  <c r="D731" i="1"/>
  <c r="E731" i="1" s="1"/>
  <c r="H731" i="1" s="1"/>
  <c r="F731" i="1"/>
  <c r="G731" i="1"/>
  <c r="I731" i="1"/>
  <c r="J731" i="1"/>
  <c r="K731" i="1"/>
  <c r="L731" i="1"/>
  <c r="A732" i="1"/>
  <c r="B732" i="1"/>
  <c r="C732" i="1"/>
  <c r="D732" i="1"/>
  <c r="E732" i="1" s="1"/>
  <c r="H732" i="1" s="1"/>
  <c r="F732" i="1"/>
  <c r="G732" i="1"/>
  <c r="I732" i="1"/>
  <c r="J732" i="1"/>
  <c r="K732" i="1"/>
  <c r="L732" i="1"/>
  <c r="A733" i="1"/>
  <c r="B733" i="1"/>
  <c r="C733" i="1"/>
  <c r="D733" i="1"/>
  <c r="E733" i="1" s="1"/>
  <c r="H733" i="1" s="1"/>
  <c r="F733" i="1"/>
  <c r="G733" i="1"/>
  <c r="I733" i="1"/>
  <c r="J733" i="1"/>
  <c r="K733" i="1"/>
  <c r="L733" i="1"/>
  <c r="A734" i="1"/>
  <c r="B734" i="1"/>
  <c r="C734" i="1"/>
  <c r="D734" i="1"/>
  <c r="E734" i="1" s="1"/>
  <c r="H734" i="1" s="1"/>
  <c r="F734" i="1"/>
  <c r="G734" i="1"/>
  <c r="I734" i="1"/>
  <c r="J734" i="1"/>
  <c r="K734" i="1"/>
  <c r="L734" i="1"/>
  <c r="A735" i="1"/>
  <c r="B735" i="1"/>
  <c r="C735" i="1"/>
  <c r="D735" i="1"/>
  <c r="E735" i="1" s="1"/>
  <c r="H735" i="1" s="1"/>
  <c r="F735" i="1"/>
  <c r="G735" i="1"/>
  <c r="I735" i="1"/>
  <c r="J735" i="1"/>
  <c r="K735" i="1"/>
  <c r="L735" i="1"/>
  <c r="A736" i="1"/>
  <c r="B736" i="1"/>
  <c r="C736" i="1"/>
  <c r="D736" i="1"/>
  <c r="E736" i="1" s="1"/>
  <c r="H736" i="1" s="1"/>
  <c r="F736" i="1"/>
  <c r="G736" i="1"/>
  <c r="I736" i="1"/>
  <c r="J736" i="1"/>
  <c r="K736" i="1"/>
  <c r="L736" i="1"/>
  <c r="A737" i="1"/>
  <c r="B737" i="1"/>
  <c r="C737" i="1"/>
  <c r="D737" i="1"/>
  <c r="E737" i="1" s="1"/>
  <c r="H737" i="1" s="1"/>
  <c r="F737" i="1"/>
  <c r="G737" i="1"/>
  <c r="I737" i="1"/>
  <c r="J737" i="1"/>
  <c r="K737" i="1"/>
  <c r="L737" i="1"/>
  <c r="A738" i="1"/>
  <c r="B738" i="1"/>
  <c r="C738" i="1"/>
  <c r="D738" i="1"/>
  <c r="E738" i="1" s="1"/>
  <c r="H738" i="1" s="1"/>
  <c r="F738" i="1"/>
  <c r="G738" i="1"/>
  <c r="I738" i="1"/>
  <c r="J738" i="1"/>
  <c r="K738" i="1"/>
  <c r="L738" i="1"/>
  <c r="A739" i="1"/>
  <c r="B739" i="1"/>
  <c r="C739" i="1"/>
  <c r="D739" i="1"/>
  <c r="E739" i="1" s="1"/>
  <c r="H739" i="1" s="1"/>
  <c r="F739" i="1"/>
  <c r="G739" i="1"/>
  <c r="I739" i="1"/>
  <c r="J739" i="1"/>
  <c r="K739" i="1"/>
  <c r="L739" i="1"/>
  <c r="A740" i="1"/>
  <c r="B740" i="1"/>
  <c r="C740" i="1"/>
  <c r="D740" i="1"/>
  <c r="E740" i="1" s="1"/>
  <c r="H740" i="1" s="1"/>
  <c r="F740" i="1"/>
  <c r="G740" i="1"/>
  <c r="I740" i="1"/>
  <c r="J740" i="1"/>
  <c r="K740" i="1"/>
  <c r="L740" i="1"/>
  <c r="A741" i="1"/>
  <c r="B741" i="1"/>
  <c r="C741" i="1"/>
  <c r="D741" i="1"/>
  <c r="E741" i="1" s="1"/>
  <c r="H741" i="1" s="1"/>
  <c r="F741" i="1"/>
  <c r="G741" i="1"/>
  <c r="I741" i="1"/>
  <c r="J741" i="1"/>
  <c r="K741" i="1"/>
  <c r="L741" i="1"/>
  <c r="A742" i="1"/>
  <c r="B742" i="1"/>
  <c r="C742" i="1"/>
  <c r="D742" i="1"/>
  <c r="E742" i="1" s="1"/>
  <c r="H742" i="1" s="1"/>
  <c r="F742" i="1"/>
  <c r="G742" i="1"/>
  <c r="I742" i="1"/>
  <c r="J742" i="1"/>
  <c r="K742" i="1"/>
  <c r="L742" i="1"/>
  <c r="A743" i="1"/>
  <c r="B743" i="1"/>
  <c r="C743" i="1"/>
  <c r="D743" i="1"/>
  <c r="E743" i="1" s="1"/>
  <c r="H743" i="1" s="1"/>
  <c r="F743" i="1"/>
  <c r="G743" i="1"/>
  <c r="I743" i="1"/>
  <c r="J743" i="1"/>
  <c r="K743" i="1"/>
  <c r="L743" i="1"/>
  <c r="A744" i="1"/>
  <c r="B744" i="1"/>
  <c r="C744" i="1"/>
  <c r="D744" i="1"/>
  <c r="E744" i="1" s="1"/>
  <c r="H744" i="1" s="1"/>
  <c r="F744" i="1"/>
  <c r="G744" i="1"/>
  <c r="I744" i="1"/>
  <c r="J744" i="1"/>
  <c r="K744" i="1"/>
  <c r="L744" i="1"/>
  <c r="A745" i="1"/>
  <c r="B745" i="1"/>
  <c r="C745" i="1"/>
  <c r="D745" i="1"/>
  <c r="E745" i="1" s="1"/>
  <c r="H745" i="1" s="1"/>
  <c r="F745" i="1"/>
  <c r="G745" i="1"/>
  <c r="I745" i="1"/>
  <c r="J745" i="1"/>
  <c r="K745" i="1"/>
  <c r="L745" i="1"/>
  <c r="A746" i="1"/>
  <c r="B746" i="1"/>
  <c r="C746" i="1"/>
  <c r="D746" i="1"/>
  <c r="E746" i="1" s="1"/>
  <c r="H746" i="1" s="1"/>
  <c r="F746" i="1"/>
  <c r="G746" i="1"/>
  <c r="I746" i="1"/>
  <c r="J746" i="1"/>
  <c r="K746" i="1"/>
  <c r="L746" i="1"/>
  <c r="A747" i="1"/>
  <c r="B747" i="1"/>
  <c r="C747" i="1"/>
  <c r="D747" i="1"/>
  <c r="E747" i="1" s="1"/>
  <c r="H747" i="1" s="1"/>
  <c r="F747" i="1"/>
  <c r="G747" i="1"/>
  <c r="I747" i="1"/>
  <c r="J747" i="1"/>
  <c r="K747" i="1"/>
  <c r="L747" i="1"/>
  <c r="A748" i="1"/>
  <c r="B748" i="1"/>
  <c r="C748" i="1"/>
  <c r="D748" i="1"/>
  <c r="E748" i="1" s="1"/>
  <c r="H748" i="1" s="1"/>
  <c r="F748" i="1"/>
  <c r="G748" i="1"/>
  <c r="I748" i="1"/>
  <c r="J748" i="1"/>
  <c r="K748" i="1"/>
  <c r="L748" i="1"/>
  <c r="A749" i="1"/>
  <c r="B749" i="1"/>
  <c r="C749" i="1"/>
  <c r="D749" i="1"/>
  <c r="E749" i="1" s="1"/>
  <c r="H749" i="1" s="1"/>
  <c r="F749" i="1"/>
  <c r="G749" i="1"/>
  <c r="I749" i="1"/>
  <c r="J749" i="1"/>
  <c r="K749" i="1"/>
  <c r="L749" i="1"/>
  <c r="A750" i="1"/>
  <c r="B750" i="1"/>
  <c r="C750" i="1"/>
  <c r="D750" i="1"/>
  <c r="E750" i="1" s="1"/>
  <c r="H750" i="1" s="1"/>
  <c r="F750" i="1"/>
  <c r="G750" i="1"/>
  <c r="I750" i="1"/>
  <c r="J750" i="1"/>
  <c r="K750" i="1"/>
  <c r="L750" i="1"/>
  <c r="A751" i="1"/>
  <c r="B751" i="1"/>
  <c r="C751" i="1"/>
  <c r="D751" i="1"/>
  <c r="E751" i="1" s="1"/>
  <c r="H751" i="1" s="1"/>
  <c r="F751" i="1"/>
  <c r="G751" i="1"/>
  <c r="I751" i="1"/>
  <c r="J751" i="1"/>
  <c r="K751" i="1"/>
  <c r="L751" i="1"/>
  <c r="A752" i="1"/>
  <c r="B752" i="1"/>
  <c r="C752" i="1"/>
  <c r="D752" i="1"/>
  <c r="E752" i="1" s="1"/>
  <c r="H752" i="1" s="1"/>
  <c r="F752" i="1"/>
  <c r="G752" i="1"/>
  <c r="I752" i="1"/>
  <c r="J752" i="1"/>
  <c r="K752" i="1"/>
  <c r="L752" i="1"/>
  <c r="A753" i="1"/>
  <c r="B753" i="1"/>
  <c r="C753" i="1"/>
  <c r="D753" i="1"/>
  <c r="E753" i="1" s="1"/>
  <c r="H753" i="1" s="1"/>
  <c r="F753" i="1"/>
  <c r="G753" i="1"/>
  <c r="I753" i="1"/>
  <c r="J753" i="1"/>
  <c r="K753" i="1"/>
  <c r="L753" i="1"/>
  <c r="A754" i="1"/>
  <c r="B754" i="1"/>
  <c r="C754" i="1"/>
  <c r="D754" i="1"/>
  <c r="E754" i="1" s="1"/>
  <c r="H754" i="1" s="1"/>
  <c r="F754" i="1"/>
  <c r="G754" i="1"/>
  <c r="I754" i="1"/>
  <c r="J754" i="1"/>
  <c r="K754" i="1"/>
  <c r="L754" i="1"/>
  <c r="A755" i="1"/>
  <c r="B755" i="1"/>
  <c r="C755" i="1"/>
  <c r="D755" i="1"/>
  <c r="E755" i="1" s="1"/>
  <c r="H755" i="1" s="1"/>
  <c r="F755" i="1"/>
  <c r="G755" i="1"/>
  <c r="I755" i="1"/>
  <c r="J755" i="1"/>
  <c r="K755" i="1"/>
  <c r="L755" i="1"/>
  <c r="A756" i="1"/>
  <c r="B756" i="1"/>
  <c r="C756" i="1"/>
  <c r="D756" i="1"/>
  <c r="E756" i="1" s="1"/>
  <c r="H756" i="1" s="1"/>
  <c r="F756" i="1"/>
  <c r="G756" i="1"/>
  <c r="I756" i="1"/>
  <c r="J756" i="1"/>
  <c r="K756" i="1"/>
  <c r="L756" i="1"/>
  <c r="A757" i="1"/>
  <c r="B757" i="1"/>
  <c r="C757" i="1"/>
  <c r="D757" i="1"/>
  <c r="E757" i="1" s="1"/>
  <c r="H757" i="1" s="1"/>
  <c r="F757" i="1"/>
  <c r="G757" i="1"/>
  <c r="I757" i="1"/>
  <c r="J757" i="1"/>
  <c r="K757" i="1"/>
  <c r="L757" i="1"/>
  <c r="A758" i="1"/>
  <c r="B758" i="1"/>
  <c r="C758" i="1"/>
  <c r="D758" i="1"/>
  <c r="E758" i="1" s="1"/>
  <c r="H758" i="1" s="1"/>
  <c r="F758" i="1"/>
  <c r="G758" i="1"/>
  <c r="I758" i="1"/>
  <c r="J758" i="1"/>
  <c r="K758" i="1"/>
  <c r="L758" i="1"/>
  <c r="A759" i="1"/>
  <c r="B759" i="1"/>
  <c r="C759" i="1"/>
  <c r="D759" i="1"/>
  <c r="E759" i="1" s="1"/>
  <c r="H759" i="1" s="1"/>
  <c r="F759" i="1"/>
  <c r="G759" i="1"/>
  <c r="I759" i="1"/>
  <c r="J759" i="1"/>
  <c r="K759" i="1"/>
  <c r="L759" i="1"/>
  <c r="A760" i="1"/>
  <c r="B760" i="1"/>
  <c r="C760" i="1"/>
  <c r="D760" i="1"/>
  <c r="E760" i="1" s="1"/>
  <c r="H760" i="1" s="1"/>
  <c r="F760" i="1"/>
  <c r="G760" i="1"/>
  <c r="I760" i="1"/>
  <c r="J760" i="1"/>
  <c r="K760" i="1"/>
  <c r="L760" i="1"/>
  <c r="A761" i="1"/>
  <c r="B761" i="1"/>
  <c r="C761" i="1"/>
  <c r="D761" i="1"/>
  <c r="E761" i="1" s="1"/>
  <c r="H761" i="1" s="1"/>
  <c r="F761" i="1"/>
  <c r="G761" i="1"/>
  <c r="I761" i="1"/>
  <c r="J761" i="1"/>
  <c r="K761" i="1"/>
  <c r="L761" i="1"/>
  <c r="A762" i="1"/>
  <c r="B762" i="1"/>
  <c r="C762" i="1"/>
  <c r="D762" i="1"/>
  <c r="E762" i="1" s="1"/>
  <c r="H762" i="1" s="1"/>
  <c r="F762" i="1"/>
  <c r="G762" i="1"/>
  <c r="I762" i="1"/>
  <c r="J762" i="1"/>
  <c r="K762" i="1"/>
  <c r="L762" i="1"/>
  <c r="A763" i="1"/>
  <c r="B763" i="1"/>
  <c r="C763" i="1"/>
  <c r="D763" i="1"/>
  <c r="E763" i="1" s="1"/>
  <c r="H763" i="1" s="1"/>
  <c r="F763" i="1"/>
  <c r="G763" i="1"/>
  <c r="I763" i="1"/>
  <c r="J763" i="1"/>
  <c r="K763" i="1"/>
  <c r="L763" i="1"/>
  <c r="A764" i="1"/>
  <c r="B764" i="1"/>
  <c r="C764" i="1"/>
  <c r="D764" i="1"/>
  <c r="E764" i="1" s="1"/>
  <c r="H764" i="1" s="1"/>
  <c r="F764" i="1"/>
  <c r="G764" i="1"/>
  <c r="I764" i="1"/>
  <c r="J764" i="1"/>
  <c r="K764" i="1"/>
  <c r="L764" i="1"/>
  <c r="A765" i="1"/>
  <c r="B765" i="1"/>
  <c r="C765" i="1"/>
  <c r="D765" i="1"/>
  <c r="E765" i="1" s="1"/>
  <c r="H765" i="1" s="1"/>
  <c r="F765" i="1"/>
  <c r="G765" i="1"/>
  <c r="I765" i="1"/>
  <c r="J765" i="1"/>
  <c r="K765" i="1"/>
  <c r="L765" i="1"/>
  <c r="A766" i="1"/>
  <c r="B766" i="1"/>
  <c r="C766" i="1"/>
  <c r="D766" i="1"/>
  <c r="E766" i="1" s="1"/>
  <c r="H766" i="1" s="1"/>
  <c r="F766" i="1"/>
  <c r="G766" i="1"/>
  <c r="I766" i="1"/>
  <c r="J766" i="1"/>
  <c r="K766" i="1"/>
  <c r="L766" i="1"/>
  <c r="A767" i="1"/>
  <c r="B767" i="1"/>
  <c r="C767" i="1"/>
  <c r="D767" i="1"/>
  <c r="E767" i="1" s="1"/>
  <c r="H767" i="1" s="1"/>
  <c r="F767" i="1"/>
  <c r="G767" i="1"/>
  <c r="I767" i="1"/>
  <c r="J767" i="1"/>
  <c r="K767" i="1"/>
  <c r="L767" i="1"/>
  <c r="A768" i="1"/>
  <c r="B768" i="1"/>
  <c r="C768" i="1"/>
  <c r="D768" i="1"/>
  <c r="E768" i="1" s="1"/>
  <c r="H768" i="1" s="1"/>
  <c r="F768" i="1"/>
  <c r="G768" i="1"/>
  <c r="I768" i="1"/>
  <c r="J768" i="1"/>
  <c r="K768" i="1"/>
  <c r="L768" i="1"/>
  <c r="A769" i="1"/>
  <c r="B769" i="1"/>
  <c r="C769" i="1"/>
  <c r="D769" i="1"/>
  <c r="E769" i="1" s="1"/>
  <c r="H769" i="1" s="1"/>
  <c r="F769" i="1"/>
  <c r="G769" i="1"/>
  <c r="I769" i="1"/>
  <c r="J769" i="1"/>
  <c r="K769" i="1"/>
  <c r="L769" i="1"/>
  <c r="A770" i="1"/>
  <c r="B770" i="1"/>
  <c r="C770" i="1"/>
  <c r="D770" i="1"/>
  <c r="E770" i="1" s="1"/>
  <c r="H770" i="1" s="1"/>
  <c r="F770" i="1"/>
  <c r="G770" i="1"/>
  <c r="I770" i="1"/>
  <c r="J770" i="1"/>
  <c r="K770" i="1"/>
  <c r="L770" i="1"/>
  <c r="A771" i="1"/>
  <c r="B771" i="1"/>
  <c r="C771" i="1"/>
  <c r="D771" i="1"/>
  <c r="E771" i="1" s="1"/>
  <c r="H771" i="1" s="1"/>
  <c r="F771" i="1"/>
  <c r="G771" i="1"/>
  <c r="I771" i="1"/>
  <c r="J771" i="1"/>
  <c r="K771" i="1"/>
  <c r="L771" i="1"/>
  <c r="A772" i="1"/>
  <c r="B772" i="1"/>
  <c r="C772" i="1"/>
  <c r="D772" i="1"/>
  <c r="E772" i="1" s="1"/>
  <c r="H772" i="1" s="1"/>
  <c r="F772" i="1"/>
  <c r="G772" i="1"/>
  <c r="I772" i="1"/>
  <c r="J772" i="1"/>
  <c r="K772" i="1"/>
  <c r="L772" i="1"/>
  <c r="A773" i="1"/>
  <c r="B773" i="1"/>
  <c r="C773" i="1"/>
  <c r="D773" i="1"/>
  <c r="E773" i="1" s="1"/>
  <c r="H773" i="1" s="1"/>
  <c r="F773" i="1"/>
  <c r="G773" i="1"/>
  <c r="I773" i="1"/>
  <c r="J773" i="1"/>
  <c r="K773" i="1"/>
  <c r="L773" i="1"/>
  <c r="A774" i="1"/>
  <c r="B774" i="1"/>
  <c r="C774" i="1"/>
  <c r="D774" i="1"/>
  <c r="E774" i="1" s="1"/>
  <c r="H774" i="1" s="1"/>
  <c r="F774" i="1"/>
  <c r="G774" i="1"/>
  <c r="I774" i="1"/>
  <c r="J774" i="1"/>
  <c r="K774" i="1"/>
  <c r="L774" i="1"/>
  <c r="A775" i="1"/>
  <c r="B775" i="1"/>
  <c r="C775" i="1"/>
  <c r="D775" i="1"/>
  <c r="E775" i="1" s="1"/>
  <c r="H775" i="1" s="1"/>
  <c r="F775" i="1"/>
  <c r="G775" i="1"/>
  <c r="I775" i="1"/>
  <c r="J775" i="1"/>
  <c r="K775" i="1"/>
  <c r="L775" i="1"/>
  <c r="A776" i="1"/>
  <c r="B776" i="1"/>
  <c r="C776" i="1"/>
  <c r="D776" i="1"/>
  <c r="E776" i="1" s="1"/>
  <c r="H776" i="1" s="1"/>
  <c r="F776" i="1"/>
  <c r="G776" i="1"/>
  <c r="I776" i="1"/>
  <c r="J776" i="1"/>
  <c r="K776" i="1"/>
  <c r="L776" i="1"/>
  <c r="A777" i="1"/>
  <c r="B777" i="1"/>
  <c r="C777" i="1"/>
  <c r="D777" i="1"/>
  <c r="E777" i="1" s="1"/>
  <c r="H777" i="1" s="1"/>
  <c r="F777" i="1"/>
  <c r="G777" i="1"/>
  <c r="I777" i="1"/>
  <c r="J777" i="1"/>
  <c r="K777" i="1"/>
  <c r="L777" i="1"/>
  <c r="A778" i="1"/>
  <c r="B778" i="1"/>
  <c r="C778" i="1"/>
  <c r="D778" i="1"/>
  <c r="E778" i="1" s="1"/>
  <c r="H778" i="1" s="1"/>
  <c r="F778" i="1"/>
  <c r="G778" i="1"/>
  <c r="I778" i="1"/>
  <c r="J778" i="1"/>
  <c r="K778" i="1"/>
  <c r="L778" i="1"/>
  <c r="A779" i="1"/>
  <c r="B779" i="1"/>
  <c r="C779" i="1"/>
  <c r="D779" i="1"/>
  <c r="E779" i="1" s="1"/>
  <c r="H779" i="1" s="1"/>
  <c r="F779" i="1"/>
  <c r="G779" i="1"/>
  <c r="I779" i="1"/>
  <c r="J779" i="1"/>
  <c r="K779" i="1"/>
  <c r="L779" i="1"/>
  <c r="A780" i="1"/>
  <c r="B780" i="1"/>
  <c r="C780" i="1"/>
  <c r="D780" i="1"/>
  <c r="E780" i="1" s="1"/>
  <c r="H780" i="1" s="1"/>
  <c r="F780" i="1"/>
  <c r="G780" i="1"/>
  <c r="I780" i="1"/>
  <c r="J780" i="1"/>
  <c r="K780" i="1"/>
  <c r="L780" i="1"/>
  <c r="A781" i="1"/>
  <c r="B781" i="1"/>
  <c r="C781" i="1"/>
  <c r="D781" i="1"/>
  <c r="E781" i="1" s="1"/>
  <c r="H781" i="1" s="1"/>
  <c r="F781" i="1"/>
  <c r="G781" i="1"/>
  <c r="I781" i="1"/>
  <c r="J781" i="1"/>
  <c r="K781" i="1"/>
  <c r="L781" i="1"/>
  <c r="A782" i="1"/>
  <c r="B782" i="1"/>
  <c r="C782" i="1"/>
  <c r="D782" i="1"/>
  <c r="E782" i="1" s="1"/>
  <c r="H782" i="1" s="1"/>
  <c r="F782" i="1"/>
  <c r="G782" i="1"/>
  <c r="I782" i="1"/>
  <c r="J782" i="1"/>
  <c r="K782" i="1"/>
  <c r="L782" i="1"/>
  <c r="A783" i="1"/>
  <c r="B783" i="1"/>
  <c r="C783" i="1"/>
  <c r="D783" i="1"/>
  <c r="E783" i="1" s="1"/>
  <c r="H783" i="1" s="1"/>
  <c r="F783" i="1"/>
  <c r="G783" i="1"/>
  <c r="I783" i="1"/>
  <c r="J783" i="1"/>
  <c r="K783" i="1"/>
  <c r="L783" i="1"/>
  <c r="A784" i="1"/>
  <c r="B784" i="1"/>
  <c r="C784" i="1"/>
  <c r="D784" i="1"/>
  <c r="E784" i="1" s="1"/>
  <c r="H784" i="1" s="1"/>
  <c r="F784" i="1"/>
  <c r="G784" i="1"/>
  <c r="I784" i="1"/>
  <c r="J784" i="1"/>
  <c r="K784" i="1"/>
  <c r="L784" i="1"/>
  <c r="A785" i="1"/>
  <c r="B785" i="1"/>
  <c r="C785" i="1"/>
  <c r="D785" i="1"/>
  <c r="E785" i="1" s="1"/>
  <c r="H785" i="1" s="1"/>
  <c r="F785" i="1"/>
  <c r="G785" i="1"/>
  <c r="I785" i="1"/>
  <c r="J785" i="1"/>
  <c r="K785" i="1"/>
  <c r="L785" i="1"/>
  <c r="A786" i="1"/>
  <c r="B786" i="1"/>
  <c r="C786" i="1"/>
  <c r="D786" i="1"/>
  <c r="E786" i="1" s="1"/>
  <c r="H786" i="1" s="1"/>
  <c r="F786" i="1"/>
  <c r="G786" i="1"/>
  <c r="I786" i="1"/>
  <c r="J786" i="1"/>
  <c r="K786" i="1"/>
  <c r="L786" i="1"/>
  <c r="A787" i="1"/>
  <c r="B787" i="1"/>
  <c r="C787" i="1"/>
  <c r="D787" i="1"/>
  <c r="E787" i="1" s="1"/>
  <c r="H787" i="1" s="1"/>
  <c r="F787" i="1"/>
  <c r="G787" i="1"/>
  <c r="I787" i="1"/>
  <c r="J787" i="1"/>
  <c r="K787" i="1"/>
  <c r="L787" i="1"/>
  <c r="A788" i="1"/>
  <c r="B788" i="1"/>
  <c r="C788" i="1"/>
  <c r="D788" i="1"/>
  <c r="E788" i="1" s="1"/>
  <c r="H788" i="1" s="1"/>
  <c r="F788" i="1"/>
  <c r="G788" i="1"/>
  <c r="I788" i="1"/>
  <c r="J788" i="1"/>
  <c r="K788" i="1"/>
  <c r="L788" i="1"/>
  <c r="A789" i="1"/>
  <c r="B789" i="1"/>
  <c r="C789" i="1"/>
  <c r="D789" i="1"/>
  <c r="E789" i="1" s="1"/>
  <c r="H789" i="1" s="1"/>
  <c r="F789" i="1"/>
  <c r="G789" i="1"/>
  <c r="I789" i="1"/>
  <c r="J789" i="1"/>
  <c r="K789" i="1"/>
  <c r="L789" i="1"/>
  <c r="A790" i="1"/>
  <c r="B790" i="1"/>
  <c r="C790" i="1"/>
  <c r="D790" i="1"/>
  <c r="E790" i="1" s="1"/>
  <c r="H790" i="1" s="1"/>
  <c r="F790" i="1"/>
  <c r="G790" i="1"/>
  <c r="I790" i="1"/>
  <c r="J790" i="1"/>
  <c r="K790" i="1"/>
  <c r="L790" i="1"/>
  <c r="A791" i="1"/>
  <c r="B791" i="1"/>
  <c r="C791" i="1"/>
  <c r="D791" i="1"/>
  <c r="E791" i="1" s="1"/>
  <c r="H791" i="1" s="1"/>
  <c r="F791" i="1"/>
  <c r="G791" i="1"/>
  <c r="I791" i="1"/>
  <c r="J791" i="1"/>
  <c r="K791" i="1"/>
  <c r="L791" i="1"/>
  <c r="A792" i="1"/>
  <c r="B792" i="1"/>
  <c r="C792" i="1"/>
  <c r="D792" i="1"/>
  <c r="E792" i="1" s="1"/>
  <c r="H792" i="1" s="1"/>
  <c r="F792" i="1"/>
  <c r="G792" i="1"/>
  <c r="I792" i="1"/>
  <c r="J792" i="1"/>
  <c r="K792" i="1"/>
  <c r="L792" i="1"/>
  <c r="A793" i="1"/>
  <c r="B793" i="1"/>
  <c r="C793" i="1"/>
  <c r="D793" i="1"/>
  <c r="E793" i="1" s="1"/>
  <c r="H793" i="1" s="1"/>
  <c r="F793" i="1"/>
  <c r="G793" i="1"/>
  <c r="I793" i="1"/>
  <c r="J793" i="1"/>
  <c r="K793" i="1"/>
  <c r="L793" i="1"/>
  <c r="A794" i="1"/>
  <c r="B794" i="1"/>
  <c r="C794" i="1"/>
  <c r="D794" i="1"/>
  <c r="E794" i="1" s="1"/>
  <c r="H794" i="1" s="1"/>
  <c r="F794" i="1"/>
  <c r="G794" i="1"/>
  <c r="I794" i="1"/>
  <c r="J794" i="1"/>
  <c r="K794" i="1"/>
  <c r="L794" i="1"/>
  <c r="A795" i="1"/>
  <c r="B795" i="1"/>
  <c r="C795" i="1"/>
  <c r="D795" i="1"/>
  <c r="E795" i="1" s="1"/>
  <c r="H795" i="1" s="1"/>
  <c r="F795" i="1"/>
  <c r="G795" i="1"/>
  <c r="I795" i="1"/>
  <c r="J795" i="1"/>
  <c r="K795" i="1"/>
  <c r="L795" i="1"/>
  <c r="A796" i="1"/>
  <c r="B796" i="1"/>
  <c r="C796" i="1"/>
  <c r="D796" i="1"/>
  <c r="E796" i="1" s="1"/>
  <c r="H796" i="1" s="1"/>
  <c r="F796" i="1"/>
  <c r="G796" i="1"/>
  <c r="I796" i="1"/>
  <c r="J796" i="1"/>
  <c r="K796" i="1"/>
  <c r="L796" i="1"/>
  <c r="A797" i="1"/>
  <c r="B797" i="1"/>
  <c r="C797" i="1"/>
  <c r="D797" i="1"/>
  <c r="E797" i="1" s="1"/>
  <c r="H797" i="1" s="1"/>
  <c r="F797" i="1"/>
  <c r="G797" i="1"/>
  <c r="I797" i="1"/>
  <c r="J797" i="1"/>
  <c r="K797" i="1"/>
  <c r="L797" i="1"/>
  <c r="A798" i="1"/>
  <c r="B798" i="1"/>
  <c r="C798" i="1"/>
  <c r="D798" i="1"/>
  <c r="E798" i="1" s="1"/>
  <c r="H798" i="1" s="1"/>
  <c r="F798" i="1"/>
  <c r="G798" i="1"/>
  <c r="I798" i="1"/>
  <c r="J798" i="1"/>
  <c r="K798" i="1"/>
  <c r="L798" i="1"/>
  <c r="A799" i="1"/>
  <c r="B799" i="1"/>
  <c r="C799" i="1"/>
  <c r="D799" i="1"/>
  <c r="E799" i="1" s="1"/>
  <c r="H799" i="1" s="1"/>
  <c r="F799" i="1"/>
  <c r="G799" i="1"/>
  <c r="I799" i="1"/>
  <c r="J799" i="1"/>
  <c r="K799" i="1"/>
  <c r="L799" i="1"/>
  <c r="A800" i="1"/>
  <c r="B800" i="1"/>
  <c r="C800" i="1"/>
  <c r="D800" i="1"/>
  <c r="E800" i="1" s="1"/>
  <c r="H800" i="1" s="1"/>
  <c r="F800" i="1"/>
  <c r="G800" i="1"/>
  <c r="I800" i="1"/>
  <c r="J800" i="1"/>
  <c r="K800" i="1"/>
  <c r="L800" i="1"/>
  <c r="A801" i="1"/>
  <c r="B801" i="1"/>
  <c r="C801" i="1"/>
  <c r="D801" i="1"/>
  <c r="E801" i="1" s="1"/>
  <c r="H801" i="1" s="1"/>
  <c r="F801" i="1"/>
  <c r="G801" i="1"/>
  <c r="I801" i="1"/>
  <c r="J801" i="1"/>
  <c r="K801" i="1"/>
  <c r="L801" i="1"/>
  <c r="A802" i="1"/>
  <c r="B802" i="1"/>
  <c r="C802" i="1"/>
  <c r="D802" i="1"/>
  <c r="E802" i="1" s="1"/>
  <c r="H802" i="1" s="1"/>
  <c r="F802" i="1"/>
  <c r="G802" i="1"/>
  <c r="I802" i="1"/>
  <c r="J802" i="1"/>
  <c r="K802" i="1"/>
  <c r="L802" i="1"/>
  <c r="A803" i="1"/>
  <c r="B803" i="1"/>
  <c r="C803" i="1"/>
  <c r="D803" i="1"/>
  <c r="E803" i="1" s="1"/>
  <c r="H803" i="1" s="1"/>
  <c r="F803" i="1"/>
  <c r="G803" i="1"/>
  <c r="I803" i="1"/>
  <c r="J803" i="1"/>
  <c r="K803" i="1"/>
  <c r="L803" i="1"/>
  <c r="A804" i="1"/>
  <c r="B804" i="1"/>
  <c r="C804" i="1"/>
  <c r="D804" i="1"/>
  <c r="E804" i="1" s="1"/>
  <c r="H804" i="1" s="1"/>
  <c r="F804" i="1"/>
  <c r="G804" i="1"/>
  <c r="I804" i="1"/>
  <c r="J804" i="1"/>
  <c r="K804" i="1"/>
  <c r="L804" i="1"/>
  <c r="A805" i="1"/>
  <c r="B805" i="1"/>
  <c r="C805" i="1"/>
  <c r="D805" i="1"/>
  <c r="E805" i="1" s="1"/>
  <c r="H805" i="1" s="1"/>
  <c r="F805" i="1"/>
  <c r="G805" i="1"/>
  <c r="I805" i="1"/>
  <c r="J805" i="1"/>
  <c r="K805" i="1"/>
  <c r="L805" i="1"/>
  <c r="A806" i="1"/>
  <c r="B806" i="1"/>
  <c r="C806" i="1"/>
  <c r="D806" i="1"/>
  <c r="E806" i="1" s="1"/>
  <c r="H806" i="1" s="1"/>
  <c r="F806" i="1"/>
  <c r="G806" i="1"/>
  <c r="I806" i="1"/>
  <c r="J806" i="1"/>
  <c r="K806" i="1"/>
  <c r="L806" i="1"/>
  <c r="A807" i="1"/>
  <c r="B807" i="1"/>
  <c r="C807" i="1"/>
  <c r="D807" i="1"/>
  <c r="E807" i="1" s="1"/>
  <c r="H807" i="1" s="1"/>
  <c r="F807" i="1"/>
  <c r="G807" i="1"/>
  <c r="I807" i="1"/>
  <c r="J807" i="1"/>
  <c r="K807" i="1"/>
  <c r="L807" i="1"/>
  <c r="A808" i="1"/>
  <c r="B808" i="1"/>
  <c r="C808" i="1"/>
  <c r="D808" i="1"/>
  <c r="E808" i="1" s="1"/>
  <c r="H808" i="1" s="1"/>
  <c r="F808" i="1"/>
  <c r="G808" i="1"/>
  <c r="I808" i="1"/>
  <c r="J808" i="1"/>
  <c r="K808" i="1"/>
  <c r="L808" i="1"/>
  <c r="A809" i="1"/>
  <c r="B809" i="1"/>
  <c r="C809" i="1"/>
  <c r="D809" i="1"/>
  <c r="E809" i="1" s="1"/>
  <c r="H809" i="1" s="1"/>
  <c r="F809" i="1"/>
  <c r="G809" i="1"/>
  <c r="I809" i="1"/>
  <c r="J809" i="1"/>
  <c r="K809" i="1"/>
  <c r="L809" i="1"/>
  <c r="A810" i="1"/>
  <c r="B810" i="1"/>
  <c r="C810" i="1"/>
  <c r="D810" i="1"/>
  <c r="E810" i="1" s="1"/>
  <c r="H810" i="1" s="1"/>
  <c r="F810" i="1"/>
  <c r="G810" i="1"/>
  <c r="I810" i="1"/>
  <c r="J810" i="1"/>
  <c r="K810" i="1"/>
  <c r="L810" i="1"/>
  <c r="A811" i="1"/>
  <c r="B811" i="1"/>
  <c r="C811" i="1"/>
  <c r="D811" i="1"/>
  <c r="E811" i="1" s="1"/>
  <c r="H811" i="1" s="1"/>
  <c r="F811" i="1"/>
  <c r="G811" i="1"/>
  <c r="I811" i="1"/>
  <c r="J811" i="1"/>
  <c r="K811" i="1"/>
  <c r="L811" i="1"/>
  <c r="A812" i="1"/>
  <c r="B812" i="1"/>
  <c r="C812" i="1"/>
  <c r="D812" i="1"/>
  <c r="E812" i="1" s="1"/>
  <c r="H812" i="1" s="1"/>
  <c r="F812" i="1"/>
  <c r="G812" i="1"/>
  <c r="I812" i="1"/>
  <c r="J812" i="1"/>
  <c r="K812" i="1"/>
  <c r="L812" i="1"/>
  <c r="A813" i="1"/>
  <c r="B813" i="1"/>
  <c r="C813" i="1"/>
  <c r="D813" i="1"/>
  <c r="E813" i="1" s="1"/>
  <c r="H813" i="1" s="1"/>
  <c r="F813" i="1"/>
  <c r="G813" i="1"/>
  <c r="I813" i="1"/>
  <c r="J813" i="1"/>
  <c r="K813" i="1"/>
  <c r="L813" i="1"/>
  <c r="A814" i="1"/>
  <c r="B814" i="1"/>
  <c r="C814" i="1"/>
  <c r="D814" i="1"/>
  <c r="E814" i="1" s="1"/>
  <c r="H814" i="1" s="1"/>
  <c r="F814" i="1"/>
  <c r="G814" i="1"/>
  <c r="I814" i="1"/>
  <c r="J814" i="1"/>
  <c r="K814" i="1"/>
  <c r="L814" i="1"/>
  <c r="A815" i="1"/>
  <c r="B815" i="1"/>
  <c r="C815" i="1"/>
  <c r="D815" i="1"/>
  <c r="E815" i="1" s="1"/>
  <c r="H815" i="1" s="1"/>
  <c r="F815" i="1"/>
  <c r="G815" i="1"/>
  <c r="I815" i="1"/>
  <c r="J815" i="1"/>
  <c r="K815" i="1"/>
  <c r="L815" i="1"/>
  <c r="A816" i="1"/>
  <c r="B816" i="1"/>
  <c r="C816" i="1"/>
  <c r="D816" i="1"/>
  <c r="E816" i="1" s="1"/>
  <c r="H816" i="1" s="1"/>
  <c r="F816" i="1"/>
  <c r="G816" i="1"/>
  <c r="I816" i="1"/>
  <c r="J816" i="1"/>
  <c r="K816" i="1"/>
  <c r="L816" i="1"/>
  <c r="A817" i="1"/>
  <c r="B817" i="1"/>
  <c r="C817" i="1"/>
  <c r="D817" i="1"/>
  <c r="E817" i="1" s="1"/>
  <c r="H817" i="1" s="1"/>
  <c r="F817" i="1"/>
  <c r="G817" i="1"/>
  <c r="I817" i="1"/>
  <c r="J817" i="1"/>
  <c r="K817" i="1"/>
  <c r="L817" i="1"/>
  <c r="A818" i="1"/>
  <c r="B818" i="1"/>
  <c r="C818" i="1"/>
  <c r="D818" i="1"/>
  <c r="E818" i="1" s="1"/>
  <c r="H818" i="1" s="1"/>
  <c r="F818" i="1"/>
  <c r="G818" i="1"/>
  <c r="I818" i="1"/>
  <c r="J818" i="1"/>
  <c r="K818" i="1"/>
  <c r="L818" i="1"/>
  <c r="A819" i="1"/>
  <c r="B819" i="1"/>
  <c r="C819" i="1"/>
  <c r="D819" i="1"/>
  <c r="E819" i="1" s="1"/>
  <c r="H819" i="1" s="1"/>
  <c r="F819" i="1"/>
  <c r="G819" i="1"/>
  <c r="I819" i="1"/>
  <c r="J819" i="1"/>
  <c r="K819" i="1"/>
  <c r="L819" i="1"/>
  <c r="A820" i="1"/>
  <c r="B820" i="1"/>
  <c r="C820" i="1"/>
  <c r="D820" i="1"/>
  <c r="E820" i="1" s="1"/>
  <c r="H820" i="1" s="1"/>
  <c r="F820" i="1"/>
  <c r="G820" i="1"/>
  <c r="I820" i="1"/>
  <c r="J820" i="1"/>
  <c r="K820" i="1"/>
  <c r="L820" i="1"/>
  <c r="A821" i="1"/>
  <c r="B821" i="1"/>
  <c r="C821" i="1"/>
  <c r="D821" i="1"/>
  <c r="E821" i="1" s="1"/>
  <c r="H821" i="1" s="1"/>
  <c r="F821" i="1"/>
  <c r="G821" i="1"/>
  <c r="I821" i="1"/>
  <c r="J821" i="1"/>
  <c r="K821" i="1"/>
  <c r="L821" i="1"/>
  <c r="A822" i="1"/>
  <c r="B822" i="1"/>
  <c r="C822" i="1"/>
  <c r="D822" i="1"/>
  <c r="E822" i="1" s="1"/>
  <c r="H822" i="1" s="1"/>
  <c r="F822" i="1"/>
  <c r="G822" i="1"/>
  <c r="I822" i="1"/>
  <c r="J822" i="1"/>
  <c r="K822" i="1"/>
  <c r="L822" i="1"/>
  <c r="A823" i="1"/>
  <c r="B823" i="1"/>
  <c r="C823" i="1"/>
  <c r="D823" i="1"/>
  <c r="E823" i="1" s="1"/>
  <c r="H823" i="1" s="1"/>
  <c r="F823" i="1"/>
  <c r="G823" i="1"/>
  <c r="I823" i="1"/>
  <c r="J823" i="1"/>
  <c r="K823" i="1"/>
  <c r="L823" i="1"/>
  <c r="A824" i="1"/>
  <c r="B824" i="1"/>
  <c r="C824" i="1"/>
  <c r="D824" i="1"/>
  <c r="E824" i="1" s="1"/>
  <c r="H824" i="1" s="1"/>
  <c r="F824" i="1"/>
  <c r="G824" i="1"/>
  <c r="I824" i="1"/>
  <c r="J824" i="1"/>
  <c r="K824" i="1"/>
  <c r="L824" i="1"/>
  <c r="A825" i="1"/>
  <c r="B825" i="1"/>
  <c r="C825" i="1"/>
  <c r="D825" i="1"/>
  <c r="E825" i="1" s="1"/>
  <c r="H825" i="1" s="1"/>
  <c r="F825" i="1"/>
  <c r="G825" i="1"/>
  <c r="I825" i="1"/>
  <c r="J825" i="1"/>
  <c r="K825" i="1"/>
  <c r="L825" i="1"/>
  <c r="A826" i="1"/>
  <c r="B826" i="1"/>
  <c r="C826" i="1"/>
  <c r="D826" i="1"/>
  <c r="E826" i="1" s="1"/>
  <c r="H826" i="1" s="1"/>
  <c r="F826" i="1"/>
  <c r="G826" i="1"/>
  <c r="I826" i="1"/>
  <c r="J826" i="1"/>
  <c r="K826" i="1"/>
  <c r="L826" i="1"/>
  <c r="A827" i="1"/>
  <c r="B827" i="1"/>
  <c r="C827" i="1"/>
  <c r="D827" i="1"/>
  <c r="E827" i="1" s="1"/>
  <c r="H827" i="1" s="1"/>
  <c r="F827" i="1"/>
  <c r="G827" i="1"/>
  <c r="I827" i="1"/>
  <c r="J827" i="1"/>
  <c r="K827" i="1"/>
  <c r="L827" i="1"/>
  <c r="A828" i="1"/>
  <c r="B828" i="1"/>
  <c r="C828" i="1"/>
  <c r="D828" i="1"/>
  <c r="E828" i="1" s="1"/>
  <c r="H828" i="1" s="1"/>
  <c r="F828" i="1"/>
  <c r="G828" i="1"/>
  <c r="I828" i="1"/>
  <c r="J828" i="1"/>
  <c r="K828" i="1"/>
  <c r="L828" i="1"/>
  <c r="A829" i="1"/>
  <c r="B829" i="1"/>
  <c r="C829" i="1"/>
  <c r="D829" i="1"/>
  <c r="E829" i="1" s="1"/>
  <c r="H829" i="1" s="1"/>
  <c r="F829" i="1"/>
  <c r="G829" i="1"/>
  <c r="I829" i="1"/>
  <c r="J829" i="1"/>
  <c r="K829" i="1"/>
  <c r="L829" i="1"/>
  <c r="A830" i="1"/>
  <c r="B830" i="1"/>
  <c r="C830" i="1"/>
  <c r="D830" i="1"/>
  <c r="E830" i="1" s="1"/>
  <c r="H830" i="1" s="1"/>
  <c r="F830" i="1"/>
  <c r="G830" i="1"/>
  <c r="I830" i="1"/>
  <c r="J830" i="1"/>
  <c r="K830" i="1"/>
  <c r="L830" i="1"/>
  <c r="A831" i="1"/>
  <c r="B831" i="1"/>
  <c r="C831" i="1"/>
  <c r="D831" i="1"/>
  <c r="E831" i="1" s="1"/>
  <c r="H831" i="1" s="1"/>
  <c r="F831" i="1"/>
  <c r="G831" i="1"/>
  <c r="I831" i="1"/>
  <c r="J831" i="1"/>
  <c r="K831" i="1"/>
  <c r="L831" i="1"/>
  <c r="A832" i="1"/>
  <c r="B832" i="1"/>
  <c r="C832" i="1"/>
  <c r="D832" i="1"/>
  <c r="E832" i="1" s="1"/>
  <c r="H832" i="1" s="1"/>
  <c r="F832" i="1"/>
  <c r="G832" i="1"/>
  <c r="I832" i="1"/>
  <c r="J832" i="1"/>
  <c r="K832" i="1"/>
  <c r="L832" i="1"/>
  <c r="A833" i="1"/>
  <c r="B833" i="1"/>
  <c r="C833" i="1"/>
  <c r="D833" i="1"/>
  <c r="E833" i="1" s="1"/>
  <c r="H833" i="1" s="1"/>
  <c r="F833" i="1"/>
  <c r="G833" i="1"/>
  <c r="I833" i="1"/>
  <c r="J833" i="1"/>
  <c r="K833" i="1"/>
  <c r="L833" i="1"/>
  <c r="A834" i="1"/>
  <c r="B834" i="1"/>
  <c r="C834" i="1"/>
  <c r="D834" i="1"/>
  <c r="E834" i="1" s="1"/>
  <c r="H834" i="1" s="1"/>
  <c r="F834" i="1"/>
  <c r="G834" i="1"/>
  <c r="I834" i="1"/>
  <c r="J834" i="1"/>
  <c r="K834" i="1"/>
  <c r="L834" i="1"/>
  <c r="A835" i="1"/>
  <c r="B835" i="1"/>
  <c r="C835" i="1"/>
  <c r="D835" i="1"/>
  <c r="E835" i="1" s="1"/>
  <c r="H835" i="1" s="1"/>
  <c r="F835" i="1"/>
  <c r="G835" i="1"/>
  <c r="I835" i="1"/>
  <c r="J835" i="1"/>
  <c r="K835" i="1"/>
  <c r="L835" i="1"/>
  <c r="A836" i="1"/>
  <c r="B836" i="1"/>
  <c r="C836" i="1"/>
  <c r="D836" i="1"/>
  <c r="E836" i="1" s="1"/>
  <c r="H836" i="1" s="1"/>
  <c r="F836" i="1"/>
  <c r="G836" i="1"/>
  <c r="I836" i="1"/>
  <c r="J836" i="1"/>
  <c r="K836" i="1"/>
  <c r="L836" i="1"/>
  <c r="A837" i="1"/>
  <c r="B837" i="1"/>
  <c r="C837" i="1"/>
  <c r="D837" i="1"/>
  <c r="E837" i="1" s="1"/>
  <c r="H837" i="1" s="1"/>
  <c r="F837" i="1"/>
  <c r="G837" i="1"/>
  <c r="I837" i="1"/>
  <c r="J837" i="1"/>
  <c r="K837" i="1"/>
  <c r="L837" i="1"/>
  <c r="A838" i="1"/>
  <c r="B838" i="1"/>
  <c r="C838" i="1"/>
  <c r="D838" i="1"/>
  <c r="E838" i="1" s="1"/>
  <c r="H838" i="1" s="1"/>
  <c r="F838" i="1"/>
  <c r="G838" i="1"/>
  <c r="I838" i="1"/>
  <c r="J838" i="1"/>
  <c r="K838" i="1"/>
  <c r="L838" i="1"/>
  <c r="A839" i="1"/>
  <c r="B839" i="1"/>
  <c r="C839" i="1"/>
  <c r="D839" i="1"/>
  <c r="E839" i="1" s="1"/>
  <c r="H839" i="1" s="1"/>
  <c r="F839" i="1"/>
  <c r="G839" i="1"/>
  <c r="I839" i="1"/>
  <c r="J839" i="1"/>
  <c r="K839" i="1"/>
  <c r="L839" i="1"/>
  <c r="A840" i="1"/>
  <c r="B840" i="1"/>
  <c r="C840" i="1"/>
  <c r="D840" i="1"/>
  <c r="E840" i="1" s="1"/>
  <c r="H840" i="1" s="1"/>
  <c r="F840" i="1"/>
  <c r="G840" i="1"/>
  <c r="I840" i="1"/>
  <c r="J840" i="1"/>
  <c r="K840" i="1"/>
  <c r="L840" i="1"/>
  <c r="A841" i="1"/>
  <c r="B841" i="1"/>
  <c r="C841" i="1"/>
  <c r="D841" i="1"/>
  <c r="E841" i="1" s="1"/>
  <c r="H841" i="1" s="1"/>
  <c r="F841" i="1"/>
  <c r="G841" i="1"/>
  <c r="I841" i="1"/>
  <c r="J841" i="1"/>
  <c r="K841" i="1"/>
  <c r="L841" i="1"/>
  <c r="A842" i="1"/>
  <c r="B842" i="1"/>
  <c r="C842" i="1"/>
  <c r="D842" i="1"/>
  <c r="E842" i="1" s="1"/>
  <c r="H842" i="1" s="1"/>
  <c r="F842" i="1"/>
  <c r="G842" i="1"/>
  <c r="I842" i="1"/>
  <c r="J842" i="1"/>
  <c r="K842" i="1"/>
  <c r="L842" i="1"/>
  <c r="A843" i="1"/>
  <c r="B843" i="1"/>
  <c r="C843" i="1"/>
  <c r="D843" i="1"/>
  <c r="E843" i="1" s="1"/>
  <c r="H843" i="1" s="1"/>
  <c r="F843" i="1"/>
  <c r="G843" i="1"/>
  <c r="I843" i="1"/>
  <c r="J843" i="1"/>
  <c r="K843" i="1"/>
  <c r="L843" i="1"/>
  <c r="A844" i="1"/>
  <c r="B844" i="1"/>
  <c r="C844" i="1"/>
  <c r="D844" i="1"/>
  <c r="E844" i="1" s="1"/>
  <c r="H844" i="1" s="1"/>
  <c r="F844" i="1"/>
  <c r="G844" i="1"/>
  <c r="I844" i="1"/>
  <c r="J844" i="1"/>
  <c r="K844" i="1"/>
  <c r="L844" i="1"/>
  <c r="A845" i="1"/>
  <c r="B845" i="1"/>
  <c r="C845" i="1"/>
  <c r="D845" i="1"/>
  <c r="E845" i="1" s="1"/>
  <c r="H845" i="1" s="1"/>
  <c r="F845" i="1"/>
  <c r="G845" i="1"/>
  <c r="I845" i="1"/>
  <c r="J845" i="1"/>
  <c r="K845" i="1"/>
  <c r="L845" i="1"/>
  <c r="A846" i="1"/>
  <c r="B846" i="1"/>
  <c r="C846" i="1"/>
  <c r="D846" i="1"/>
  <c r="E846" i="1" s="1"/>
  <c r="H846" i="1" s="1"/>
  <c r="F846" i="1"/>
  <c r="G846" i="1"/>
  <c r="I846" i="1"/>
  <c r="J846" i="1"/>
  <c r="K846" i="1"/>
  <c r="L846" i="1"/>
  <c r="A847" i="1"/>
  <c r="B847" i="1"/>
  <c r="C847" i="1"/>
  <c r="D847" i="1"/>
  <c r="E847" i="1" s="1"/>
  <c r="H847" i="1" s="1"/>
  <c r="F847" i="1"/>
  <c r="G847" i="1"/>
  <c r="I847" i="1"/>
  <c r="J847" i="1"/>
  <c r="K847" i="1"/>
  <c r="L847" i="1"/>
  <c r="A848" i="1"/>
  <c r="B848" i="1"/>
  <c r="C848" i="1"/>
  <c r="D848" i="1"/>
  <c r="E848" i="1" s="1"/>
  <c r="H848" i="1" s="1"/>
  <c r="F848" i="1"/>
  <c r="G848" i="1"/>
  <c r="I848" i="1"/>
  <c r="J848" i="1"/>
  <c r="K848" i="1"/>
  <c r="L848" i="1"/>
  <c r="A849" i="1"/>
  <c r="B849" i="1"/>
  <c r="C849" i="1"/>
  <c r="D849" i="1"/>
  <c r="E849" i="1" s="1"/>
  <c r="H849" i="1" s="1"/>
  <c r="F849" i="1"/>
  <c r="G849" i="1"/>
  <c r="I849" i="1"/>
  <c r="J849" i="1"/>
  <c r="K849" i="1"/>
  <c r="L849" i="1"/>
  <c r="A850" i="1"/>
  <c r="B850" i="1"/>
  <c r="C850" i="1"/>
  <c r="D850" i="1"/>
  <c r="E850" i="1" s="1"/>
  <c r="H850" i="1" s="1"/>
  <c r="F850" i="1"/>
  <c r="G850" i="1"/>
  <c r="I850" i="1"/>
  <c r="J850" i="1"/>
  <c r="K850" i="1"/>
  <c r="L850" i="1"/>
  <c r="A851" i="1"/>
  <c r="B851" i="1"/>
  <c r="C851" i="1"/>
  <c r="D851" i="1"/>
  <c r="E851" i="1" s="1"/>
  <c r="H851" i="1" s="1"/>
  <c r="F851" i="1"/>
  <c r="G851" i="1"/>
  <c r="I851" i="1"/>
  <c r="J851" i="1"/>
  <c r="K851" i="1"/>
  <c r="L851" i="1"/>
  <c r="A852" i="1"/>
  <c r="B852" i="1"/>
  <c r="C852" i="1"/>
  <c r="D852" i="1"/>
  <c r="E852" i="1" s="1"/>
  <c r="H852" i="1" s="1"/>
  <c r="F852" i="1"/>
  <c r="G852" i="1"/>
  <c r="I852" i="1"/>
  <c r="J852" i="1"/>
  <c r="K852" i="1"/>
  <c r="L852" i="1"/>
  <c r="A853" i="1"/>
  <c r="B853" i="1"/>
  <c r="C853" i="1"/>
  <c r="D853" i="1"/>
  <c r="E853" i="1" s="1"/>
  <c r="H853" i="1" s="1"/>
  <c r="F853" i="1"/>
  <c r="G853" i="1"/>
  <c r="I853" i="1"/>
  <c r="J853" i="1"/>
  <c r="K853" i="1"/>
  <c r="L853" i="1"/>
  <c r="A854" i="1"/>
  <c r="B854" i="1"/>
  <c r="C854" i="1"/>
  <c r="D854" i="1"/>
  <c r="E854" i="1" s="1"/>
  <c r="H854" i="1" s="1"/>
  <c r="F854" i="1"/>
  <c r="G854" i="1"/>
  <c r="I854" i="1"/>
  <c r="J854" i="1"/>
  <c r="K854" i="1"/>
  <c r="L854" i="1"/>
  <c r="A855" i="1"/>
  <c r="B855" i="1"/>
  <c r="C855" i="1"/>
  <c r="D855" i="1"/>
  <c r="E855" i="1" s="1"/>
  <c r="H855" i="1" s="1"/>
  <c r="F855" i="1"/>
  <c r="G855" i="1"/>
  <c r="I855" i="1"/>
  <c r="J855" i="1"/>
  <c r="K855" i="1"/>
  <c r="L855" i="1"/>
  <c r="A856" i="1"/>
  <c r="B856" i="1"/>
  <c r="C856" i="1"/>
  <c r="D856" i="1"/>
  <c r="E856" i="1" s="1"/>
  <c r="H856" i="1" s="1"/>
  <c r="F856" i="1"/>
  <c r="G856" i="1"/>
  <c r="I856" i="1"/>
  <c r="J856" i="1"/>
  <c r="K856" i="1"/>
  <c r="L856" i="1"/>
  <c r="A857" i="1"/>
  <c r="B857" i="1"/>
  <c r="C857" i="1"/>
  <c r="D857" i="1"/>
  <c r="E857" i="1" s="1"/>
  <c r="H857" i="1" s="1"/>
  <c r="F857" i="1"/>
  <c r="G857" i="1"/>
  <c r="I857" i="1"/>
  <c r="J857" i="1"/>
  <c r="K857" i="1"/>
  <c r="L857" i="1"/>
  <c r="A858" i="1"/>
  <c r="B858" i="1"/>
  <c r="C858" i="1"/>
  <c r="D858" i="1"/>
  <c r="E858" i="1" s="1"/>
  <c r="H858" i="1" s="1"/>
  <c r="F858" i="1"/>
  <c r="G858" i="1"/>
  <c r="I858" i="1"/>
  <c r="J858" i="1"/>
  <c r="K858" i="1"/>
  <c r="L858" i="1"/>
  <c r="A859" i="1"/>
  <c r="B859" i="1"/>
  <c r="C859" i="1"/>
  <c r="D859" i="1"/>
  <c r="E859" i="1" s="1"/>
  <c r="H859" i="1" s="1"/>
  <c r="F859" i="1"/>
  <c r="G859" i="1"/>
  <c r="I859" i="1"/>
  <c r="J859" i="1"/>
  <c r="K859" i="1"/>
  <c r="L859" i="1"/>
  <c r="A860" i="1"/>
  <c r="B860" i="1"/>
  <c r="C860" i="1"/>
  <c r="D860" i="1"/>
  <c r="E860" i="1" s="1"/>
  <c r="H860" i="1" s="1"/>
  <c r="F860" i="1"/>
  <c r="G860" i="1"/>
  <c r="I860" i="1"/>
  <c r="J860" i="1"/>
  <c r="K860" i="1"/>
  <c r="L860" i="1"/>
  <c r="A861" i="1"/>
  <c r="B861" i="1"/>
  <c r="C861" i="1"/>
  <c r="D861" i="1"/>
  <c r="E861" i="1" s="1"/>
  <c r="H861" i="1" s="1"/>
  <c r="F861" i="1"/>
  <c r="G861" i="1"/>
  <c r="I861" i="1"/>
  <c r="J861" i="1"/>
  <c r="K861" i="1"/>
  <c r="L861" i="1"/>
  <c r="A862" i="1"/>
  <c r="B862" i="1"/>
  <c r="C862" i="1"/>
  <c r="D862" i="1"/>
  <c r="E862" i="1" s="1"/>
  <c r="H862" i="1" s="1"/>
  <c r="F862" i="1"/>
  <c r="G862" i="1"/>
  <c r="I862" i="1"/>
  <c r="J862" i="1"/>
  <c r="K862" i="1"/>
  <c r="L862" i="1"/>
  <c r="A863" i="1"/>
  <c r="B863" i="1"/>
  <c r="C863" i="1"/>
  <c r="D863" i="1"/>
  <c r="E863" i="1" s="1"/>
  <c r="H863" i="1" s="1"/>
  <c r="F863" i="1"/>
  <c r="G863" i="1"/>
  <c r="I863" i="1"/>
  <c r="J863" i="1"/>
  <c r="K863" i="1"/>
  <c r="L863" i="1"/>
  <c r="A864" i="1"/>
  <c r="B864" i="1"/>
  <c r="C864" i="1"/>
  <c r="D864" i="1"/>
  <c r="E864" i="1" s="1"/>
  <c r="H864" i="1" s="1"/>
  <c r="F864" i="1"/>
  <c r="G864" i="1"/>
  <c r="I864" i="1"/>
  <c r="J864" i="1"/>
  <c r="K864" i="1"/>
  <c r="L864" i="1"/>
  <c r="A865" i="1"/>
  <c r="B865" i="1"/>
  <c r="C865" i="1"/>
  <c r="D865" i="1"/>
  <c r="E865" i="1" s="1"/>
  <c r="H865" i="1" s="1"/>
  <c r="F865" i="1"/>
  <c r="G865" i="1"/>
  <c r="I865" i="1"/>
  <c r="J865" i="1"/>
  <c r="K865" i="1"/>
  <c r="L865" i="1"/>
  <c r="A866" i="1"/>
  <c r="B866" i="1"/>
  <c r="C866" i="1"/>
  <c r="D866" i="1"/>
  <c r="E866" i="1" s="1"/>
  <c r="H866" i="1" s="1"/>
  <c r="F866" i="1"/>
  <c r="G866" i="1"/>
  <c r="I866" i="1"/>
  <c r="J866" i="1"/>
  <c r="K866" i="1"/>
  <c r="L866" i="1"/>
  <c r="A867" i="1"/>
  <c r="B867" i="1"/>
  <c r="C867" i="1"/>
  <c r="D867" i="1"/>
  <c r="E867" i="1" s="1"/>
  <c r="H867" i="1" s="1"/>
  <c r="F867" i="1"/>
  <c r="G867" i="1"/>
  <c r="I867" i="1"/>
  <c r="J867" i="1"/>
  <c r="K867" i="1"/>
  <c r="L867" i="1"/>
  <c r="A868" i="1"/>
  <c r="B868" i="1"/>
  <c r="C868" i="1"/>
  <c r="D868" i="1"/>
  <c r="E868" i="1" s="1"/>
  <c r="H868" i="1" s="1"/>
  <c r="F868" i="1"/>
  <c r="G868" i="1"/>
  <c r="I868" i="1"/>
  <c r="J868" i="1"/>
  <c r="K868" i="1"/>
  <c r="L868" i="1"/>
  <c r="A869" i="1"/>
  <c r="B869" i="1"/>
  <c r="C869" i="1"/>
  <c r="D869" i="1"/>
  <c r="E869" i="1" s="1"/>
  <c r="H869" i="1" s="1"/>
  <c r="F869" i="1"/>
  <c r="G869" i="1"/>
  <c r="I869" i="1"/>
  <c r="J869" i="1"/>
  <c r="K869" i="1"/>
  <c r="L869" i="1"/>
  <c r="A870" i="1"/>
  <c r="B870" i="1"/>
  <c r="C870" i="1"/>
  <c r="D870" i="1"/>
  <c r="E870" i="1" s="1"/>
  <c r="H870" i="1" s="1"/>
  <c r="F870" i="1"/>
  <c r="G870" i="1"/>
  <c r="I870" i="1"/>
  <c r="J870" i="1"/>
  <c r="K870" i="1"/>
  <c r="L870" i="1"/>
  <c r="A871" i="1"/>
  <c r="B871" i="1"/>
  <c r="C871" i="1"/>
  <c r="D871" i="1"/>
  <c r="E871" i="1" s="1"/>
  <c r="H871" i="1" s="1"/>
  <c r="F871" i="1"/>
  <c r="G871" i="1"/>
  <c r="I871" i="1"/>
  <c r="J871" i="1"/>
  <c r="K871" i="1"/>
  <c r="L871" i="1"/>
  <c r="A872" i="1"/>
  <c r="B872" i="1"/>
  <c r="C872" i="1"/>
  <c r="D872" i="1"/>
  <c r="E872" i="1" s="1"/>
  <c r="H872" i="1" s="1"/>
  <c r="F872" i="1"/>
  <c r="G872" i="1"/>
  <c r="I872" i="1"/>
  <c r="J872" i="1"/>
  <c r="K872" i="1"/>
  <c r="L872" i="1"/>
  <c r="A873" i="1"/>
  <c r="B873" i="1"/>
  <c r="C873" i="1"/>
  <c r="D873" i="1"/>
  <c r="E873" i="1" s="1"/>
  <c r="H873" i="1" s="1"/>
  <c r="F873" i="1"/>
  <c r="G873" i="1"/>
  <c r="I873" i="1"/>
  <c r="J873" i="1"/>
  <c r="K873" i="1"/>
  <c r="L873" i="1"/>
  <c r="A874" i="1"/>
  <c r="B874" i="1"/>
  <c r="C874" i="1"/>
  <c r="D874" i="1"/>
  <c r="E874" i="1" s="1"/>
  <c r="H874" i="1" s="1"/>
  <c r="F874" i="1"/>
  <c r="G874" i="1"/>
  <c r="I874" i="1"/>
  <c r="J874" i="1"/>
  <c r="K874" i="1"/>
  <c r="L874" i="1"/>
  <c r="A875" i="1"/>
  <c r="B875" i="1"/>
  <c r="C875" i="1"/>
  <c r="D875" i="1"/>
  <c r="E875" i="1" s="1"/>
  <c r="H875" i="1" s="1"/>
  <c r="F875" i="1"/>
  <c r="G875" i="1"/>
  <c r="I875" i="1"/>
  <c r="J875" i="1"/>
  <c r="K875" i="1"/>
  <c r="L875" i="1"/>
  <c r="A876" i="1"/>
  <c r="B876" i="1"/>
  <c r="C876" i="1"/>
  <c r="D876" i="1"/>
  <c r="E876" i="1" s="1"/>
  <c r="H876" i="1" s="1"/>
  <c r="F876" i="1"/>
  <c r="G876" i="1"/>
  <c r="I876" i="1"/>
  <c r="J876" i="1"/>
  <c r="K876" i="1"/>
  <c r="L876" i="1"/>
  <c r="A877" i="1"/>
  <c r="B877" i="1"/>
  <c r="C877" i="1"/>
  <c r="D877" i="1"/>
  <c r="E877" i="1" s="1"/>
  <c r="H877" i="1" s="1"/>
  <c r="F877" i="1"/>
  <c r="G877" i="1"/>
  <c r="I877" i="1"/>
  <c r="J877" i="1"/>
  <c r="K877" i="1"/>
  <c r="L877" i="1"/>
  <c r="A878" i="1"/>
  <c r="B878" i="1"/>
  <c r="C878" i="1"/>
  <c r="D878" i="1"/>
  <c r="E878" i="1" s="1"/>
  <c r="H878" i="1" s="1"/>
  <c r="F878" i="1"/>
  <c r="G878" i="1"/>
  <c r="I878" i="1"/>
  <c r="J878" i="1"/>
  <c r="K878" i="1"/>
  <c r="L878" i="1"/>
  <c r="A879" i="1"/>
  <c r="B879" i="1"/>
  <c r="C879" i="1"/>
  <c r="D879" i="1"/>
  <c r="E879" i="1" s="1"/>
  <c r="H879" i="1" s="1"/>
  <c r="F879" i="1"/>
  <c r="G879" i="1"/>
  <c r="I879" i="1"/>
  <c r="J879" i="1"/>
  <c r="K879" i="1"/>
  <c r="L879" i="1"/>
  <c r="A880" i="1"/>
  <c r="B880" i="1"/>
  <c r="C880" i="1"/>
  <c r="D880" i="1"/>
  <c r="E880" i="1" s="1"/>
  <c r="H880" i="1" s="1"/>
  <c r="F880" i="1"/>
  <c r="G880" i="1"/>
  <c r="I880" i="1"/>
  <c r="J880" i="1"/>
  <c r="K880" i="1"/>
  <c r="L880" i="1"/>
  <c r="A881" i="1"/>
  <c r="B881" i="1"/>
  <c r="C881" i="1"/>
  <c r="D881" i="1"/>
  <c r="E881" i="1" s="1"/>
  <c r="H881" i="1" s="1"/>
  <c r="F881" i="1"/>
  <c r="G881" i="1"/>
  <c r="I881" i="1"/>
  <c r="J881" i="1"/>
  <c r="K881" i="1"/>
  <c r="L881" i="1"/>
  <c r="A882" i="1"/>
  <c r="B882" i="1"/>
  <c r="C882" i="1"/>
  <c r="D882" i="1"/>
  <c r="E882" i="1" s="1"/>
  <c r="H882" i="1" s="1"/>
  <c r="F882" i="1"/>
  <c r="G882" i="1"/>
  <c r="I882" i="1"/>
  <c r="J882" i="1"/>
  <c r="K882" i="1"/>
  <c r="L882" i="1"/>
  <c r="A883" i="1"/>
  <c r="B883" i="1"/>
  <c r="C883" i="1"/>
  <c r="D883" i="1"/>
  <c r="E883" i="1" s="1"/>
  <c r="H883" i="1" s="1"/>
  <c r="F883" i="1"/>
  <c r="G883" i="1"/>
  <c r="I883" i="1"/>
  <c r="J883" i="1"/>
  <c r="K883" i="1"/>
  <c r="L883" i="1"/>
  <c r="A884" i="1"/>
  <c r="B884" i="1"/>
  <c r="C884" i="1"/>
  <c r="D884" i="1"/>
  <c r="E884" i="1" s="1"/>
  <c r="H884" i="1" s="1"/>
  <c r="F884" i="1"/>
  <c r="G884" i="1"/>
  <c r="I884" i="1"/>
  <c r="J884" i="1"/>
  <c r="K884" i="1"/>
  <c r="L884" i="1"/>
  <c r="A885" i="1"/>
  <c r="B885" i="1"/>
  <c r="C885" i="1"/>
  <c r="D885" i="1"/>
  <c r="E885" i="1" s="1"/>
  <c r="H885" i="1" s="1"/>
  <c r="F885" i="1"/>
  <c r="G885" i="1"/>
  <c r="I885" i="1"/>
  <c r="J885" i="1"/>
  <c r="K885" i="1"/>
  <c r="L885" i="1"/>
  <c r="A886" i="1"/>
  <c r="B886" i="1"/>
  <c r="C886" i="1"/>
  <c r="D886" i="1"/>
  <c r="E886" i="1" s="1"/>
  <c r="H886" i="1" s="1"/>
  <c r="F886" i="1"/>
  <c r="G886" i="1"/>
  <c r="I886" i="1"/>
  <c r="J886" i="1"/>
  <c r="K886" i="1"/>
  <c r="L886" i="1"/>
  <c r="A887" i="1"/>
  <c r="B887" i="1"/>
  <c r="C887" i="1"/>
  <c r="D887" i="1"/>
  <c r="E887" i="1" s="1"/>
  <c r="H887" i="1" s="1"/>
  <c r="F887" i="1"/>
  <c r="G887" i="1"/>
  <c r="I887" i="1"/>
  <c r="J887" i="1"/>
  <c r="K887" i="1"/>
  <c r="L887" i="1"/>
  <c r="A888" i="1"/>
  <c r="B888" i="1"/>
  <c r="C888" i="1"/>
  <c r="D888" i="1"/>
  <c r="E888" i="1" s="1"/>
  <c r="H888" i="1" s="1"/>
  <c r="F888" i="1"/>
  <c r="G888" i="1"/>
  <c r="I888" i="1"/>
  <c r="J888" i="1"/>
  <c r="K888" i="1"/>
  <c r="L888" i="1"/>
  <c r="A889" i="1"/>
  <c r="B889" i="1"/>
  <c r="C889" i="1"/>
  <c r="D889" i="1"/>
  <c r="E889" i="1" s="1"/>
  <c r="H889" i="1" s="1"/>
  <c r="F889" i="1"/>
  <c r="G889" i="1"/>
  <c r="I889" i="1"/>
  <c r="J889" i="1"/>
  <c r="K889" i="1"/>
  <c r="L889" i="1"/>
  <c r="A890" i="1"/>
  <c r="B890" i="1"/>
  <c r="C890" i="1"/>
  <c r="D890" i="1"/>
  <c r="E890" i="1" s="1"/>
  <c r="H890" i="1" s="1"/>
  <c r="F890" i="1"/>
  <c r="G890" i="1"/>
  <c r="I890" i="1"/>
  <c r="J890" i="1"/>
  <c r="K890" i="1"/>
  <c r="L890" i="1"/>
  <c r="A891" i="1"/>
  <c r="B891" i="1"/>
  <c r="C891" i="1"/>
  <c r="D891" i="1"/>
  <c r="E891" i="1" s="1"/>
  <c r="H891" i="1" s="1"/>
  <c r="F891" i="1"/>
  <c r="G891" i="1"/>
  <c r="I891" i="1"/>
  <c r="J891" i="1"/>
  <c r="K891" i="1"/>
  <c r="L891" i="1"/>
  <c r="A892" i="1"/>
  <c r="B892" i="1"/>
  <c r="C892" i="1"/>
  <c r="D892" i="1"/>
  <c r="E892" i="1" s="1"/>
  <c r="H892" i="1" s="1"/>
  <c r="F892" i="1"/>
  <c r="G892" i="1"/>
  <c r="I892" i="1"/>
  <c r="J892" i="1"/>
  <c r="K892" i="1"/>
  <c r="L892" i="1"/>
  <c r="A893" i="1"/>
  <c r="B893" i="1"/>
  <c r="C893" i="1"/>
  <c r="D893" i="1"/>
  <c r="E893" i="1" s="1"/>
  <c r="H893" i="1" s="1"/>
  <c r="F893" i="1"/>
  <c r="G893" i="1"/>
  <c r="I893" i="1"/>
  <c r="J893" i="1"/>
  <c r="K893" i="1"/>
  <c r="L893" i="1"/>
  <c r="A894" i="1"/>
  <c r="B894" i="1"/>
  <c r="C894" i="1"/>
  <c r="D894" i="1"/>
  <c r="E894" i="1" s="1"/>
  <c r="H894" i="1" s="1"/>
  <c r="F894" i="1"/>
  <c r="G894" i="1"/>
  <c r="I894" i="1"/>
  <c r="J894" i="1"/>
  <c r="K894" i="1"/>
  <c r="L894" i="1"/>
  <c r="A895" i="1"/>
  <c r="B895" i="1"/>
  <c r="C895" i="1"/>
  <c r="D895" i="1"/>
  <c r="E895" i="1" s="1"/>
  <c r="H895" i="1" s="1"/>
  <c r="F895" i="1"/>
  <c r="G895" i="1"/>
  <c r="I895" i="1"/>
  <c r="J895" i="1"/>
  <c r="K895" i="1"/>
  <c r="L895" i="1"/>
  <c r="A896" i="1"/>
  <c r="B896" i="1"/>
  <c r="C896" i="1"/>
  <c r="D896" i="1"/>
  <c r="E896" i="1" s="1"/>
  <c r="H896" i="1" s="1"/>
  <c r="F896" i="1"/>
  <c r="G896" i="1"/>
  <c r="I896" i="1"/>
  <c r="J896" i="1"/>
  <c r="K896" i="1"/>
  <c r="L896" i="1"/>
  <c r="A897" i="1"/>
  <c r="B897" i="1"/>
  <c r="C897" i="1"/>
  <c r="D897" i="1"/>
  <c r="E897" i="1" s="1"/>
  <c r="H897" i="1" s="1"/>
  <c r="F897" i="1"/>
  <c r="G897" i="1"/>
  <c r="I897" i="1"/>
  <c r="J897" i="1"/>
  <c r="K897" i="1"/>
  <c r="L897" i="1"/>
  <c r="A898" i="1"/>
  <c r="B898" i="1"/>
  <c r="C898" i="1"/>
  <c r="D898" i="1"/>
  <c r="E898" i="1" s="1"/>
  <c r="H898" i="1" s="1"/>
  <c r="F898" i="1"/>
  <c r="G898" i="1"/>
  <c r="I898" i="1"/>
  <c r="J898" i="1"/>
  <c r="K898" i="1"/>
  <c r="L898" i="1"/>
  <c r="A899" i="1"/>
  <c r="B899" i="1"/>
  <c r="C899" i="1"/>
  <c r="D899" i="1"/>
  <c r="E899" i="1" s="1"/>
  <c r="H899" i="1" s="1"/>
  <c r="F899" i="1"/>
  <c r="G899" i="1"/>
  <c r="I899" i="1"/>
  <c r="J899" i="1"/>
  <c r="K899" i="1"/>
  <c r="L899" i="1"/>
  <c r="A900" i="1"/>
  <c r="B900" i="1"/>
  <c r="C900" i="1"/>
  <c r="D900" i="1"/>
  <c r="E900" i="1" s="1"/>
  <c r="H900" i="1" s="1"/>
  <c r="F900" i="1"/>
  <c r="G900" i="1"/>
  <c r="I900" i="1"/>
  <c r="J900" i="1"/>
  <c r="K900" i="1"/>
  <c r="L900" i="1"/>
  <c r="A901" i="1"/>
  <c r="B901" i="1"/>
  <c r="C901" i="1"/>
  <c r="D901" i="1"/>
  <c r="E901" i="1" s="1"/>
  <c r="H901" i="1" s="1"/>
  <c r="F901" i="1"/>
  <c r="G901" i="1"/>
  <c r="I901" i="1"/>
  <c r="J901" i="1"/>
  <c r="K901" i="1"/>
  <c r="L901" i="1"/>
  <c r="A902" i="1"/>
  <c r="B902" i="1"/>
  <c r="C902" i="1"/>
  <c r="D902" i="1"/>
  <c r="E902" i="1" s="1"/>
  <c r="H902" i="1" s="1"/>
  <c r="F902" i="1"/>
  <c r="G902" i="1"/>
  <c r="I902" i="1"/>
  <c r="J902" i="1"/>
  <c r="K902" i="1"/>
  <c r="L902" i="1"/>
  <c r="A903" i="1"/>
  <c r="B903" i="1"/>
  <c r="C903" i="1"/>
  <c r="D903" i="1"/>
  <c r="E903" i="1" s="1"/>
  <c r="H903" i="1" s="1"/>
  <c r="F903" i="1"/>
  <c r="G903" i="1"/>
  <c r="I903" i="1"/>
  <c r="J903" i="1"/>
  <c r="K903" i="1"/>
  <c r="L903" i="1"/>
  <c r="A904" i="1"/>
  <c r="B904" i="1"/>
  <c r="C904" i="1"/>
  <c r="D904" i="1"/>
  <c r="E904" i="1" s="1"/>
  <c r="H904" i="1" s="1"/>
  <c r="F904" i="1"/>
  <c r="G904" i="1"/>
  <c r="I904" i="1"/>
  <c r="J904" i="1"/>
  <c r="K904" i="1"/>
  <c r="L904" i="1"/>
  <c r="A905" i="1"/>
  <c r="B905" i="1"/>
  <c r="C905" i="1"/>
  <c r="D905" i="1"/>
  <c r="E905" i="1" s="1"/>
  <c r="H905" i="1" s="1"/>
  <c r="F905" i="1"/>
  <c r="G905" i="1"/>
  <c r="I905" i="1"/>
  <c r="J905" i="1"/>
  <c r="K905" i="1"/>
  <c r="L905" i="1"/>
  <c r="A906" i="1"/>
  <c r="B906" i="1"/>
  <c r="C906" i="1"/>
  <c r="D906" i="1"/>
  <c r="E906" i="1" s="1"/>
  <c r="H906" i="1" s="1"/>
  <c r="F906" i="1"/>
  <c r="G906" i="1"/>
  <c r="I906" i="1"/>
  <c r="J906" i="1"/>
  <c r="K906" i="1"/>
  <c r="L906" i="1"/>
  <c r="A907" i="1"/>
  <c r="B907" i="1"/>
  <c r="C907" i="1"/>
  <c r="D907" i="1"/>
  <c r="E907" i="1" s="1"/>
  <c r="H907" i="1" s="1"/>
  <c r="F907" i="1"/>
  <c r="G907" i="1"/>
  <c r="I907" i="1"/>
  <c r="J907" i="1"/>
  <c r="K907" i="1"/>
  <c r="L907" i="1"/>
  <c r="A908" i="1"/>
  <c r="B908" i="1"/>
  <c r="C908" i="1"/>
  <c r="D908" i="1"/>
  <c r="E908" i="1" s="1"/>
  <c r="H908" i="1" s="1"/>
  <c r="F908" i="1"/>
  <c r="G908" i="1"/>
  <c r="I908" i="1"/>
  <c r="J908" i="1"/>
  <c r="K908" i="1"/>
  <c r="L908" i="1"/>
  <c r="A909" i="1"/>
  <c r="B909" i="1"/>
  <c r="C909" i="1"/>
  <c r="D909" i="1"/>
  <c r="E909" i="1" s="1"/>
  <c r="H909" i="1" s="1"/>
  <c r="F909" i="1"/>
  <c r="G909" i="1"/>
  <c r="I909" i="1"/>
  <c r="J909" i="1"/>
  <c r="K909" i="1"/>
  <c r="L909" i="1"/>
  <c r="A910" i="1"/>
  <c r="B910" i="1"/>
  <c r="C910" i="1"/>
  <c r="D910" i="1"/>
  <c r="E910" i="1" s="1"/>
  <c r="H910" i="1" s="1"/>
  <c r="F910" i="1"/>
  <c r="G910" i="1"/>
  <c r="I910" i="1"/>
  <c r="J910" i="1"/>
  <c r="K910" i="1"/>
  <c r="L910" i="1"/>
  <c r="A911" i="1"/>
  <c r="B911" i="1"/>
  <c r="C911" i="1"/>
  <c r="D911" i="1"/>
  <c r="E911" i="1" s="1"/>
  <c r="H911" i="1" s="1"/>
  <c r="F911" i="1"/>
  <c r="G911" i="1"/>
  <c r="I911" i="1"/>
  <c r="J911" i="1"/>
  <c r="K911" i="1"/>
  <c r="L911" i="1"/>
  <c r="A912" i="1"/>
  <c r="B912" i="1"/>
  <c r="C912" i="1"/>
  <c r="D912" i="1"/>
  <c r="E912" i="1" s="1"/>
  <c r="H912" i="1" s="1"/>
  <c r="F912" i="1"/>
  <c r="G912" i="1"/>
  <c r="I912" i="1"/>
  <c r="J912" i="1"/>
  <c r="K912" i="1"/>
  <c r="L912" i="1"/>
  <c r="A913" i="1"/>
  <c r="B913" i="1"/>
  <c r="C913" i="1"/>
  <c r="D913" i="1"/>
  <c r="E913" i="1" s="1"/>
  <c r="H913" i="1" s="1"/>
  <c r="F913" i="1"/>
  <c r="G913" i="1"/>
  <c r="I913" i="1"/>
  <c r="J913" i="1"/>
  <c r="K913" i="1"/>
  <c r="L913" i="1"/>
  <c r="A914" i="1"/>
  <c r="B914" i="1"/>
  <c r="C914" i="1"/>
  <c r="D914" i="1"/>
  <c r="E914" i="1" s="1"/>
  <c r="H914" i="1" s="1"/>
  <c r="F914" i="1"/>
  <c r="G914" i="1"/>
  <c r="I914" i="1"/>
  <c r="J914" i="1"/>
  <c r="K914" i="1"/>
  <c r="L914" i="1"/>
  <c r="A915" i="1"/>
  <c r="B915" i="1"/>
  <c r="C915" i="1"/>
  <c r="D915" i="1"/>
  <c r="E915" i="1" s="1"/>
  <c r="H915" i="1" s="1"/>
  <c r="F915" i="1"/>
  <c r="G915" i="1"/>
  <c r="I915" i="1"/>
  <c r="J915" i="1"/>
  <c r="K915" i="1"/>
  <c r="L915" i="1"/>
  <c r="A916" i="1"/>
  <c r="B916" i="1"/>
  <c r="C916" i="1"/>
  <c r="D916" i="1"/>
  <c r="E916" i="1" s="1"/>
  <c r="H916" i="1" s="1"/>
  <c r="F916" i="1"/>
  <c r="G916" i="1"/>
  <c r="I916" i="1"/>
  <c r="J916" i="1"/>
  <c r="K916" i="1"/>
  <c r="L916" i="1"/>
  <c r="A917" i="1"/>
  <c r="B917" i="1"/>
  <c r="C917" i="1"/>
  <c r="D917" i="1"/>
  <c r="E917" i="1" s="1"/>
  <c r="H917" i="1" s="1"/>
  <c r="F917" i="1"/>
  <c r="G917" i="1"/>
  <c r="I917" i="1"/>
  <c r="J917" i="1"/>
  <c r="K917" i="1"/>
  <c r="L917" i="1"/>
  <c r="A918" i="1"/>
  <c r="B918" i="1"/>
  <c r="C918" i="1"/>
  <c r="D918" i="1"/>
  <c r="E918" i="1" s="1"/>
  <c r="H918" i="1" s="1"/>
  <c r="F918" i="1"/>
  <c r="G918" i="1"/>
  <c r="I918" i="1"/>
  <c r="J918" i="1"/>
  <c r="K918" i="1"/>
  <c r="L918" i="1"/>
  <c r="A919" i="1"/>
  <c r="B919" i="1"/>
  <c r="C919" i="1"/>
  <c r="D919" i="1"/>
  <c r="E919" i="1" s="1"/>
  <c r="H919" i="1" s="1"/>
  <c r="F919" i="1"/>
  <c r="G919" i="1"/>
  <c r="I919" i="1"/>
  <c r="J919" i="1"/>
  <c r="K919" i="1"/>
  <c r="L919" i="1"/>
  <c r="A920" i="1"/>
  <c r="B920" i="1"/>
  <c r="C920" i="1"/>
  <c r="D920" i="1"/>
  <c r="E920" i="1" s="1"/>
  <c r="H920" i="1" s="1"/>
  <c r="F920" i="1"/>
  <c r="G920" i="1"/>
  <c r="I920" i="1"/>
  <c r="J920" i="1"/>
  <c r="K920" i="1"/>
  <c r="L920" i="1"/>
  <c r="A921" i="1"/>
  <c r="B921" i="1"/>
  <c r="C921" i="1"/>
  <c r="D921" i="1"/>
  <c r="E921" i="1" s="1"/>
  <c r="H921" i="1" s="1"/>
  <c r="F921" i="1"/>
  <c r="G921" i="1"/>
  <c r="I921" i="1"/>
  <c r="J921" i="1"/>
  <c r="K921" i="1"/>
  <c r="L921" i="1"/>
  <c r="A922" i="1"/>
  <c r="B922" i="1"/>
  <c r="C922" i="1"/>
  <c r="D922" i="1"/>
  <c r="E922" i="1" s="1"/>
  <c r="H922" i="1" s="1"/>
  <c r="F922" i="1"/>
  <c r="G922" i="1"/>
  <c r="I922" i="1"/>
  <c r="J922" i="1"/>
  <c r="K922" i="1"/>
  <c r="L922" i="1"/>
  <c r="A923" i="1"/>
  <c r="B923" i="1"/>
  <c r="C923" i="1"/>
  <c r="D923" i="1"/>
  <c r="E923" i="1" s="1"/>
  <c r="H923" i="1" s="1"/>
  <c r="F923" i="1"/>
  <c r="G923" i="1"/>
  <c r="I923" i="1"/>
  <c r="J923" i="1"/>
  <c r="K923" i="1"/>
  <c r="L923" i="1"/>
  <c r="A924" i="1"/>
  <c r="B924" i="1"/>
  <c r="C924" i="1"/>
  <c r="D924" i="1"/>
  <c r="E924" i="1" s="1"/>
  <c r="H924" i="1" s="1"/>
  <c r="F924" i="1"/>
  <c r="G924" i="1"/>
  <c r="I924" i="1"/>
  <c r="J924" i="1"/>
  <c r="K924" i="1"/>
  <c r="L924" i="1"/>
  <c r="A925" i="1"/>
  <c r="B925" i="1"/>
  <c r="C925" i="1"/>
  <c r="D925" i="1"/>
  <c r="E925" i="1" s="1"/>
  <c r="H925" i="1" s="1"/>
  <c r="F925" i="1"/>
  <c r="G925" i="1"/>
  <c r="I925" i="1"/>
  <c r="J925" i="1"/>
  <c r="K925" i="1"/>
  <c r="L925" i="1"/>
  <c r="A926" i="1"/>
  <c r="B926" i="1"/>
  <c r="C926" i="1"/>
  <c r="D926" i="1"/>
  <c r="E926" i="1" s="1"/>
  <c r="H926" i="1" s="1"/>
  <c r="F926" i="1"/>
  <c r="G926" i="1"/>
  <c r="I926" i="1"/>
  <c r="J926" i="1"/>
  <c r="K926" i="1"/>
  <c r="L926" i="1"/>
  <c r="A927" i="1"/>
  <c r="B927" i="1"/>
  <c r="C927" i="1"/>
  <c r="D927" i="1"/>
  <c r="E927" i="1" s="1"/>
  <c r="H927" i="1" s="1"/>
  <c r="F927" i="1"/>
  <c r="G927" i="1"/>
  <c r="I927" i="1"/>
  <c r="J927" i="1"/>
  <c r="K927" i="1"/>
  <c r="L927" i="1"/>
  <c r="A928" i="1"/>
  <c r="B928" i="1"/>
  <c r="C928" i="1"/>
  <c r="D928" i="1"/>
  <c r="E928" i="1" s="1"/>
  <c r="H928" i="1" s="1"/>
  <c r="F928" i="1"/>
  <c r="G928" i="1"/>
  <c r="I928" i="1"/>
  <c r="J928" i="1"/>
  <c r="K928" i="1"/>
  <c r="L928" i="1"/>
  <c r="A929" i="1"/>
  <c r="B929" i="1"/>
  <c r="C929" i="1"/>
  <c r="D929" i="1"/>
  <c r="E929" i="1" s="1"/>
  <c r="H929" i="1" s="1"/>
  <c r="F929" i="1"/>
  <c r="G929" i="1"/>
  <c r="I929" i="1"/>
  <c r="J929" i="1"/>
  <c r="K929" i="1"/>
  <c r="L929" i="1"/>
  <c r="A930" i="1"/>
  <c r="B930" i="1"/>
  <c r="C930" i="1"/>
  <c r="D930" i="1"/>
  <c r="E930" i="1" s="1"/>
  <c r="H930" i="1" s="1"/>
  <c r="F930" i="1"/>
  <c r="G930" i="1"/>
  <c r="I930" i="1"/>
  <c r="J930" i="1"/>
  <c r="K930" i="1"/>
  <c r="L930" i="1"/>
  <c r="A931" i="1"/>
  <c r="B931" i="1"/>
  <c r="C931" i="1"/>
  <c r="D931" i="1"/>
  <c r="E931" i="1" s="1"/>
  <c r="H931" i="1" s="1"/>
  <c r="F931" i="1"/>
  <c r="G931" i="1"/>
  <c r="I931" i="1"/>
  <c r="J931" i="1"/>
  <c r="K931" i="1"/>
  <c r="L931" i="1"/>
  <c r="A932" i="1"/>
  <c r="B932" i="1"/>
  <c r="C932" i="1"/>
  <c r="D932" i="1"/>
  <c r="E932" i="1" s="1"/>
  <c r="H932" i="1" s="1"/>
  <c r="F932" i="1"/>
  <c r="G932" i="1"/>
  <c r="I932" i="1"/>
  <c r="J932" i="1"/>
  <c r="K932" i="1"/>
  <c r="L932" i="1"/>
  <c r="A933" i="1"/>
  <c r="B933" i="1"/>
  <c r="C933" i="1"/>
  <c r="D933" i="1"/>
  <c r="E933" i="1" s="1"/>
  <c r="H933" i="1" s="1"/>
  <c r="F933" i="1"/>
  <c r="G933" i="1"/>
  <c r="I933" i="1"/>
  <c r="J933" i="1"/>
  <c r="K933" i="1"/>
  <c r="L933" i="1"/>
  <c r="A934" i="1"/>
  <c r="B934" i="1"/>
  <c r="C934" i="1"/>
  <c r="D934" i="1"/>
  <c r="E934" i="1" s="1"/>
  <c r="H934" i="1" s="1"/>
  <c r="F934" i="1"/>
  <c r="G934" i="1"/>
  <c r="I934" i="1"/>
  <c r="J934" i="1"/>
  <c r="K934" i="1"/>
  <c r="L934" i="1"/>
  <c r="A935" i="1"/>
  <c r="B935" i="1"/>
  <c r="C935" i="1"/>
  <c r="D935" i="1"/>
  <c r="E935" i="1" s="1"/>
  <c r="H935" i="1" s="1"/>
  <c r="F935" i="1"/>
  <c r="G935" i="1"/>
  <c r="I935" i="1"/>
  <c r="J935" i="1"/>
  <c r="K935" i="1"/>
  <c r="L935" i="1"/>
  <c r="A936" i="1"/>
  <c r="B936" i="1"/>
  <c r="C936" i="1"/>
  <c r="D936" i="1"/>
  <c r="E936" i="1" s="1"/>
  <c r="H936" i="1" s="1"/>
  <c r="F936" i="1"/>
  <c r="G936" i="1"/>
  <c r="I936" i="1"/>
  <c r="J936" i="1"/>
  <c r="K936" i="1"/>
  <c r="L936" i="1"/>
  <c r="A937" i="1"/>
  <c r="B937" i="1"/>
  <c r="C937" i="1"/>
  <c r="D937" i="1"/>
  <c r="E937" i="1" s="1"/>
  <c r="H937" i="1" s="1"/>
  <c r="F937" i="1"/>
  <c r="G937" i="1"/>
  <c r="I937" i="1"/>
  <c r="J937" i="1"/>
  <c r="K937" i="1"/>
  <c r="L937" i="1"/>
  <c r="A938" i="1"/>
  <c r="B938" i="1"/>
  <c r="C938" i="1"/>
  <c r="D938" i="1"/>
  <c r="E938" i="1" s="1"/>
  <c r="H938" i="1" s="1"/>
  <c r="F938" i="1"/>
  <c r="G938" i="1"/>
  <c r="I938" i="1"/>
  <c r="J938" i="1"/>
  <c r="K938" i="1"/>
  <c r="L938" i="1"/>
  <c r="A939" i="1"/>
  <c r="B939" i="1"/>
  <c r="C939" i="1"/>
  <c r="D939" i="1"/>
  <c r="E939" i="1" s="1"/>
  <c r="H939" i="1" s="1"/>
  <c r="F939" i="1"/>
  <c r="G939" i="1"/>
  <c r="I939" i="1"/>
  <c r="J939" i="1"/>
  <c r="K939" i="1"/>
  <c r="L939" i="1"/>
  <c r="A940" i="1"/>
  <c r="B940" i="1"/>
  <c r="C940" i="1"/>
  <c r="D940" i="1"/>
  <c r="E940" i="1" s="1"/>
  <c r="H940" i="1" s="1"/>
  <c r="F940" i="1"/>
  <c r="G940" i="1"/>
  <c r="I940" i="1"/>
  <c r="J940" i="1"/>
  <c r="K940" i="1"/>
  <c r="L940" i="1"/>
  <c r="A941" i="1"/>
  <c r="B941" i="1"/>
  <c r="C941" i="1"/>
  <c r="D941" i="1"/>
  <c r="E941" i="1" s="1"/>
  <c r="H941" i="1" s="1"/>
  <c r="F941" i="1"/>
  <c r="G941" i="1"/>
  <c r="I941" i="1"/>
  <c r="J941" i="1"/>
  <c r="K941" i="1"/>
  <c r="L941" i="1"/>
  <c r="A942" i="1"/>
  <c r="B942" i="1"/>
  <c r="C942" i="1"/>
  <c r="D942" i="1"/>
  <c r="E942" i="1" s="1"/>
  <c r="H942" i="1" s="1"/>
  <c r="F942" i="1"/>
  <c r="G942" i="1"/>
  <c r="I942" i="1"/>
  <c r="J942" i="1"/>
  <c r="K942" i="1"/>
  <c r="L942" i="1"/>
  <c r="A943" i="1"/>
  <c r="B943" i="1"/>
  <c r="C943" i="1"/>
  <c r="D943" i="1"/>
  <c r="E943" i="1" s="1"/>
  <c r="H943" i="1" s="1"/>
  <c r="F943" i="1"/>
  <c r="G943" i="1"/>
  <c r="I943" i="1"/>
  <c r="J943" i="1"/>
  <c r="K943" i="1"/>
  <c r="L943" i="1"/>
  <c r="A944" i="1"/>
  <c r="B944" i="1"/>
  <c r="C944" i="1"/>
  <c r="D944" i="1"/>
  <c r="E944" i="1" s="1"/>
  <c r="H944" i="1" s="1"/>
  <c r="F944" i="1"/>
  <c r="G944" i="1"/>
  <c r="I944" i="1"/>
  <c r="J944" i="1"/>
  <c r="K944" i="1"/>
  <c r="L944" i="1"/>
  <c r="A945" i="1"/>
  <c r="B945" i="1"/>
  <c r="C945" i="1"/>
  <c r="D945" i="1"/>
  <c r="E945" i="1" s="1"/>
  <c r="H945" i="1" s="1"/>
  <c r="F945" i="1"/>
  <c r="G945" i="1"/>
  <c r="I945" i="1"/>
  <c r="J945" i="1"/>
  <c r="K945" i="1"/>
  <c r="L945" i="1"/>
  <c r="A946" i="1"/>
  <c r="B946" i="1"/>
  <c r="C946" i="1"/>
  <c r="D946" i="1"/>
  <c r="E946" i="1" s="1"/>
  <c r="H946" i="1" s="1"/>
  <c r="F946" i="1"/>
  <c r="G946" i="1"/>
  <c r="I946" i="1"/>
  <c r="J946" i="1"/>
  <c r="K946" i="1"/>
  <c r="L946" i="1"/>
  <c r="A947" i="1"/>
  <c r="B947" i="1"/>
  <c r="C947" i="1"/>
  <c r="D947" i="1"/>
  <c r="E947" i="1" s="1"/>
  <c r="H947" i="1" s="1"/>
  <c r="F947" i="1"/>
  <c r="G947" i="1"/>
  <c r="I947" i="1"/>
  <c r="J947" i="1"/>
  <c r="K947" i="1"/>
  <c r="L947" i="1"/>
  <c r="A948" i="1"/>
  <c r="B948" i="1"/>
  <c r="C948" i="1"/>
  <c r="D948" i="1"/>
  <c r="E948" i="1" s="1"/>
  <c r="H948" i="1" s="1"/>
  <c r="F948" i="1"/>
  <c r="G948" i="1"/>
  <c r="I948" i="1"/>
  <c r="J948" i="1"/>
  <c r="K948" i="1"/>
  <c r="L948" i="1"/>
  <c r="A949" i="1"/>
  <c r="B949" i="1"/>
  <c r="C949" i="1"/>
  <c r="D949" i="1"/>
  <c r="E949" i="1" s="1"/>
  <c r="F949" i="1"/>
  <c r="G949" i="1"/>
  <c r="I949" i="1"/>
  <c r="J949" i="1"/>
  <c r="K949" i="1"/>
  <c r="L949" i="1"/>
  <c r="A950" i="1"/>
  <c r="B950" i="1"/>
  <c r="C950" i="1"/>
  <c r="D950" i="1"/>
  <c r="E950" i="1" s="1"/>
  <c r="F950" i="1"/>
  <c r="G950" i="1"/>
  <c r="I950" i="1"/>
  <c r="J950" i="1"/>
  <c r="K950" i="1"/>
  <c r="L950" i="1"/>
  <c r="A951" i="1"/>
  <c r="B951" i="1"/>
  <c r="C951" i="1"/>
  <c r="D951" i="1"/>
  <c r="E951" i="1" s="1"/>
  <c r="F951" i="1"/>
  <c r="G951" i="1"/>
  <c r="I951" i="1"/>
  <c r="J951" i="1"/>
  <c r="K951" i="1"/>
  <c r="L951" i="1"/>
  <c r="A952" i="1"/>
  <c r="B952" i="1"/>
  <c r="C952" i="1"/>
  <c r="D952" i="1"/>
  <c r="E952" i="1" s="1"/>
  <c r="F952" i="1"/>
  <c r="G952" i="1"/>
  <c r="I952" i="1"/>
  <c r="J952" i="1"/>
  <c r="K952" i="1"/>
  <c r="L952" i="1"/>
  <c r="A953" i="1"/>
  <c r="B953" i="1"/>
  <c r="C953" i="1"/>
  <c r="D953" i="1"/>
  <c r="E953" i="1" s="1"/>
  <c r="F953" i="1"/>
  <c r="G953" i="1"/>
  <c r="I953" i="1"/>
  <c r="J953" i="1"/>
  <c r="K953" i="1"/>
  <c r="L953" i="1"/>
  <c r="A954" i="1"/>
  <c r="B954" i="1"/>
  <c r="C954" i="1"/>
  <c r="D954" i="1"/>
  <c r="E954" i="1" s="1"/>
  <c r="F954" i="1"/>
  <c r="G954" i="1"/>
  <c r="I954" i="1"/>
  <c r="J954" i="1"/>
  <c r="K954" i="1"/>
  <c r="L954" i="1"/>
  <c r="A955" i="1"/>
  <c r="B955" i="1"/>
  <c r="C955" i="1"/>
  <c r="D955" i="1"/>
  <c r="E955" i="1" s="1"/>
  <c r="F955" i="1"/>
  <c r="G955" i="1"/>
  <c r="I955" i="1"/>
  <c r="J955" i="1"/>
  <c r="K955" i="1"/>
  <c r="L955" i="1"/>
  <c r="A956" i="1"/>
  <c r="B956" i="1"/>
  <c r="C956" i="1"/>
  <c r="D956" i="1"/>
  <c r="E956" i="1" s="1"/>
  <c r="F956" i="1"/>
  <c r="G956" i="1"/>
  <c r="I956" i="1"/>
  <c r="J956" i="1"/>
  <c r="K956" i="1"/>
  <c r="L956" i="1"/>
  <c r="A957" i="1"/>
  <c r="B957" i="1"/>
  <c r="C957" i="1"/>
  <c r="D957" i="1"/>
  <c r="E957" i="1" s="1"/>
  <c r="F957" i="1"/>
  <c r="G957" i="1"/>
  <c r="I957" i="1"/>
  <c r="J957" i="1"/>
  <c r="K957" i="1"/>
  <c r="L957" i="1"/>
  <c r="A958" i="1"/>
  <c r="B958" i="1"/>
  <c r="C958" i="1"/>
  <c r="D958" i="1"/>
  <c r="E958" i="1" s="1"/>
  <c r="F958" i="1"/>
  <c r="G958" i="1"/>
  <c r="I958" i="1"/>
  <c r="J958" i="1"/>
  <c r="K958" i="1"/>
  <c r="L958" i="1"/>
  <c r="A959" i="1"/>
  <c r="B959" i="1"/>
  <c r="C959" i="1"/>
  <c r="D959" i="1"/>
  <c r="E959" i="1" s="1"/>
  <c r="F959" i="1"/>
  <c r="G959" i="1"/>
  <c r="I959" i="1"/>
  <c r="J959" i="1"/>
  <c r="K959" i="1"/>
  <c r="L959" i="1"/>
  <c r="A960" i="1"/>
  <c r="B960" i="1"/>
  <c r="C960" i="1"/>
  <c r="D960" i="1"/>
  <c r="E960" i="1" s="1"/>
  <c r="F960" i="1"/>
  <c r="G960" i="1"/>
  <c r="I960" i="1"/>
  <c r="J960" i="1"/>
  <c r="K960" i="1"/>
  <c r="L960" i="1"/>
  <c r="A961" i="1"/>
  <c r="B961" i="1"/>
  <c r="C961" i="1"/>
  <c r="D961" i="1"/>
  <c r="E961" i="1" s="1"/>
  <c r="F961" i="1"/>
  <c r="G961" i="1"/>
  <c r="I961" i="1"/>
  <c r="J961" i="1"/>
  <c r="K961" i="1"/>
  <c r="L961" i="1"/>
  <c r="A962" i="1"/>
  <c r="B962" i="1"/>
  <c r="C962" i="1"/>
  <c r="D962" i="1"/>
  <c r="F962" i="1"/>
  <c r="G962" i="1"/>
  <c r="I962" i="1"/>
  <c r="J962" i="1"/>
  <c r="K962" i="1"/>
  <c r="L962" i="1"/>
  <c r="A963" i="1"/>
  <c r="B963" i="1"/>
  <c r="C963" i="1"/>
  <c r="D963" i="1"/>
  <c r="E963" i="1" s="1"/>
  <c r="F963" i="1"/>
  <c r="G963" i="1"/>
  <c r="I963" i="1"/>
  <c r="J963" i="1"/>
  <c r="K963" i="1"/>
  <c r="L963" i="1"/>
  <c r="A964" i="1"/>
  <c r="B964" i="1"/>
  <c r="C964" i="1"/>
  <c r="D964" i="1"/>
  <c r="E964" i="1" s="1"/>
  <c r="F964" i="1"/>
  <c r="G964" i="1"/>
  <c r="I964" i="1"/>
  <c r="J964" i="1"/>
  <c r="K964" i="1"/>
  <c r="L964" i="1"/>
  <c r="A965" i="1"/>
  <c r="B965" i="1"/>
  <c r="C965" i="1"/>
  <c r="D965" i="1"/>
  <c r="E965" i="1" s="1"/>
  <c r="F965" i="1"/>
  <c r="G965" i="1"/>
  <c r="I965" i="1"/>
  <c r="J965" i="1"/>
  <c r="K965" i="1"/>
  <c r="L965" i="1"/>
  <c r="A966" i="1"/>
  <c r="B966" i="1"/>
  <c r="C966" i="1"/>
  <c r="D966" i="1"/>
  <c r="E966" i="1" s="1"/>
  <c r="F966" i="1"/>
  <c r="G966" i="1"/>
  <c r="I966" i="1"/>
  <c r="J966" i="1"/>
  <c r="K966" i="1"/>
  <c r="L966" i="1"/>
  <c r="A967" i="1"/>
  <c r="B967" i="1"/>
  <c r="C967" i="1"/>
  <c r="D967" i="1"/>
  <c r="E967" i="1" s="1"/>
  <c r="F967" i="1"/>
  <c r="G967" i="1"/>
  <c r="I967" i="1"/>
  <c r="J967" i="1"/>
  <c r="K967" i="1"/>
  <c r="L967" i="1"/>
  <c r="A968" i="1"/>
  <c r="B968" i="1"/>
  <c r="C968" i="1"/>
  <c r="D968" i="1"/>
  <c r="E968" i="1" s="1"/>
  <c r="F968" i="1"/>
  <c r="G968" i="1"/>
  <c r="I968" i="1"/>
  <c r="J968" i="1"/>
  <c r="K968" i="1"/>
  <c r="L968" i="1"/>
  <c r="A969" i="1"/>
  <c r="B969" i="1"/>
  <c r="C969" i="1"/>
  <c r="D969" i="1"/>
  <c r="E969" i="1" s="1"/>
  <c r="F969" i="1"/>
  <c r="G969" i="1"/>
  <c r="I969" i="1"/>
  <c r="J969" i="1"/>
  <c r="K969" i="1"/>
  <c r="L969" i="1"/>
  <c r="A970" i="1"/>
  <c r="B970" i="1"/>
  <c r="C970" i="1"/>
  <c r="D970" i="1"/>
  <c r="E970" i="1" s="1"/>
  <c r="F970" i="1"/>
  <c r="G970" i="1"/>
  <c r="I970" i="1"/>
  <c r="J970" i="1"/>
  <c r="K970" i="1"/>
  <c r="L970" i="1"/>
  <c r="A971" i="1"/>
  <c r="B971" i="1"/>
  <c r="C971" i="1"/>
  <c r="D971" i="1"/>
  <c r="E971" i="1" s="1"/>
  <c r="F971" i="1"/>
  <c r="G971" i="1"/>
  <c r="I971" i="1"/>
  <c r="J971" i="1"/>
  <c r="K971" i="1"/>
  <c r="L971" i="1"/>
  <c r="A972" i="1"/>
  <c r="B972" i="1"/>
  <c r="C972" i="1"/>
  <c r="D972" i="1"/>
  <c r="E972" i="1" s="1"/>
  <c r="F972" i="1"/>
  <c r="G972" i="1"/>
  <c r="I972" i="1"/>
  <c r="J972" i="1"/>
  <c r="K972" i="1"/>
  <c r="L972" i="1"/>
  <c r="A973" i="1"/>
  <c r="B973" i="1"/>
  <c r="C973" i="1"/>
  <c r="D973" i="1"/>
  <c r="E973" i="1" s="1"/>
  <c r="F973" i="1"/>
  <c r="G973" i="1"/>
  <c r="I973" i="1"/>
  <c r="J973" i="1"/>
  <c r="K973" i="1"/>
  <c r="L973" i="1"/>
  <c r="A974" i="1"/>
  <c r="B974" i="1"/>
  <c r="C974" i="1"/>
  <c r="D974" i="1"/>
  <c r="E974" i="1" s="1"/>
  <c r="F974" i="1"/>
  <c r="G974" i="1"/>
  <c r="I974" i="1"/>
  <c r="J974" i="1"/>
  <c r="K974" i="1"/>
  <c r="L974" i="1"/>
  <c r="A975" i="1"/>
  <c r="B975" i="1"/>
  <c r="C975" i="1"/>
  <c r="D975" i="1"/>
  <c r="E975" i="1" s="1"/>
  <c r="F975" i="1"/>
  <c r="G975" i="1"/>
  <c r="I975" i="1"/>
  <c r="J975" i="1"/>
  <c r="K975" i="1"/>
  <c r="L975" i="1"/>
  <c r="A976" i="1"/>
  <c r="B976" i="1"/>
  <c r="C976" i="1"/>
  <c r="D976" i="1"/>
  <c r="E976" i="1" s="1"/>
  <c r="F976" i="1"/>
  <c r="G976" i="1"/>
  <c r="I976" i="1"/>
  <c r="J976" i="1"/>
  <c r="K976" i="1"/>
  <c r="L976" i="1"/>
  <c r="A977" i="1"/>
  <c r="B977" i="1"/>
  <c r="C977" i="1"/>
  <c r="D977" i="1"/>
  <c r="E977" i="1" s="1"/>
  <c r="F977" i="1"/>
  <c r="G977" i="1"/>
  <c r="I977" i="1"/>
  <c r="J977" i="1"/>
  <c r="K977" i="1"/>
  <c r="L977" i="1"/>
  <c r="A978" i="1"/>
  <c r="B978" i="1"/>
  <c r="C978" i="1"/>
  <c r="D978" i="1"/>
  <c r="F978" i="1"/>
  <c r="G978" i="1"/>
  <c r="I978" i="1"/>
  <c r="J978" i="1"/>
  <c r="K978" i="1"/>
  <c r="L978" i="1"/>
  <c r="A979" i="1"/>
  <c r="B979" i="1"/>
  <c r="C979" i="1"/>
  <c r="D979" i="1"/>
  <c r="E979" i="1" s="1"/>
  <c r="F979" i="1"/>
  <c r="G979" i="1"/>
  <c r="I979" i="1"/>
  <c r="J979" i="1"/>
  <c r="K979" i="1"/>
  <c r="L979" i="1"/>
  <c r="A980" i="1"/>
  <c r="B980" i="1"/>
  <c r="C980" i="1"/>
  <c r="D980" i="1"/>
  <c r="E980" i="1" s="1"/>
  <c r="F980" i="1"/>
  <c r="G980" i="1"/>
  <c r="I980" i="1"/>
  <c r="J980" i="1"/>
  <c r="K980" i="1"/>
  <c r="L980" i="1"/>
  <c r="A981" i="1"/>
  <c r="B981" i="1"/>
  <c r="C981" i="1"/>
  <c r="D981" i="1"/>
  <c r="E981" i="1" s="1"/>
  <c r="F981" i="1"/>
  <c r="G981" i="1"/>
  <c r="I981" i="1"/>
  <c r="J981" i="1"/>
  <c r="K981" i="1"/>
  <c r="L981" i="1"/>
  <c r="A982" i="1"/>
  <c r="B982" i="1"/>
  <c r="C982" i="1"/>
  <c r="D982" i="1"/>
  <c r="E982" i="1" s="1"/>
  <c r="F982" i="1"/>
  <c r="G982" i="1"/>
  <c r="I982" i="1"/>
  <c r="J982" i="1"/>
  <c r="K982" i="1"/>
  <c r="L982" i="1"/>
  <c r="A983" i="1"/>
  <c r="B983" i="1"/>
  <c r="C983" i="1"/>
  <c r="D983" i="1"/>
  <c r="E983" i="1" s="1"/>
  <c r="F983" i="1"/>
  <c r="G983" i="1"/>
  <c r="I983" i="1"/>
  <c r="J983" i="1"/>
  <c r="K983" i="1"/>
  <c r="L983" i="1"/>
  <c r="A984" i="1"/>
  <c r="B984" i="1"/>
  <c r="C984" i="1"/>
  <c r="D984" i="1"/>
  <c r="E984" i="1" s="1"/>
  <c r="F984" i="1"/>
  <c r="G984" i="1"/>
  <c r="I984" i="1"/>
  <c r="J984" i="1"/>
  <c r="K984" i="1"/>
  <c r="L984" i="1"/>
  <c r="A985" i="1"/>
  <c r="B985" i="1"/>
  <c r="C985" i="1"/>
  <c r="D985" i="1"/>
  <c r="E985" i="1" s="1"/>
  <c r="F985" i="1"/>
  <c r="G985" i="1"/>
  <c r="I985" i="1"/>
  <c r="J985" i="1"/>
  <c r="K985" i="1"/>
  <c r="L985" i="1"/>
  <c r="A986" i="1"/>
  <c r="B986" i="1"/>
  <c r="C986" i="1"/>
  <c r="D986" i="1"/>
  <c r="E986" i="1" s="1"/>
  <c r="F986" i="1"/>
  <c r="G986" i="1"/>
  <c r="I986" i="1"/>
  <c r="J986" i="1"/>
  <c r="K986" i="1"/>
  <c r="L986" i="1"/>
  <c r="A987" i="1"/>
  <c r="B987" i="1"/>
  <c r="C987" i="1"/>
  <c r="D987" i="1"/>
  <c r="E987" i="1" s="1"/>
  <c r="F987" i="1"/>
  <c r="G987" i="1"/>
  <c r="I987" i="1"/>
  <c r="J987" i="1"/>
  <c r="K987" i="1"/>
  <c r="L987" i="1"/>
  <c r="A988" i="1"/>
  <c r="B988" i="1"/>
  <c r="C988" i="1"/>
  <c r="D988" i="1"/>
  <c r="E988" i="1" s="1"/>
  <c r="F988" i="1"/>
  <c r="G988" i="1"/>
  <c r="I988" i="1"/>
  <c r="J988" i="1"/>
  <c r="K988" i="1"/>
  <c r="L988" i="1"/>
  <c r="A989" i="1"/>
  <c r="B989" i="1"/>
  <c r="C989" i="1"/>
  <c r="D989" i="1"/>
  <c r="E989" i="1" s="1"/>
  <c r="F989" i="1"/>
  <c r="G989" i="1"/>
  <c r="I989" i="1"/>
  <c r="J989" i="1"/>
  <c r="K989" i="1"/>
  <c r="L989" i="1"/>
  <c r="A990" i="1"/>
  <c r="B990" i="1"/>
  <c r="C990" i="1"/>
  <c r="D990" i="1"/>
  <c r="E990" i="1" s="1"/>
  <c r="F990" i="1"/>
  <c r="G990" i="1"/>
  <c r="I990" i="1"/>
  <c r="J990" i="1"/>
  <c r="K990" i="1"/>
  <c r="L990" i="1"/>
  <c r="A991" i="1"/>
  <c r="B991" i="1"/>
  <c r="C991" i="1"/>
  <c r="D991" i="1"/>
  <c r="E991" i="1" s="1"/>
  <c r="F991" i="1"/>
  <c r="G991" i="1"/>
  <c r="I991" i="1"/>
  <c r="J991" i="1"/>
  <c r="K991" i="1"/>
  <c r="L991" i="1"/>
  <c r="A992" i="1"/>
  <c r="B992" i="1"/>
  <c r="C992" i="1"/>
  <c r="D992" i="1"/>
  <c r="E992" i="1" s="1"/>
  <c r="F992" i="1"/>
  <c r="G992" i="1"/>
  <c r="I992" i="1"/>
  <c r="J992" i="1"/>
  <c r="K992" i="1"/>
  <c r="L992" i="1"/>
  <c r="A993" i="1"/>
  <c r="B993" i="1"/>
  <c r="C993" i="1"/>
  <c r="D993" i="1"/>
  <c r="E993" i="1" s="1"/>
  <c r="F993" i="1"/>
  <c r="G993" i="1"/>
  <c r="I993" i="1"/>
  <c r="J993" i="1"/>
  <c r="K993" i="1"/>
  <c r="L993" i="1"/>
  <c r="A994" i="1"/>
  <c r="B994" i="1"/>
  <c r="C994" i="1"/>
  <c r="D994" i="1"/>
  <c r="F994" i="1"/>
  <c r="G994" i="1"/>
  <c r="I994" i="1"/>
  <c r="J994" i="1"/>
  <c r="K994" i="1"/>
  <c r="L994" i="1"/>
  <c r="A995" i="1"/>
  <c r="B995" i="1"/>
  <c r="C995" i="1"/>
  <c r="D995" i="1"/>
  <c r="E995" i="1" s="1"/>
  <c r="H995" i="1" s="1"/>
  <c r="F995" i="1"/>
  <c r="G995" i="1"/>
  <c r="I995" i="1"/>
  <c r="J995" i="1"/>
  <c r="K995" i="1"/>
  <c r="L995" i="1"/>
  <c r="A996" i="1"/>
  <c r="B996" i="1"/>
  <c r="C996" i="1"/>
  <c r="D996" i="1"/>
  <c r="E996" i="1" s="1"/>
  <c r="H996" i="1" s="1"/>
  <c r="F996" i="1"/>
  <c r="G996" i="1"/>
  <c r="I996" i="1"/>
  <c r="J996" i="1"/>
  <c r="K996" i="1"/>
  <c r="L996" i="1"/>
  <c r="A997" i="1"/>
  <c r="B997" i="1"/>
  <c r="C997" i="1"/>
  <c r="D997" i="1"/>
  <c r="E997" i="1" s="1"/>
  <c r="H997" i="1" s="1"/>
  <c r="F997" i="1"/>
  <c r="G997" i="1"/>
  <c r="I997" i="1"/>
  <c r="J997" i="1"/>
  <c r="K997" i="1"/>
  <c r="L997" i="1"/>
  <c r="A998" i="1"/>
  <c r="B998" i="1"/>
  <c r="C998" i="1"/>
  <c r="D998" i="1"/>
  <c r="E998" i="1" s="1"/>
  <c r="H998" i="1" s="1"/>
  <c r="F998" i="1"/>
  <c r="G998" i="1"/>
  <c r="I998" i="1"/>
  <c r="J998" i="1"/>
  <c r="K998" i="1"/>
  <c r="L998" i="1"/>
  <c r="A999" i="1"/>
  <c r="B999" i="1"/>
  <c r="C999" i="1"/>
  <c r="D999" i="1"/>
  <c r="E999" i="1" s="1"/>
  <c r="H999" i="1" s="1"/>
  <c r="F999" i="1"/>
  <c r="G999" i="1"/>
  <c r="I999" i="1"/>
  <c r="J999" i="1"/>
  <c r="K999" i="1"/>
  <c r="L999" i="1"/>
  <c r="A1000" i="1"/>
  <c r="B1000" i="1"/>
  <c r="C1000" i="1"/>
  <c r="D1000" i="1"/>
  <c r="E1000" i="1" s="1"/>
  <c r="H1000" i="1" s="1"/>
  <c r="F1000" i="1"/>
  <c r="G1000" i="1"/>
  <c r="I1000" i="1"/>
  <c r="J1000" i="1"/>
  <c r="K1000" i="1"/>
  <c r="L1000" i="1"/>
  <c r="A1001" i="1"/>
  <c r="B1001" i="1"/>
  <c r="C1001" i="1"/>
  <c r="D1001" i="1"/>
  <c r="E1001" i="1" s="1"/>
  <c r="H1001" i="1" s="1"/>
  <c r="F1001" i="1"/>
  <c r="G1001" i="1"/>
  <c r="I1001" i="1"/>
  <c r="J1001" i="1"/>
  <c r="K1001" i="1"/>
  <c r="L1001" i="1"/>
  <c r="A1002" i="1"/>
  <c r="B1002" i="1"/>
  <c r="C1002" i="1"/>
  <c r="D1002" i="1"/>
  <c r="E1002" i="1" s="1"/>
  <c r="H1002" i="1" s="1"/>
  <c r="F1002" i="1"/>
  <c r="G1002" i="1"/>
  <c r="I1002" i="1"/>
  <c r="J1002" i="1"/>
  <c r="K1002" i="1"/>
  <c r="L1002" i="1"/>
  <c r="A1003" i="1"/>
  <c r="B1003" i="1"/>
  <c r="C1003" i="1"/>
  <c r="D1003" i="1"/>
  <c r="E1003" i="1" s="1"/>
  <c r="H1003" i="1" s="1"/>
  <c r="F1003" i="1"/>
  <c r="G1003" i="1"/>
  <c r="I1003" i="1"/>
  <c r="J1003" i="1"/>
  <c r="K1003" i="1"/>
  <c r="L1003" i="1"/>
  <c r="A1004" i="1"/>
  <c r="B1004" i="1"/>
  <c r="C1004" i="1"/>
  <c r="D1004" i="1"/>
  <c r="E1004" i="1" s="1"/>
  <c r="H1004" i="1" s="1"/>
  <c r="F1004" i="1"/>
  <c r="G1004" i="1"/>
  <c r="I1004" i="1"/>
  <c r="J1004" i="1"/>
  <c r="K1004" i="1"/>
  <c r="L1004" i="1"/>
  <c r="A1005" i="1"/>
  <c r="B1005" i="1"/>
  <c r="C1005" i="1"/>
  <c r="D1005" i="1"/>
  <c r="E1005" i="1" s="1"/>
  <c r="H1005" i="1" s="1"/>
  <c r="F1005" i="1"/>
  <c r="G1005" i="1"/>
  <c r="I1005" i="1"/>
  <c r="J1005" i="1"/>
  <c r="K1005" i="1"/>
  <c r="L1005" i="1"/>
  <c r="A1006" i="1"/>
  <c r="B1006" i="1"/>
  <c r="C1006" i="1"/>
  <c r="D1006" i="1"/>
  <c r="E1006" i="1" s="1"/>
  <c r="H1006" i="1" s="1"/>
  <c r="F1006" i="1"/>
  <c r="G1006" i="1"/>
  <c r="I1006" i="1"/>
  <c r="J1006" i="1"/>
  <c r="K1006" i="1"/>
  <c r="L1006" i="1"/>
  <c r="A1007" i="1"/>
  <c r="B1007" i="1"/>
  <c r="C1007" i="1"/>
  <c r="D1007" i="1"/>
  <c r="E1007" i="1" s="1"/>
  <c r="H1007" i="1" s="1"/>
  <c r="F1007" i="1"/>
  <c r="G1007" i="1"/>
  <c r="I1007" i="1"/>
  <c r="J1007" i="1"/>
  <c r="K1007" i="1"/>
  <c r="L1007" i="1"/>
  <c r="A1008" i="1"/>
  <c r="B1008" i="1"/>
  <c r="C1008" i="1"/>
  <c r="D1008" i="1"/>
  <c r="E1008" i="1" s="1"/>
  <c r="H1008" i="1" s="1"/>
  <c r="F1008" i="1"/>
  <c r="G1008" i="1"/>
  <c r="I1008" i="1"/>
  <c r="J1008" i="1"/>
  <c r="K1008" i="1"/>
  <c r="L1008" i="1"/>
  <c r="A1009" i="1"/>
  <c r="B1009" i="1"/>
  <c r="C1009" i="1"/>
  <c r="D1009" i="1"/>
  <c r="E1009" i="1" s="1"/>
  <c r="H1009" i="1" s="1"/>
  <c r="F1009" i="1"/>
  <c r="G1009" i="1"/>
  <c r="I1009" i="1"/>
  <c r="J1009" i="1"/>
  <c r="K1009" i="1"/>
  <c r="L1009" i="1"/>
  <c r="A1010" i="1"/>
  <c r="B1010" i="1"/>
  <c r="C1010" i="1"/>
  <c r="D1010" i="1"/>
  <c r="E1010" i="1" s="1"/>
  <c r="H1010" i="1" s="1"/>
  <c r="F1010" i="1"/>
  <c r="G1010" i="1"/>
  <c r="I1010" i="1"/>
  <c r="J1010" i="1"/>
  <c r="K1010" i="1"/>
  <c r="L1010" i="1"/>
  <c r="A1011" i="1"/>
  <c r="B1011" i="1"/>
  <c r="C1011" i="1"/>
  <c r="D1011" i="1"/>
  <c r="E1011" i="1" s="1"/>
  <c r="H1011" i="1" s="1"/>
  <c r="F1011" i="1"/>
  <c r="G1011" i="1"/>
  <c r="I1011" i="1"/>
  <c r="J1011" i="1"/>
  <c r="K1011" i="1"/>
  <c r="L1011" i="1"/>
  <c r="A1012" i="1"/>
  <c r="B1012" i="1"/>
  <c r="C1012" i="1"/>
  <c r="D1012" i="1"/>
  <c r="E1012" i="1" s="1"/>
  <c r="H1012" i="1" s="1"/>
  <c r="F1012" i="1"/>
  <c r="G1012" i="1"/>
  <c r="I1012" i="1"/>
  <c r="J1012" i="1"/>
  <c r="K1012" i="1"/>
  <c r="L1012" i="1"/>
  <c r="A1013" i="1"/>
  <c r="B1013" i="1"/>
  <c r="C1013" i="1"/>
  <c r="D1013" i="1"/>
  <c r="E1013" i="1" s="1"/>
  <c r="H1013" i="1" s="1"/>
  <c r="F1013" i="1"/>
  <c r="G1013" i="1"/>
  <c r="I1013" i="1"/>
  <c r="J1013" i="1"/>
  <c r="K1013" i="1"/>
  <c r="L1013" i="1"/>
  <c r="A1014" i="1"/>
  <c r="B1014" i="1"/>
  <c r="C1014" i="1"/>
  <c r="D1014" i="1"/>
  <c r="E1014" i="1" s="1"/>
  <c r="H1014" i="1" s="1"/>
  <c r="F1014" i="1"/>
  <c r="G1014" i="1"/>
  <c r="I1014" i="1"/>
  <c r="J1014" i="1"/>
  <c r="K1014" i="1"/>
  <c r="L1014" i="1"/>
  <c r="A1015" i="1"/>
  <c r="B1015" i="1"/>
  <c r="C1015" i="1"/>
  <c r="D1015" i="1"/>
  <c r="E1015" i="1" s="1"/>
  <c r="H1015" i="1" s="1"/>
  <c r="F1015" i="1"/>
  <c r="G1015" i="1"/>
  <c r="I1015" i="1"/>
  <c r="J1015" i="1"/>
  <c r="K1015" i="1"/>
  <c r="L1015" i="1"/>
  <c r="A1016" i="1"/>
  <c r="B1016" i="1"/>
  <c r="C1016" i="1"/>
  <c r="D1016" i="1"/>
  <c r="E1016" i="1" s="1"/>
  <c r="H1016" i="1" s="1"/>
  <c r="F1016" i="1"/>
  <c r="G1016" i="1"/>
  <c r="I1016" i="1"/>
  <c r="J1016" i="1"/>
  <c r="K1016" i="1"/>
  <c r="L1016" i="1"/>
  <c r="A1017" i="1"/>
  <c r="B1017" i="1"/>
  <c r="C1017" i="1"/>
  <c r="D1017" i="1"/>
  <c r="E1017" i="1" s="1"/>
  <c r="H1017" i="1" s="1"/>
  <c r="F1017" i="1"/>
  <c r="G1017" i="1"/>
  <c r="I1017" i="1"/>
  <c r="J1017" i="1"/>
  <c r="K1017" i="1"/>
  <c r="L1017" i="1"/>
  <c r="A1018" i="1"/>
  <c r="B1018" i="1"/>
  <c r="C1018" i="1"/>
  <c r="D1018" i="1"/>
  <c r="E1018" i="1" s="1"/>
  <c r="H1018" i="1" s="1"/>
  <c r="F1018" i="1"/>
  <c r="G1018" i="1"/>
  <c r="I1018" i="1"/>
  <c r="J1018" i="1"/>
  <c r="K1018" i="1"/>
  <c r="L1018" i="1"/>
  <c r="A1019" i="1"/>
  <c r="B1019" i="1"/>
  <c r="C1019" i="1"/>
  <c r="D1019" i="1"/>
  <c r="E1019" i="1" s="1"/>
  <c r="H1019" i="1" s="1"/>
  <c r="F1019" i="1"/>
  <c r="G1019" i="1"/>
  <c r="I1019" i="1"/>
  <c r="J1019" i="1"/>
  <c r="K1019" i="1"/>
  <c r="L1019" i="1"/>
  <c r="A1020" i="1"/>
  <c r="B1020" i="1"/>
  <c r="C1020" i="1"/>
  <c r="D1020" i="1"/>
  <c r="E1020" i="1" s="1"/>
  <c r="H1020" i="1" s="1"/>
  <c r="F1020" i="1"/>
  <c r="G1020" i="1"/>
  <c r="I1020" i="1"/>
  <c r="J1020" i="1"/>
  <c r="K1020" i="1"/>
  <c r="L1020" i="1"/>
  <c r="A1021" i="1"/>
  <c r="B1021" i="1"/>
  <c r="C1021" i="1"/>
  <c r="D1021" i="1"/>
  <c r="E1021" i="1" s="1"/>
  <c r="H1021" i="1" s="1"/>
  <c r="F1021" i="1"/>
  <c r="G1021" i="1"/>
  <c r="I1021" i="1"/>
  <c r="J1021" i="1"/>
  <c r="K1021" i="1"/>
  <c r="L1021" i="1"/>
  <c r="A1022" i="1"/>
  <c r="B1022" i="1"/>
  <c r="C1022" i="1"/>
  <c r="D1022" i="1"/>
  <c r="E1022" i="1" s="1"/>
  <c r="H1022" i="1" s="1"/>
  <c r="F1022" i="1"/>
  <c r="G1022" i="1"/>
  <c r="I1022" i="1"/>
  <c r="J1022" i="1"/>
  <c r="K1022" i="1"/>
  <c r="L1022" i="1"/>
  <c r="A1023" i="1"/>
  <c r="B1023" i="1"/>
  <c r="C1023" i="1"/>
  <c r="D1023" i="1"/>
  <c r="E1023" i="1" s="1"/>
  <c r="H1023" i="1" s="1"/>
  <c r="F1023" i="1"/>
  <c r="G1023" i="1"/>
  <c r="I1023" i="1"/>
  <c r="J1023" i="1"/>
  <c r="K1023" i="1"/>
  <c r="L1023" i="1"/>
  <c r="A1024" i="1"/>
  <c r="B1024" i="1"/>
  <c r="C1024" i="1"/>
  <c r="D1024" i="1"/>
  <c r="E1024" i="1" s="1"/>
  <c r="H1024" i="1" s="1"/>
  <c r="F1024" i="1"/>
  <c r="G1024" i="1"/>
  <c r="I1024" i="1"/>
  <c r="J1024" i="1"/>
  <c r="K1024" i="1"/>
  <c r="L1024" i="1"/>
  <c r="A1025" i="1"/>
  <c r="B1025" i="1"/>
  <c r="C1025" i="1"/>
  <c r="D1025" i="1"/>
  <c r="E1025" i="1" s="1"/>
  <c r="H1025" i="1" s="1"/>
  <c r="F1025" i="1"/>
  <c r="G1025" i="1"/>
  <c r="I1025" i="1"/>
  <c r="J1025" i="1"/>
  <c r="K1025" i="1"/>
  <c r="L1025" i="1"/>
  <c r="A1026" i="1"/>
  <c r="B1026" i="1"/>
  <c r="C1026" i="1"/>
  <c r="D1026" i="1"/>
  <c r="E1026" i="1" s="1"/>
  <c r="H1026" i="1" s="1"/>
  <c r="F1026" i="1"/>
  <c r="G1026" i="1"/>
  <c r="I1026" i="1"/>
  <c r="J1026" i="1"/>
  <c r="K1026" i="1"/>
  <c r="L1026" i="1"/>
  <c r="A1027" i="1"/>
  <c r="B1027" i="1"/>
  <c r="C1027" i="1"/>
  <c r="D1027" i="1"/>
  <c r="E1027" i="1" s="1"/>
  <c r="H1027" i="1" s="1"/>
  <c r="F1027" i="1"/>
  <c r="G1027" i="1"/>
  <c r="I1027" i="1"/>
  <c r="J1027" i="1"/>
  <c r="K1027" i="1"/>
  <c r="L1027" i="1"/>
  <c r="A1028" i="1"/>
  <c r="B1028" i="1"/>
  <c r="C1028" i="1"/>
  <c r="D1028" i="1"/>
  <c r="E1028" i="1" s="1"/>
  <c r="H1028" i="1" s="1"/>
  <c r="F1028" i="1"/>
  <c r="G1028" i="1"/>
  <c r="I1028" i="1"/>
  <c r="J1028" i="1"/>
  <c r="K1028" i="1"/>
  <c r="L1028" i="1"/>
  <c r="A1029" i="1"/>
  <c r="B1029" i="1"/>
  <c r="C1029" i="1"/>
  <c r="D1029" i="1"/>
  <c r="E1029" i="1" s="1"/>
  <c r="H1029" i="1" s="1"/>
  <c r="F1029" i="1"/>
  <c r="G1029" i="1"/>
  <c r="I1029" i="1"/>
  <c r="J1029" i="1"/>
  <c r="K1029" i="1"/>
  <c r="L1029" i="1"/>
  <c r="A1030" i="1"/>
  <c r="B1030" i="1"/>
  <c r="C1030" i="1"/>
  <c r="D1030" i="1"/>
  <c r="E1030" i="1" s="1"/>
  <c r="H1030" i="1" s="1"/>
  <c r="F1030" i="1"/>
  <c r="G1030" i="1"/>
  <c r="I1030" i="1"/>
  <c r="J1030" i="1"/>
  <c r="K1030" i="1"/>
  <c r="L1030" i="1"/>
  <c r="A1031" i="1"/>
  <c r="B1031" i="1"/>
  <c r="C1031" i="1"/>
  <c r="D1031" i="1"/>
  <c r="E1031" i="1" s="1"/>
  <c r="H1031" i="1" s="1"/>
  <c r="F1031" i="1"/>
  <c r="G1031" i="1"/>
  <c r="I1031" i="1"/>
  <c r="J1031" i="1"/>
  <c r="K1031" i="1"/>
  <c r="L1031" i="1"/>
  <c r="A1032" i="1"/>
  <c r="B1032" i="1"/>
  <c r="C1032" i="1"/>
  <c r="D1032" i="1"/>
  <c r="E1032" i="1" s="1"/>
  <c r="H1032" i="1" s="1"/>
  <c r="F1032" i="1"/>
  <c r="G1032" i="1"/>
  <c r="I1032" i="1"/>
  <c r="J1032" i="1"/>
  <c r="K1032" i="1"/>
  <c r="L1032" i="1"/>
  <c r="A1033" i="1"/>
  <c r="B1033" i="1"/>
  <c r="C1033" i="1"/>
  <c r="D1033" i="1"/>
  <c r="E1033" i="1" s="1"/>
  <c r="H1033" i="1" s="1"/>
  <c r="F1033" i="1"/>
  <c r="G1033" i="1"/>
  <c r="I1033" i="1"/>
  <c r="J1033" i="1"/>
  <c r="K1033" i="1"/>
  <c r="L1033" i="1"/>
  <c r="A1034" i="1"/>
  <c r="B1034" i="1"/>
  <c r="C1034" i="1"/>
  <c r="D1034" i="1"/>
  <c r="E1034" i="1" s="1"/>
  <c r="H1034" i="1" s="1"/>
  <c r="F1034" i="1"/>
  <c r="G1034" i="1"/>
  <c r="I1034" i="1"/>
  <c r="J1034" i="1"/>
  <c r="K1034" i="1"/>
  <c r="L1034" i="1"/>
  <c r="A1035" i="1"/>
  <c r="B1035" i="1"/>
  <c r="C1035" i="1"/>
  <c r="D1035" i="1"/>
  <c r="E1035" i="1" s="1"/>
  <c r="H1035" i="1" s="1"/>
  <c r="F1035" i="1"/>
  <c r="G1035" i="1"/>
  <c r="I1035" i="1"/>
  <c r="J1035" i="1"/>
  <c r="K1035" i="1"/>
  <c r="L1035" i="1"/>
  <c r="A1036" i="1"/>
  <c r="B1036" i="1"/>
  <c r="C1036" i="1"/>
  <c r="D1036" i="1"/>
  <c r="E1036" i="1" s="1"/>
  <c r="H1036" i="1" s="1"/>
  <c r="F1036" i="1"/>
  <c r="G1036" i="1"/>
  <c r="I1036" i="1"/>
  <c r="J1036" i="1"/>
  <c r="K1036" i="1"/>
  <c r="L1036" i="1"/>
  <c r="A1037" i="1"/>
  <c r="B1037" i="1"/>
  <c r="C1037" i="1"/>
  <c r="D1037" i="1"/>
  <c r="E1037" i="1" s="1"/>
  <c r="H1037" i="1" s="1"/>
  <c r="F1037" i="1"/>
  <c r="G1037" i="1"/>
  <c r="I1037" i="1"/>
  <c r="J1037" i="1"/>
  <c r="K1037" i="1"/>
  <c r="L1037" i="1"/>
  <c r="A1038" i="1"/>
  <c r="B1038" i="1"/>
  <c r="C1038" i="1"/>
  <c r="D1038" i="1"/>
  <c r="E1038" i="1" s="1"/>
  <c r="H1038" i="1" s="1"/>
  <c r="F1038" i="1"/>
  <c r="G1038" i="1"/>
  <c r="I1038" i="1"/>
  <c r="J1038" i="1"/>
  <c r="K1038" i="1"/>
  <c r="L1038" i="1"/>
  <c r="A1039" i="1"/>
  <c r="B1039" i="1"/>
  <c r="C1039" i="1"/>
  <c r="D1039" i="1"/>
  <c r="E1039" i="1" s="1"/>
  <c r="H1039" i="1" s="1"/>
  <c r="F1039" i="1"/>
  <c r="G1039" i="1"/>
  <c r="I1039" i="1"/>
  <c r="J1039" i="1"/>
  <c r="K1039" i="1"/>
  <c r="L1039" i="1"/>
  <c r="A1040" i="1"/>
  <c r="B1040" i="1"/>
  <c r="C1040" i="1"/>
  <c r="D1040" i="1"/>
  <c r="E1040" i="1" s="1"/>
  <c r="H1040" i="1" s="1"/>
  <c r="F1040" i="1"/>
  <c r="G1040" i="1"/>
  <c r="I1040" i="1"/>
  <c r="J1040" i="1"/>
  <c r="K1040" i="1"/>
  <c r="L1040" i="1"/>
  <c r="A1041" i="1"/>
  <c r="B1041" i="1"/>
  <c r="C1041" i="1"/>
  <c r="D1041" i="1"/>
  <c r="E1041" i="1" s="1"/>
  <c r="H1041" i="1" s="1"/>
  <c r="F1041" i="1"/>
  <c r="G1041" i="1"/>
  <c r="I1041" i="1"/>
  <c r="J1041" i="1"/>
  <c r="K1041" i="1"/>
  <c r="L1041" i="1"/>
  <c r="A1042" i="1"/>
  <c r="B1042" i="1"/>
  <c r="C1042" i="1"/>
  <c r="D1042" i="1"/>
  <c r="E1042" i="1" s="1"/>
  <c r="H1042" i="1" s="1"/>
  <c r="F1042" i="1"/>
  <c r="G1042" i="1"/>
  <c r="I1042" i="1"/>
  <c r="J1042" i="1"/>
  <c r="K1042" i="1"/>
  <c r="L1042" i="1"/>
  <c r="A1043" i="1"/>
  <c r="B1043" i="1"/>
  <c r="C1043" i="1"/>
  <c r="D1043" i="1"/>
  <c r="E1043" i="1" s="1"/>
  <c r="H1043" i="1" s="1"/>
  <c r="F1043" i="1"/>
  <c r="G1043" i="1"/>
  <c r="I1043" i="1"/>
  <c r="J1043" i="1"/>
  <c r="K1043" i="1"/>
  <c r="L1043" i="1"/>
  <c r="A1044" i="1"/>
  <c r="B1044" i="1"/>
  <c r="C1044" i="1"/>
  <c r="D1044" i="1"/>
  <c r="E1044" i="1" s="1"/>
  <c r="H1044" i="1" s="1"/>
  <c r="F1044" i="1"/>
  <c r="G1044" i="1"/>
  <c r="I1044" i="1"/>
  <c r="J1044" i="1"/>
  <c r="K1044" i="1"/>
  <c r="L1044" i="1"/>
  <c r="A1045" i="1"/>
  <c r="B1045" i="1"/>
  <c r="C1045" i="1"/>
  <c r="D1045" i="1"/>
  <c r="E1045" i="1" s="1"/>
  <c r="H1045" i="1" s="1"/>
  <c r="F1045" i="1"/>
  <c r="G1045" i="1"/>
  <c r="I1045" i="1"/>
  <c r="J1045" i="1"/>
  <c r="K1045" i="1"/>
  <c r="L1045" i="1"/>
  <c r="A1046" i="1"/>
  <c r="B1046" i="1"/>
  <c r="C1046" i="1"/>
  <c r="D1046" i="1"/>
  <c r="E1046" i="1" s="1"/>
  <c r="H1046" i="1" s="1"/>
  <c r="F1046" i="1"/>
  <c r="G1046" i="1"/>
  <c r="I1046" i="1"/>
  <c r="J1046" i="1"/>
  <c r="K1046" i="1"/>
  <c r="L1046" i="1"/>
  <c r="A1047" i="1"/>
  <c r="B1047" i="1"/>
  <c r="C1047" i="1"/>
  <c r="D1047" i="1"/>
  <c r="E1047" i="1" s="1"/>
  <c r="H1047" i="1" s="1"/>
  <c r="F1047" i="1"/>
  <c r="G1047" i="1"/>
  <c r="I1047" i="1"/>
  <c r="J1047" i="1"/>
  <c r="K1047" i="1"/>
  <c r="L1047" i="1"/>
  <c r="A1048" i="1"/>
  <c r="B1048" i="1"/>
  <c r="C1048" i="1"/>
  <c r="D1048" i="1"/>
  <c r="E1048" i="1" s="1"/>
  <c r="H1048" i="1" s="1"/>
  <c r="F1048" i="1"/>
  <c r="G1048" i="1"/>
  <c r="I1048" i="1"/>
  <c r="J1048" i="1"/>
  <c r="K1048" i="1"/>
  <c r="L1048" i="1"/>
  <c r="A1049" i="1"/>
  <c r="B1049" i="1"/>
  <c r="C1049" i="1"/>
  <c r="D1049" i="1"/>
  <c r="E1049" i="1" s="1"/>
  <c r="F1049" i="1"/>
  <c r="G1049" i="1"/>
  <c r="I1049" i="1"/>
  <c r="J1049" i="1"/>
  <c r="K1049" i="1"/>
  <c r="L1049" i="1"/>
  <c r="A1050" i="1"/>
  <c r="B1050" i="1"/>
  <c r="C1050" i="1"/>
  <c r="D1050" i="1"/>
  <c r="E1050" i="1" s="1"/>
  <c r="F1050" i="1"/>
  <c r="G1050" i="1"/>
  <c r="I1050" i="1"/>
  <c r="J1050" i="1"/>
  <c r="K1050" i="1"/>
  <c r="L1050" i="1"/>
  <c r="A1051" i="1"/>
  <c r="B1051" i="1"/>
  <c r="C1051" i="1"/>
  <c r="D1051" i="1"/>
  <c r="E1051" i="1" s="1"/>
  <c r="F1051" i="1"/>
  <c r="G1051" i="1"/>
  <c r="I1051" i="1"/>
  <c r="J1051" i="1"/>
  <c r="K1051" i="1"/>
  <c r="L1051" i="1"/>
  <c r="A1052" i="1"/>
  <c r="B1052" i="1"/>
  <c r="C1052" i="1"/>
  <c r="D1052" i="1"/>
  <c r="E1052" i="1" s="1"/>
  <c r="F1052" i="1"/>
  <c r="G1052" i="1"/>
  <c r="I1052" i="1"/>
  <c r="J1052" i="1"/>
  <c r="K1052" i="1"/>
  <c r="L1052" i="1"/>
  <c r="A1053" i="1"/>
  <c r="B1053" i="1"/>
  <c r="C1053" i="1"/>
  <c r="D1053" i="1"/>
  <c r="F1053" i="1"/>
  <c r="G1053" i="1"/>
  <c r="I1053" i="1"/>
  <c r="J1053" i="1"/>
  <c r="K1053" i="1"/>
  <c r="L1053" i="1"/>
  <c r="A1054" i="1"/>
  <c r="B1054" i="1"/>
  <c r="C1054" i="1"/>
  <c r="D1054" i="1"/>
  <c r="E1054" i="1" s="1"/>
  <c r="F1054" i="1"/>
  <c r="G1054" i="1"/>
  <c r="I1054" i="1"/>
  <c r="J1054" i="1"/>
  <c r="K1054" i="1"/>
  <c r="L1054" i="1"/>
  <c r="A1055" i="1"/>
  <c r="B1055" i="1"/>
  <c r="C1055" i="1"/>
  <c r="D1055" i="1"/>
  <c r="E1055" i="1" s="1"/>
  <c r="F1055" i="1"/>
  <c r="G1055" i="1"/>
  <c r="I1055" i="1"/>
  <c r="J1055" i="1"/>
  <c r="K1055" i="1"/>
  <c r="L1055" i="1"/>
  <c r="A1056" i="1"/>
  <c r="B1056" i="1"/>
  <c r="C1056" i="1"/>
  <c r="D1056" i="1"/>
  <c r="E1056" i="1" s="1"/>
  <c r="F1056" i="1"/>
  <c r="G1056" i="1"/>
  <c r="I1056" i="1"/>
  <c r="J1056" i="1"/>
  <c r="K1056" i="1"/>
  <c r="L1056" i="1"/>
  <c r="A1057" i="1"/>
  <c r="B1057" i="1"/>
  <c r="C1057" i="1"/>
  <c r="D1057" i="1"/>
  <c r="E1057" i="1" s="1"/>
  <c r="F1057" i="1"/>
  <c r="G1057" i="1"/>
  <c r="I1057" i="1"/>
  <c r="J1057" i="1"/>
  <c r="K1057" i="1"/>
  <c r="L1057" i="1"/>
  <c r="A1058" i="1"/>
  <c r="B1058" i="1"/>
  <c r="C1058" i="1"/>
  <c r="D1058" i="1"/>
  <c r="E1058" i="1" s="1"/>
  <c r="F1058" i="1"/>
  <c r="G1058" i="1"/>
  <c r="I1058" i="1"/>
  <c r="J1058" i="1"/>
  <c r="K1058" i="1"/>
  <c r="L1058" i="1"/>
  <c r="A1059" i="1"/>
  <c r="B1059" i="1"/>
  <c r="C1059" i="1"/>
  <c r="D1059" i="1"/>
  <c r="E1059" i="1" s="1"/>
  <c r="F1059" i="1"/>
  <c r="G1059" i="1"/>
  <c r="I1059" i="1"/>
  <c r="J1059" i="1"/>
  <c r="K1059" i="1"/>
  <c r="L1059" i="1"/>
  <c r="A1060" i="1"/>
  <c r="B1060" i="1"/>
  <c r="C1060" i="1"/>
  <c r="D1060" i="1"/>
  <c r="E1060" i="1" s="1"/>
  <c r="F1060" i="1"/>
  <c r="G1060" i="1"/>
  <c r="I1060" i="1"/>
  <c r="J1060" i="1"/>
  <c r="K1060" i="1"/>
  <c r="L1060" i="1"/>
  <c r="A1061" i="1"/>
  <c r="B1061" i="1"/>
  <c r="C1061" i="1"/>
  <c r="D1061" i="1"/>
  <c r="E1061" i="1" s="1"/>
  <c r="F1061" i="1"/>
  <c r="G1061" i="1"/>
  <c r="I1061" i="1"/>
  <c r="J1061" i="1"/>
  <c r="K1061" i="1"/>
  <c r="L1061" i="1"/>
  <c r="A1062" i="1"/>
  <c r="B1062" i="1"/>
  <c r="C1062" i="1"/>
  <c r="D1062" i="1"/>
  <c r="E1062" i="1" s="1"/>
  <c r="F1062" i="1"/>
  <c r="G1062" i="1"/>
  <c r="I1062" i="1"/>
  <c r="J1062" i="1"/>
  <c r="K1062" i="1"/>
  <c r="L1062" i="1"/>
  <c r="A1063" i="1"/>
  <c r="B1063" i="1"/>
  <c r="C1063" i="1"/>
  <c r="D1063" i="1"/>
  <c r="E1063" i="1" s="1"/>
  <c r="F1063" i="1"/>
  <c r="G1063" i="1"/>
  <c r="I1063" i="1"/>
  <c r="J1063" i="1"/>
  <c r="K1063" i="1"/>
  <c r="L1063" i="1"/>
  <c r="A1064" i="1"/>
  <c r="B1064" i="1"/>
  <c r="C1064" i="1"/>
  <c r="D1064" i="1"/>
  <c r="E1064" i="1" s="1"/>
  <c r="F1064" i="1"/>
  <c r="G1064" i="1"/>
  <c r="I1064" i="1"/>
  <c r="J1064" i="1"/>
  <c r="K1064" i="1"/>
  <c r="L1064" i="1"/>
  <c r="A1065" i="1"/>
  <c r="B1065" i="1"/>
  <c r="C1065" i="1"/>
  <c r="D1065" i="1"/>
  <c r="E1065" i="1" s="1"/>
  <c r="F1065" i="1"/>
  <c r="G1065" i="1"/>
  <c r="I1065" i="1"/>
  <c r="J1065" i="1"/>
  <c r="K1065" i="1"/>
  <c r="L1065" i="1"/>
  <c r="A1066" i="1"/>
  <c r="B1066" i="1"/>
  <c r="C1066" i="1"/>
  <c r="D1066" i="1"/>
  <c r="E1066" i="1" s="1"/>
  <c r="F1066" i="1"/>
  <c r="G1066" i="1"/>
  <c r="I1066" i="1"/>
  <c r="J1066" i="1"/>
  <c r="K1066" i="1"/>
  <c r="L1066" i="1"/>
  <c r="A1067" i="1"/>
  <c r="B1067" i="1"/>
  <c r="C1067" i="1"/>
  <c r="D1067" i="1"/>
  <c r="E1067" i="1" s="1"/>
  <c r="F1067" i="1"/>
  <c r="G1067" i="1"/>
  <c r="I1067" i="1"/>
  <c r="J1067" i="1"/>
  <c r="K1067" i="1"/>
  <c r="L1067" i="1"/>
  <c r="A1068" i="1"/>
  <c r="B1068" i="1"/>
  <c r="C1068" i="1"/>
  <c r="D1068" i="1"/>
  <c r="E1068" i="1" s="1"/>
  <c r="F1068" i="1"/>
  <c r="G1068" i="1"/>
  <c r="I1068" i="1"/>
  <c r="J1068" i="1"/>
  <c r="K1068" i="1"/>
  <c r="L1068" i="1"/>
  <c r="A1069" i="1"/>
  <c r="B1069" i="1"/>
  <c r="C1069" i="1"/>
  <c r="D1069" i="1"/>
  <c r="F1069" i="1"/>
  <c r="G1069" i="1"/>
  <c r="I1069" i="1"/>
  <c r="J1069" i="1"/>
  <c r="K1069" i="1"/>
  <c r="L1069" i="1"/>
  <c r="A1070" i="1"/>
  <c r="B1070" i="1"/>
  <c r="C1070" i="1"/>
  <c r="D1070" i="1"/>
  <c r="E1070" i="1" s="1"/>
  <c r="F1070" i="1"/>
  <c r="G1070" i="1"/>
  <c r="I1070" i="1"/>
  <c r="J1070" i="1"/>
  <c r="K1070" i="1"/>
  <c r="L1070" i="1"/>
  <c r="A1071" i="1"/>
  <c r="B1071" i="1"/>
  <c r="C1071" i="1"/>
  <c r="D1071" i="1"/>
  <c r="E1071" i="1" s="1"/>
  <c r="F1071" i="1"/>
  <c r="G1071" i="1"/>
  <c r="I1071" i="1"/>
  <c r="J1071" i="1"/>
  <c r="K1071" i="1"/>
  <c r="L1071" i="1"/>
  <c r="A1072" i="1"/>
  <c r="B1072" i="1"/>
  <c r="C1072" i="1"/>
  <c r="D1072" i="1"/>
  <c r="E1072" i="1" s="1"/>
  <c r="F1072" i="1"/>
  <c r="G1072" i="1"/>
  <c r="I1072" i="1"/>
  <c r="J1072" i="1"/>
  <c r="K1072" i="1"/>
  <c r="L1072" i="1"/>
  <c r="A1073" i="1"/>
  <c r="B1073" i="1"/>
  <c r="C1073" i="1"/>
  <c r="D1073" i="1"/>
  <c r="E1073" i="1" s="1"/>
  <c r="F1073" i="1"/>
  <c r="G1073" i="1"/>
  <c r="I1073" i="1"/>
  <c r="J1073" i="1"/>
  <c r="K1073" i="1"/>
  <c r="L1073" i="1"/>
  <c r="A1074" i="1"/>
  <c r="B1074" i="1"/>
  <c r="C1074" i="1"/>
  <c r="D1074" i="1"/>
  <c r="E1074" i="1" s="1"/>
  <c r="F1074" i="1"/>
  <c r="G1074" i="1"/>
  <c r="I1074" i="1"/>
  <c r="J1074" i="1"/>
  <c r="K1074" i="1"/>
  <c r="L1074" i="1"/>
  <c r="A1075" i="1"/>
  <c r="B1075" i="1"/>
  <c r="C1075" i="1"/>
  <c r="D1075" i="1"/>
  <c r="E1075" i="1" s="1"/>
  <c r="F1075" i="1"/>
  <c r="G1075" i="1"/>
  <c r="I1075" i="1"/>
  <c r="J1075" i="1"/>
  <c r="K1075" i="1"/>
  <c r="L1075" i="1"/>
  <c r="A1076" i="1"/>
  <c r="B1076" i="1"/>
  <c r="C1076" i="1"/>
  <c r="D1076" i="1"/>
  <c r="E1076" i="1" s="1"/>
  <c r="F1076" i="1"/>
  <c r="G1076" i="1"/>
  <c r="I1076" i="1"/>
  <c r="J1076" i="1"/>
  <c r="K1076" i="1"/>
  <c r="L1076" i="1"/>
  <c r="A1077" i="1"/>
  <c r="B1077" i="1"/>
  <c r="C1077" i="1"/>
  <c r="D1077" i="1"/>
  <c r="E1077" i="1" s="1"/>
  <c r="F1077" i="1"/>
  <c r="G1077" i="1"/>
  <c r="I1077" i="1"/>
  <c r="J1077" i="1"/>
  <c r="K1077" i="1"/>
  <c r="L1077" i="1"/>
  <c r="A1078" i="1"/>
  <c r="B1078" i="1"/>
  <c r="C1078" i="1"/>
  <c r="D1078" i="1"/>
  <c r="E1078" i="1" s="1"/>
  <c r="F1078" i="1"/>
  <c r="G1078" i="1"/>
  <c r="I1078" i="1"/>
  <c r="J1078" i="1"/>
  <c r="K1078" i="1"/>
  <c r="L1078" i="1"/>
  <c r="A1079" i="1"/>
  <c r="B1079" i="1"/>
  <c r="C1079" i="1"/>
  <c r="D1079" i="1"/>
  <c r="E1079" i="1" s="1"/>
  <c r="F1079" i="1"/>
  <c r="G1079" i="1"/>
  <c r="I1079" i="1"/>
  <c r="J1079" i="1"/>
  <c r="K1079" i="1"/>
  <c r="L1079" i="1"/>
  <c r="A1080" i="1"/>
  <c r="B1080" i="1"/>
  <c r="C1080" i="1"/>
  <c r="D1080" i="1"/>
  <c r="E1080" i="1" s="1"/>
  <c r="F1080" i="1"/>
  <c r="G1080" i="1"/>
  <c r="I1080" i="1"/>
  <c r="J1080" i="1"/>
  <c r="K1080" i="1"/>
  <c r="L1080" i="1"/>
  <c r="A1081" i="1"/>
  <c r="B1081" i="1"/>
  <c r="C1081" i="1"/>
  <c r="D1081" i="1"/>
  <c r="E1081" i="1" s="1"/>
  <c r="F1081" i="1"/>
  <c r="G1081" i="1"/>
  <c r="I1081" i="1"/>
  <c r="J1081" i="1"/>
  <c r="K1081" i="1"/>
  <c r="L1081" i="1"/>
  <c r="A1082" i="1"/>
  <c r="B1082" i="1"/>
  <c r="C1082" i="1"/>
  <c r="D1082" i="1"/>
  <c r="E1082" i="1" s="1"/>
  <c r="F1082" i="1"/>
  <c r="G1082" i="1"/>
  <c r="I1082" i="1"/>
  <c r="J1082" i="1"/>
  <c r="K1082" i="1"/>
  <c r="L1082" i="1"/>
  <c r="A1083" i="1"/>
  <c r="B1083" i="1"/>
  <c r="C1083" i="1"/>
  <c r="D1083" i="1"/>
  <c r="E1083" i="1" s="1"/>
  <c r="F1083" i="1"/>
  <c r="G1083" i="1"/>
  <c r="I1083" i="1"/>
  <c r="J1083" i="1"/>
  <c r="K1083" i="1"/>
  <c r="L1083" i="1"/>
  <c r="A1084" i="1"/>
  <c r="B1084" i="1"/>
  <c r="C1084" i="1"/>
  <c r="D1084" i="1"/>
  <c r="E1084" i="1" s="1"/>
  <c r="F1084" i="1"/>
  <c r="G1084" i="1"/>
  <c r="I1084" i="1"/>
  <c r="J1084" i="1"/>
  <c r="K1084" i="1"/>
  <c r="L1084" i="1"/>
  <c r="A1085" i="1"/>
  <c r="B1085" i="1"/>
  <c r="C1085" i="1"/>
  <c r="D1085" i="1"/>
  <c r="F1085" i="1"/>
  <c r="G1085" i="1"/>
  <c r="I1085" i="1"/>
  <c r="J1085" i="1"/>
  <c r="K1085" i="1"/>
  <c r="L1085" i="1"/>
  <c r="A1086" i="1"/>
  <c r="B1086" i="1"/>
  <c r="C1086" i="1"/>
  <c r="D1086" i="1"/>
  <c r="E1086" i="1" s="1"/>
  <c r="F1086" i="1"/>
  <c r="G1086" i="1"/>
  <c r="I1086" i="1"/>
  <c r="J1086" i="1"/>
  <c r="K1086" i="1"/>
  <c r="L1086" i="1"/>
  <c r="A1087" i="1"/>
  <c r="B1087" i="1"/>
  <c r="C1087" i="1"/>
  <c r="D1087" i="1"/>
  <c r="E1087" i="1" s="1"/>
  <c r="F1087" i="1"/>
  <c r="G1087" i="1"/>
  <c r="I1087" i="1"/>
  <c r="J1087" i="1"/>
  <c r="K1087" i="1"/>
  <c r="L1087" i="1"/>
  <c r="A1088" i="1"/>
  <c r="B1088" i="1"/>
  <c r="C1088" i="1"/>
  <c r="D1088" i="1"/>
  <c r="E1088" i="1" s="1"/>
  <c r="F1088" i="1"/>
  <c r="G1088" i="1"/>
  <c r="I1088" i="1"/>
  <c r="J1088" i="1"/>
  <c r="K1088" i="1"/>
  <c r="L1088" i="1"/>
  <c r="A1089" i="1"/>
  <c r="B1089" i="1"/>
  <c r="C1089" i="1"/>
  <c r="D1089" i="1"/>
  <c r="E1089" i="1" s="1"/>
  <c r="F1089" i="1"/>
  <c r="G1089" i="1"/>
  <c r="I1089" i="1"/>
  <c r="J1089" i="1"/>
  <c r="K1089" i="1"/>
  <c r="L1089" i="1"/>
  <c r="A1090" i="1"/>
  <c r="B1090" i="1"/>
  <c r="C1090" i="1"/>
  <c r="D1090" i="1"/>
  <c r="E1090" i="1" s="1"/>
  <c r="F1090" i="1"/>
  <c r="G1090" i="1"/>
  <c r="I1090" i="1"/>
  <c r="J1090" i="1"/>
  <c r="K1090" i="1"/>
  <c r="L1090" i="1"/>
  <c r="A1091" i="1"/>
  <c r="B1091" i="1"/>
  <c r="C1091" i="1"/>
  <c r="D1091" i="1"/>
  <c r="E1091" i="1" s="1"/>
  <c r="F1091" i="1"/>
  <c r="G1091" i="1"/>
  <c r="I1091" i="1"/>
  <c r="J1091" i="1"/>
  <c r="K1091" i="1"/>
  <c r="L1091" i="1"/>
  <c r="A1092" i="1"/>
  <c r="B1092" i="1"/>
  <c r="C1092" i="1"/>
  <c r="D1092" i="1"/>
  <c r="E1092" i="1" s="1"/>
  <c r="F1092" i="1"/>
  <c r="G1092" i="1"/>
  <c r="I1092" i="1"/>
  <c r="J1092" i="1"/>
  <c r="K1092" i="1"/>
  <c r="L1092" i="1"/>
  <c r="A1093" i="1"/>
  <c r="B1093" i="1"/>
  <c r="C1093" i="1"/>
  <c r="D1093" i="1"/>
  <c r="E1093" i="1" s="1"/>
  <c r="F1093" i="1"/>
  <c r="G1093" i="1"/>
  <c r="I1093" i="1"/>
  <c r="J1093" i="1"/>
  <c r="K1093" i="1"/>
  <c r="L1093" i="1"/>
  <c r="A1094" i="1"/>
  <c r="B1094" i="1"/>
  <c r="C1094" i="1"/>
  <c r="D1094" i="1"/>
  <c r="E1094" i="1" s="1"/>
  <c r="F1094" i="1"/>
  <c r="G1094" i="1"/>
  <c r="I1094" i="1"/>
  <c r="J1094" i="1"/>
  <c r="K1094" i="1"/>
  <c r="L1094" i="1"/>
  <c r="A1095" i="1"/>
  <c r="B1095" i="1"/>
  <c r="C1095" i="1"/>
  <c r="D1095" i="1"/>
  <c r="E1095" i="1" s="1"/>
  <c r="F1095" i="1"/>
  <c r="G1095" i="1"/>
  <c r="I1095" i="1"/>
  <c r="J1095" i="1"/>
  <c r="K1095" i="1"/>
  <c r="L1095" i="1"/>
  <c r="A1096" i="1"/>
  <c r="B1096" i="1"/>
  <c r="C1096" i="1"/>
  <c r="D1096" i="1"/>
  <c r="E1096" i="1" s="1"/>
  <c r="F1096" i="1"/>
  <c r="G1096" i="1"/>
  <c r="I1096" i="1"/>
  <c r="J1096" i="1"/>
  <c r="K1096" i="1"/>
  <c r="L1096" i="1"/>
  <c r="A1097" i="1"/>
  <c r="B1097" i="1"/>
  <c r="C1097" i="1"/>
  <c r="D1097" i="1"/>
  <c r="E1097" i="1" s="1"/>
  <c r="F1097" i="1"/>
  <c r="G1097" i="1"/>
  <c r="I1097" i="1"/>
  <c r="J1097" i="1"/>
  <c r="K1097" i="1"/>
  <c r="L1097" i="1"/>
  <c r="A1098" i="1"/>
  <c r="B1098" i="1"/>
  <c r="C1098" i="1"/>
  <c r="D1098" i="1"/>
  <c r="E1098" i="1" s="1"/>
  <c r="F1098" i="1"/>
  <c r="G1098" i="1"/>
  <c r="I1098" i="1"/>
  <c r="J1098" i="1"/>
  <c r="K1098" i="1"/>
  <c r="L1098" i="1"/>
  <c r="A1099" i="1"/>
  <c r="B1099" i="1"/>
  <c r="C1099" i="1"/>
  <c r="D1099" i="1"/>
  <c r="F1099" i="1"/>
  <c r="G1099" i="1"/>
  <c r="I1099" i="1"/>
  <c r="J1099" i="1"/>
  <c r="K1099" i="1"/>
  <c r="L1099" i="1"/>
  <c r="A1100" i="1"/>
  <c r="B1100" i="1"/>
  <c r="C1100" i="1"/>
  <c r="D1100" i="1"/>
  <c r="E1100" i="1" s="1"/>
  <c r="F1100" i="1"/>
  <c r="G1100" i="1"/>
  <c r="I1100" i="1"/>
  <c r="J1100" i="1"/>
  <c r="K1100" i="1"/>
  <c r="L1100" i="1"/>
  <c r="A1101" i="1"/>
  <c r="B1101" i="1"/>
  <c r="C1101" i="1"/>
  <c r="D1101" i="1"/>
  <c r="E1101" i="1" s="1"/>
  <c r="F1101" i="1"/>
  <c r="G1101" i="1"/>
  <c r="I1101" i="1"/>
  <c r="J1101" i="1"/>
  <c r="K1101" i="1"/>
  <c r="L1101" i="1"/>
  <c r="A1102" i="1"/>
  <c r="B1102" i="1"/>
  <c r="C1102" i="1"/>
  <c r="D1102" i="1"/>
  <c r="E1102" i="1" s="1"/>
  <c r="F1102" i="1"/>
  <c r="G1102" i="1"/>
  <c r="I1102" i="1"/>
  <c r="J1102" i="1"/>
  <c r="K1102" i="1"/>
  <c r="L1102" i="1"/>
  <c r="A1103" i="1"/>
  <c r="B1103" i="1"/>
  <c r="C1103" i="1"/>
  <c r="D1103" i="1"/>
  <c r="E1103" i="1" s="1"/>
  <c r="F1103" i="1"/>
  <c r="G1103" i="1"/>
  <c r="I1103" i="1"/>
  <c r="J1103" i="1"/>
  <c r="K1103" i="1"/>
  <c r="L1103" i="1"/>
  <c r="A1104" i="1"/>
  <c r="B1104" i="1"/>
  <c r="C1104" i="1"/>
  <c r="D1104" i="1"/>
  <c r="E1104" i="1" s="1"/>
  <c r="F1104" i="1"/>
  <c r="G1104" i="1"/>
  <c r="I1104" i="1"/>
  <c r="J1104" i="1"/>
  <c r="K1104" i="1"/>
  <c r="L1104" i="1"/>
  <c r="A1105" i="1"/>
  <c r="B1105" i="1"/>
  <c r="C1105" i="1"/>
  <c r="D1105" i="1"/>
  <c r="E1105" i="1" s="1"/>
  <c r="F1105" i="1"/>
  <c r="G1105" i="1"/>
  <c r="I1105" i="1"/>
  <c r="J1105" i="1"/>
  <c r="K1105" i="1"/>
  <c r="L1105" i="1"/>
  <c r="A1106" i="1"/>
  <c r="B1106" i="1"/>
  <c r="C1106" i="1"/>
  <c r="D1106" i="1"/>
  <c r="E1106" i="1" s="1"/>
  <c r="F1106" i="1"/>
  <c r="G1106" i="1"/>
  <c r="I1106" i="1"/>
  <c r="J1106" i="1"/>
  <c r="K1106" i="1"/>
  <c r="L1106" i="1"/>
  <c r="A1107" i="1"/>
  <c r="B1107" i="1"/>
  <c r="C1107" i="1"/>
  <c r="D1107" i="1"/>
  <c r="E1107" i="1" s="1"/>
  <c r="F1107" i="1"/>
  <c r="G1107" i="1"/>
  <c r="I1107" i="1"/>
  <c r="J1107" i="1"/>
  <c r="K1107" i="1"/>
  <c r="L1107" i="1"/>
  <c r="A1108" i="1"/>
  <c r="B1108" i="1"/>
  <c r="C1108" i="1"/>
  <c r="D1108" i="1"/>
  <c r="E1108" i="1" s="1"/>
  <c r="F1108" i="1"/>
  <c r="G1108" i="1"/>
  <c r="I1108" i="1"/>
  <c r="J1108" i="1"/>
  <c r="K1108" i="1"/>
  <c r="L1108" i="1"/>
  <c r="A1109" i="1"/>
  <c r="B1109" i="1"/>
  <c r="C1109" i="1"/>
  <c r="D1109" i="1"/>
  <c r="E1109" i="1" s="1"/>
  <c r="F1109" i="1"/>
  <c r="G1109" i="1"/>
  <c r="I1109" i="1"/>
  <c r="J1109" i="1"/>
  <c r="K1109" i="1"/>
  <c r="L1109" i="1"/>
  <c r="A1110" i="1"/>
  <c r="B1110" i="1"/>
  <c r="C1110" i="1"/>
  <c r="D1110" i="1"/>
  <c r="E1110" i="1" s="1"/>
  <c r="F1110" i="1"/>
  <c r="G1110" i="1"/>
  <c r="I1110" i="1"/>
  <c r="J1110" i="1"/>
  <c r="K1110" i="1"/>
  <c r="L1110" i="1"/>
  <c r="A1111" i="1"/>
  <c r="B1111" i="1"/>
  <c r="C1111" i="1"/>
  <c r="D1111" i="1"/>
  <c r="E1111" i="1" s="1"/>
  <c r="F1111" i="1"/>
  <c r="G1111" i="1"/>
  <c r="I1111" i="1"/>
  <c r="J1111" i="1"/>
  <c r="K1111" i="1"/>
  <c r="L1111" i="1"/>
  <c r="A1112" i="1"/>
  <c r="B1112" i="1"/>
  <c r="C1112" i="1"/>
  <c r="D1112" i="1"/>
  <c r="E1112" i="1" s="1"/>
  <c r="F1112" i="1"/>
  <c r="G1112" i="1"/>
  <c r="I1112" i="1"/>
  <c r="J1112" i="1"/>
  <c r="K1112" i="1"/>
  <c r="L1112" i="1"/>
  <c r="A1113" i="1"/>
  <c r="B1113" i="1"/>
  <c r="C1113" i="1"/>
  <c r="D1113" i="1"/>
  <c r="E1113" i="1" s="1"/>
  <c r="F1113" i="1"/>
  <c r="G1113" i="1"/>
  <c r="I1113" i="1"/>
  <c r="J1113" i="1"/>
  <c r="K1113" i="1"/>
  <c r="L1113" i="1"/>
  <c r="A1114" i="1"/>
  <c r="B1114" i="1"/>
  <c r="C1114" i="1"/>
  <c r="D1114" i="1"/>
  <c r="E1114" i="1" s="1"/>
  <c r="F1114" i="1"/>
  <c r="G1114" i="1"/>
  <c r="I1114" i="1"/>
  <c r="J1114" i="1"/>
  <c r="K1114" i="1"/>
  <c r="L1114" i="1"/>
  <c r="A1115" i="1"/>
  <c r="B1115" i="1"/>
  <c r="C1115" i="1"/>
  <c r="D1115" i="1"/>
  <c r="F1115" i="1"/>
  <c r="G1115" i="1"/>
  <c r="I1115" i="1"/>
  <c r="J1115" i="1"/>
  <c r="K1115" i="1"/>
  <c r="L1115" i="1"/>
  <c r="A1116" i="1"/>
  <c r="B1116" i="1"/>
  <c r="C1116" i="1"/>
  <c r="D1116" i="1"/>
  <c r="E1116" i="1" s="1"/>
  <c r="F1116" i="1"/>
  <c r="G1116" i="1"/>
  <c r="I1116" i="1"/>
  <c r="J1116" i="1"/>
  <c r="K1116" i="1"/>
  <c r="L1116" i="1"/>
  <c r="A1117" i="1"/>
  <c r="B1117" i="1"/>
  <c r="C1117" i="1"/>
  <c r="D1117" i="1"/>
  <c r="E1117" i="1" s="1"/>
  <c r="F1117" i="1"/>
  <c r="G1117" i="1"/>
  <c r="I1117" i="1"/>
  <c r="J1117" i="1"/>
  <c r="K1117" i="1"/>
  <c r="L1117" i="1"/>
  <c r="A1118" i="1"/>
  <c r="B1118" i="1"/>
  <c r="C1118" i="1"/>
  <c r="D1118" i="1"/>
  <c r="E1118" i="1" s="1"/>
  <c r="F1118" i="1"/>
  <c r="G1118" i="1"/>
  <c r="I1118" i="1"/>
  <c r="J1118" i="1"/>
  <c r="K1118" i="1"/>
  <c r="L1118" i="1"/>
  <c r="A1119" i="1"/>
  <c r="B1119" i="1"/>
  <c r="C1119" i="1"/>
  <c r="D1119" i="1"/>
  <c r="E1119" i="1" s="1"/>
  <c r="F1119" i="1"/>
  <c r="G1119" i="1"/>
  <c r="I1119" i="1"/>
  <c r="J1119" i="1"/>
  <c r="K1119" i="1"/>
  <c r="L1119" i="1"/>
  <c r="A1120" i="1"/>
  <c r="B1120" i="1"/>
  <c r="C1120" i="1"/>
  <c r="D1120" i="1"/>
  <c r="E1120" i="1" s="1"/>
  <c r="F1120" i="1"/>
  <c r="G1120" i="1"/>
  <c r="I1120" i="1"/>
  <c r="J1120" i="1"/>
  <c r="K1120" i="1"/>
  <c r="L1120" i="1"/>
  <c r="A1121" i="1"/>
  <c r="B1121" i="1"/>
  <c r="C1121" i="1"/>
  <c r="D1121" i="1"/>
  <c r="E1121" i="1" s="1"/>
  <c r="F1121" i="1"/>
  <c r="G1121" i="1"/>
  <c r="I1121" i="1"/>
  <c r="J1121" i="1"/>
  <c r="K1121" i="1"/>
  <c r="L1121" i="1"/>
  <c r="A1122" i="1"/>
  <c r="B1122" i="1"/>
  <c r="C1122" i="1"/>
  <c r="D1122" i="1"/>
  <c r="E1122" i="1" s="1"/>
  <c r="F1122" i="1"/>
  <c r="G1122" i="1"/>
  <c r="I1122" i="1"/>
  <c r="J1122" i="1"/>
  <c r="K1122" i="1"/>
  <c r="L1122" i="1"/>
  <c r="A1123" i="1"/>
  <c r="B1123" i="1"/>
  <c r="C1123" i="1"/>
  <c r="D1123" i="1"/>
  <c r="E1123" i="1" s="1"/>
  <c r="F1123" i="1"/>
  <c r="G1123" i="1"/>
  <c r="I1123" i="1"/>
  <c r="J1123" i="1"/>
  <c r="K1123" i="1"/>
  <c r="L1123" i="1"/>
  <c r="A1124" i="1"/>
  <c r="B1124" i="1"/>
  <c r="C1124" i="1"/>
  <c r="D1124" i="1"/>
  <c r="E1124" i="1" s="1"/>
  <c r="F1124" i="1"/>
  <c r="G1124" i="1"/>
  <c r="I1124" i="1"/>
  <c r="J1124" i="1"/>
  <c r="K1124" i="1"/>
  <c r="L1124" i="1"/>
  <c r="A1125" i="1"/>
  <c r="B1125" i="1"/>
  <c r="C1125" i="1"/>
  <c r="D1125" i="1"/>
  <c r="E1125" i="1" s="1"/>
  <c r="F1125" i="1"/>
  <c r="G1125" i="1"/>
  <c r="I1125" i="1"/>
  <c r="J1125" i="1"/>
  <c r="K1125" i="1"/>
  <c r="L1125" i="1"/>
  <c r="A1126" i="1"/>
  <c r="B1126" i="1"/>
  <c r="C1126" i="1"/>
  <c r="D1126" i="1"/>
  <c r="E1126" i="1" s="1"/>
  <c r="F1126" i="1"/>
  <c r="G1126" i="1"/>
  <c r="I1126" i="1"/>
  <c r="J1126" i="1"/>
  <c r="K1126" i="1"/>
  <c r="L1126" i="1"/>
  <c r="A1127" i="1"/>
  <c r="B1127" i="1"/>
  <c r="C1127" i="1"/>
  <c r="D1127" i="1"/>
  <c r="E1127" i="1" s="1"/>
  <c r="F1127" i="1"/>
  <c r="G1127" i="1"/>
  <c r="I1127" i="1"/>
  <c r="J1127" i="1"/>
  <c r="K1127" i="1"/>
  <c r="L1127" i="1"/>
  <c r="A1128" i="1"/>
  <c r="B1128" i="1"/>
  <c r="C1128" i="1"/>
  <c r="D1128" i="1"/>
  <c r="E1128" i="1" s="1"/>
  <c r="F1128" i="1"/>
  <c r="G1128" i="1"/>
  <c r="I1128" i="1"/>
  <c r="J1128" i="1"/>
  <c r="K1128" i="1"/>
  <c r="L1128" i="1"/>
  <c r="A1129" i="1"/>
  <c r="B1129" i="1"/>
  <c r="C1129" i="1"/>
  <c r="D1129" i="1"/>
  <c r="E1129" i="1" s="1"/>
  <c r="F1129" i="1"/>
  <c r="G1129" i="1"/>
  <c r="I1129" i="1"/>
  <c r="J1129" i="1"/>
  <c r="K1129" i="1"/>
  <c r="L1129" i="1"/>
  <c r="A1130" i="1"/>
  <c r="B1130" i="1"/>
  <c r="C1130" i="1"/>
  <c r="D1130" i="1"/>
  <c r="E1130" i="1" s="1"/>
  <c r="F1130" i="1"/>
  <c r="G1130" i="1"/>
  <c r="I1130" i="1"/>
  <c r="J1130" i="1"/>
  <c r="K1130" i="1"/>
  <c r="L1130" i="1"/>
  <c r="A1131" i="1"/>
  <c r="B1131" i="1"/>
  <c r="C1131" i="1"/>
  <c r="D1131" i="1"/>
  <c r="F1131" i="1"/>
  <c r="G1131" i="1"/>
  <c r="I1131" i="1"/>
  <c r="J1131" i="1"/>
  <c r="K1131" i="1"/>
  <c r="L1131" i="1"/>
  <c r="A1132" i="1"/>
  <c r="B1132" i="1"/>
  <c r="C1132" i="1"/>
  <c r="D1132" i="1"/>
  <c r="E1132" i="1" s="1"/>
  <c r="F1132" i="1"/>
  <c r="G1132" i="1"/>
  <c r="I1132" i="1"/>
  <c r="J1132" i="1"/>
  <c r="K1132" i="1"/>
  <c r="L1132" i="1"/>
  <c r="A1133" i="1"/>
  <c r="B1133" i="1"/>
  <c r="C1133" i="1"/>
  <c r="D1133" i="1"/>
  <c r="E1133" i="1" s="1"/>
  <c r="F1133" i="1"/>
  <c r="G1133" i="1"/>
  <c r="I1133" i="1"/>
  <c r="J1133" i="1"/>
  <c r="K1133" i="1"/>
  <c r="L1133" i="1"/>
  <c r="A1134" i="1"/>
  <c r="B1134" i="1"/>
  <c r="C1134" i="1"/>
  <c r="D1134" i="1"/>
  <c r="E1134" i="1" s="1"/>
  <c r="F1134" i="1"/>
  <c r="G1134" i="1"/>
  <c r="I1134" i="1"/>
  <c r="J1134" i="1"/>
  <c r="K1134" i="1"/>
  <c r="L1134" i="1"/>
  <c r="A1135" i="1"/>
  <c r="B1135" i="1"/>
  <c r="C1135" i="1"/>
  <c r="D1135" i="1"/>
  <c r="E1135" i="1" s="1"/>
  <c r="F1135" i="1"/>
  <c r="G1135" i="1"/>
  <c r="I1135" i="1"/>
  <c r="J1135" i="1"/>
  <c r="K1135" i="1"/>
  <c r="L1135" i="1"/>
  <c r="A1136" i="1"/>
  <c r="B1136" i="1"/>
  <c r="C1136" i="1"/>
  <c r="D1136" i="1"/>
  <c r="E1136" i="1" s="1"/>
  <c r="F1136" i="1"/>
  <c r="G1136" i="1"/>
  <c r="I1136" i="1"/>
  <c r="J1136" i="1"/>
  <c r="K1136" i="1"/>
  <c r="L1136" i="1"/>
  <c r="A1137" i="1"/>
  <c r="B1137" i="1"/>
  <c r="C1137" i="1"/>
  <c r="D1137" i="1"/>
  <c r="E1137" i="1" s="1"/>
  <c r="F1137" i="1"/>
  <c r="G1137" i="1"/>
  <c r="I1137" i="1"/>
  <c r="J1137" i="1"/>
  <c r="K1137" i="1"/>
  <c r="L1137" i="1"/>
  <c r="A1138" i="1"/>
  <c r="B1138" i="1"/>
  <c r="C1138" i="1"/>
  <c r="D1138" i="1"/>
  <c r="E1138" i="1" s="1"/>
  <c r="F1138" i="1"/>
  <c r="G1138" i="1"/>
  <c r="I1138" i="1"/>
  <c r="J1138" i="1"/>
  <c r="K1138" i="1"/>
  <c r="L1138" i="1"/>
  <c r="A1139" i="1"/>
  <c r="B1139" i="1"/>
  <c r="C1139" i="1"/>
  <c r="D1139" i="1"/>
  <c r="E1139" i="1" s="1"/>
  <c r="F1139" i="1"/>
  <c r="G1139" i="1"/>
  <c r="I1139" i="1"/>
  <c r="J1139" i="1"/>
  <c r="K1139" i="1"/>
  <c r="L1139" i="1"/>
  <c r="A1140" i="1"/>
  <c r="B1140" i="1"/>
  <c r="C1140" i="1"/>
  <c r="D1140" i="1"/>
  <c r="E1140" i="1" s="1"/>
  <c r="F1140" i="1"/>
  <c r="G1140" i="1"/>
  <c r="I1140" i="1"/>
  <c r="J1140" i="1"/>
  <c r="K1140" i="1"/>
  <c r="L1140" i="1"/>
  <c r="A1141" i="1"/>
  <c r="B1141" i="1"/>
  <c r="C1141" i="1"/>
  <c r="D1141" i="1"/>
  <c r="E1141" i="1" s="1"/>
  <c r="F1141" i="1"/>
  <c r="G1141" i="1"/>
  <c r="I1141" i="1"/>
  <c r="J1141" i="1"/>
  <c r="K1141" i="1"/>
  <c r="L1141" i="1"/>
  <c r="A1142" i="1"/>
  <c r="B1142" i="1"/>
  <c r="C1142" i="1"/>
  <c r="D1142" i="1"/>
  <c r="E1142" i="1" s="1"/>
  <c r="F1142" i="1"/>
  <c r="G1142" i="1"/>
  <c r="I1142" i="1"/>
  <c r="J1142" i="1"/>
  <c r="K1142" i="1"/>
  <c r="L1142" i="1"/>
  <c r="A1143" i="1"/>
  <c r="B1143" i="1"/>
  <c r="C1143" i="1"/>
  <c r="D1143" i="1"/>
  <c r="E1143" i="1" s="1"/>
  <c r="F1143" i="1"/>
  <c r="G1143" i="1"/>
  <c r="I1143" i="1"/>
  <c r="J1143" i="1"/>
  <c r="K1143" i="1"/>
  <c r="L1143" i="1"/>
  <c r="A1144" i="1"/>
  <c r="B1144" i="1"/>
  <c r="C1144" i="1"/>
  <c r="D1144" i="1"/>
  <c r="E1144" i="1" s="1"/>
  <c r="F1144" i="1"/>
  <c r="G1144" i="1"/>
  <c r="I1144" i="1"/>
  <c r="J1144" i="1"/>
  <c r="K1144" i="1"/>
  <c r="L1144" i="1"/>
  <c r="A1145" i="1"/>
  <c r="B1145" i="1"/>
  <c r="C1145" i="1"/>
  <c r="D1145" i="1"/>
  <c r="E1145" i="1" s="1"/>
  <c r="F1145" i="1"/>
  <c r="G1145" i="1"/>
  <c r="I1145" i="1"/>
  <c r="J1145" i="1"/>
  <c r="K1145" i="1"/>
  <c r="L1145" i="1"/>
  <c r="A1146" i="1"/>
  <c r="B1146" i="1"/>
  <c r="C1146" i="1"/>
  <c r="D1146" i="1"/>
  <c r="E1146" i="1" s="1"/>
  <c r="F1146" i="1"/>
  <c r="G1146" i="1"/>
  <c r="I1146" i="1"/>
  <c r="J1146" i="1"/>
  <c r="K1146" i="1"/>
  <c r="L1146" i="1"/>
  <c r="A1147" i="1"/>
  <c r="B1147" i="1"/>
  <c r="C1147" i="1"/>
  <c r="D1147" i="1"/>
  <c r="F1147" i="1"/>
  <c r="G1147" i="1"/>
  <c r="I1147" i="1"/>
  <c r="J1147" i="1"/>
  <c r="K1147" i="1"/>
  <c r="L1147" i="1"/>
  <c r="A1148" i="1"/>
  <c r="B1148" i="1"/>
  <c r="C1148" i="1"/>
  <c r="D1148" i="1"/>
  <c r="E1148" i="1" s="1"/>
  <c r="F1148" i="1"/>
  <c r="G1148" i="1"/>
  <c r="I1148" i="1"/>
  <c r="J1148" i="1"/>
  <c r="K1148" i="1"/>
  <c r="L1148" i="1"/>
  <c r="A1149" i="1"/>
  <c r="B1149" i="1"/>
  <c r="C1149" i="1"/>
  <c r="D1149" i="1"/>
  <c r="E1149" i="1" s="1"/>
  <c r="F1149" i="1"/>
  <c r="G1149" i="1"/>
  <c r="I1149" i="1"/>
  <c r="J1149" i="1"/>
  <c r="K1149" i="1"/>
  <c r="L1149" i="1"/>
  <c r="A1150" i="1"/>
  <c r="B1150" i="1"/>
  <c r="C1150" i="1"/>
  <c r="D1150" i="1"/>
  <c r="E1150" i="1" s="1"/>
  <c r="F1150" i="1"/>
  <c r="G1150" i="1"/>
  <c r="I1150" i="1"/>
  <c r="J1150" i="1"/>
  <c r="K1150" i="1"/>
  <c r="L1150" i="1"/>
  <c r="A1151" i="1"/>
  <c r="B1151" i="1"/>
  <c r="C1151" i="1"/>
  <c r="D1151" i="1"/>
  <c r="E1151" i="1" s="1"/>
  <c r="F1151" i="1"/>
  <c r="G1151" i="1"/>
  <c r="I1151" i="1"/>
  <c r="J1151" i="1"/>
  <c r="K1151" i="1"/>
  <c r="L1151" i="1"/>
  <c r="A1152" i="1"/>
  <c r="B1152" i="1"/>
  <c r="C1152" i="1"/>
  <c r="D1152" i="1"/>
  <c r="E1152" i="1" s="1"/>
  <c r="F1152" i="1"/>
  <c r="G1152" i="1"/>
  <c r="I1152" i="1"/>
  <c r="J1152" i="1"/>
  <c r="K1152" i="1"/>
  <c r="L1152" i="1"/>
  <c r="A1153" i="1"/>
  <c r="B1153" i="1"/>
  <c r="C1153" i="1"/>
  <c r="D1153" i="1"/>
  <c r="E1153" i="1" s="1"/>
  <c r="H1153" i="1" s="1"/>
  <c r="F1153" i="1"/>
  <c r="G1153" i="1"/>
  <c r="I1153" i="1"/>
  <c r="J1153" i="1"/>
  <c r="K1153" i="1"/>
  <c r="L1153" i="1"/>
  <c r="A1154" i="1"/>
  <c r="B1154" i="1"/>
  <c r="C1154" i="1"/>
  <c r="D1154" i="1"/>
  <c r="E1154" i="1" s="1"/>
  <c r="H1154" i="1" s="1"/>
  <c r="F1154" i="1"/>
  <c r="G1154" i="1"/>
  <c r="I1154" i="1"/>
  <c r="J1154" i="1"/>
  <c r="K1154" i="1"/>
  <c r="L1154" i="1"/>
  <c r="A1155" i="1"/>
  <c r="B1155" i="1"/>
  <c r="C1155" i="1"/>
  <c r="D1155" i="1"/>
  <c r="E1155" i="1" s="1"/>
  <c r="H1155" i="1" s="1"/>
  <c r="F1155" i="1"/>
  <c r="G1155" i="1"/>
  <c r="I1155" i="1"/>
  <c r="J1155" i="1"/>
  <c r="K1155" i="1"/>
  <c r="L1155" i="1"/>
  <c r="A1156" i="1"/>
  <c r="B1156" i="1"/>
  <c r="C1156" i="1"/>
  <c r="D1156" i="1"/>
  <c r="E1156" i="1" s="1"/>
  <c r="H1156" i="1" s="1"/>
  <c r="F1156" i="1"/>
  <c r="G1156" i="1"/>
  <c r="I1156" i="1"/>
  <c r="J1156" i="1"/>
  <c r="K1156" i="1"/>
  <c r="L1156" i="1"/>
  <c r="A1157" i="1"/>
  <c r="B1157" i="1"/>
  <c r="C1157" i="1"/>
  <c r="D1157" i="1"/>
  <c r="E1157" i="1" s="1"/>
  <c r="H1157" i="1" s="1"/>
  <c r="F1157" i="1"/>
  <c r="G1157" i="1"/>
  <c r="I1157" i="1"/>
  <c r="J1157" i="1"/>
  <c r="K1157" i="1"/>
  <c r="L1157" i="1"/>
  <c r="A1158" i="1"/>
  <c r="B1158" i="1"/>
  <c r="C1158" i="1"/>
  <c r="D1158" i="1"/>
  <c r="E1158" i="1" s="1"/>
  <c r="H1158" i="1" s="1"/>
  <c r="F1158" i="1"/>
  <c r="G1158" i="1"/>
  <c r="I1158" i="1"/>
  <c r="J1158" i="1"/>
  <c r="K1158" i="1"/>
  <c r="L1158" i="1"/>
  <c r="A1159" i="1"/>
  <c r="B1159" i="1"/>
  <c r="C1159" i="1"/>
  <c r="D1159" i="1"/>
  <c r="E1159" i="1" s="1"/>
  <c r="H1159" i="1" s="1"/>
  <c r="F1159" i="1"/>
  <c r="G1159" i="1"/>
  <c r="I1159" i="1"/>
  <c r="J1159" i="1"/>
  <c r="K1159" i="1"/>
  <c r="L1159" i="1"/>
  <c r="A1160" i="1"/>
  <c r="B1160" i="1"/>
  <c r="C1160" i="1"/>
  <c r="D1160" i="1"/>
  <c r="E1160" i="1" s="1"/>
  <c r="H1160" i="1" s="1"/>
  <c r="F1160" i="1"/>
  <c r="G1160" i="1"/>
  <c r="I1160" i="1"/>
  <c r="J1160" i="1"/>
  <c r="K1160" i="1"/>
  <c r="L1160" i="1"/>
  <c r="A1161" i="1"/>
  <c r="B1161" i="1"/>
  <c r="C1161" i="1"/>
  <c r="D1161" i="1"/>
  <c r="E1161" i="1" s="1"/>
  <c r="H1161" i="1" s="1"/>
  <c r="F1161" i="1"/>
  <c r="G1161" i="1"/>
  <c r="I1161" i="1"/>
  <c r="J1161" i="1"/>
  <c r="K1161" i="1"/>
  <c r="L1161" i="1"/>
  <c r="A1162" i="1"/>
  <c r="B1162" i="1"/>
  <c r="C1162" i="1"/>
  <c r="D1162" i="1"/>
  <c r="E1162" i="1" s="1"/>
  <c r="H1162" i="1" s="1"/>
  <c r="F1162" i="1"/>
  <c r="G1162" i="1"/>
  <c r="I1162" i="1"/>
  <c r="J1162" i="1"/>
  <c r="K1162" i="1"/>
  <c r="L1162" i="1"/>
  <c r="A1163" i="1"/>
  <c r="B1163" i="1"/>
  <c r="C1163" i="1"/>
  <c r="D1163" i="1"/>
  <c r="E1163" i="1" s="1"/>
  <c r="H1163" i="1" s="1"/>
  <c r="F1163" i="1"/>
  <c r="G1163" i="1"/>
  <c r="I1163" i="1"/>
  <c r="J1163" i="1"/>
  <c r="K1163" i="1"/>
  <c r="L1163" i="1"/>
  <c r="A1164" i="1"/>
  <c r="B1164" i="1"/>
  <c r="C1164" i="1"/>
  <c r="D1164" i="1"/>
  <c r="E1164" i="1" s="1"/>
  <c r="H1164" i="1" s="1"/>
  <c r="F1164" i="1"/>
  <c r="G1164" i="1"/>
  <c r="I1164" i="1"/>
  <c r="J1164" i="1"/>
  <c r="K1164" i="1"/>
  <c r="L1164" i="1"/>
  <c r="A1165" i="1"/>
  <c r="B1165" i="1"/>
  <c r="C1165" i="1"/>
  <c r="D1165" i="1"/>
  <c r="E1165" i="1" s="1"/>
  <c r="H1165" i="1" s="1"/>
  <c r="F1165" i="1"/>
  <c r="G1165" i="1"/>
  <c r="I1165" i="1"/>
  <c r="J1165" i="1"/>
  <c r="K1165" i="1"/>
  <c r="L1165" i="1"/>
  <c r="A1166" i="1"/>
  <c r="B1166" i="1"/>
  <c r="C1166" i="1"/>
  <c r="D1166" i="1"/>
  <c r="E1166" i="1" s="1"/>
  <c r="H1166" i="1" s="1"/>
  <c r="F1166" i="1"/>
  <c r="G1166" i="1"/>
  <c r="I1166" i="1"/>
  <c r="J1166" i="1"/>
  <c r="K1166" i="1"/>
  <c r="L1166" i="1"/>
  <c r="A1167" i="1"/>
  <c r="B1167" i="1"/>
  <c r="C1167" i="1"/>
  <c r="D1167" i="1"/>
  <c r="E1167" i="1" s="1"/>
  <c r="H1167" i="1" s="1"/>
  <c r="F1167" i="1"/>
  <c r="G1167" i="1"/>
  <c r="I1167" i="1"/>
  <c r="J1167" i="1"/>
  <c r="K1167" i="1"/>
  <c r="L1167" i="1"/>
  <c r="A1168" i="1"/>
  <c r="B1168" i="1"/>
  <c r="C1168" i="1"/>
  <c r="D1168" i="1"/>
  <c r="E1168" i="1" s="1"/>
  <c r="H1168" i="1" s="1"/>
  <c r="F1168" i="1"/>
  <c r="G1168" i="1"/>
  <c r="I1168" i="1"/>
  <c r="J1168" i="1"/>
  <c r="K1168" i="1"/>
  <c r="L1168" i="1"/>
  <c r="A1169" i="1"/>
  <c r="B1169" i="1"/>
  <c r="C1169" i="1"/>
  <c r="D1169" i="1"/>
  <c r="E1169" i="1" s="1"/>
  <c r="H1169" i="1" s="1"/>
  <c r="F1169" i="1"/>
  <c r="G1169" i="1"/>
  <c r="I1169" i="1"/>
  <c r="J1169" i="1"/>
  <c r="K1169" i="1"/>
  <c r="L1169" i="1"/>
  <c r="A1170" i="1"/>
  <c r="B1170" i="1"/>
  <c r="C1170" i="1"/>
  <c r="D1170" i="1"/>
  <c r="E1170" i="1" s="1"/>
  <c r="H1170" i="1" s="1"/>
  <c r="F1170" i="1"/>
  <c r="G1170" i="1"/>
  <c r="I1170" i="1"/>
  <c r="J1170" i="1"/>
  <c r="K1170" i="1"/>
  <c r="L1170" i="1"/>
  <c r="A1171" i="1"/>
  <c r="B1171" i="1"/>
  <c r="C1171" i="1"/>
  <c r="D1171" i="1"/>
  <c r="E1171" i="1" s="1"/>
  <c r="H1171" i="1" s="1"/>
  <c r="F1171" i="1"/>
  <c r="G1171" i="1"/>
  <c r="I1171" i="1"/>
  <c r="J1171" i="1"/>
  <c r="K1171" i="1"/>
  <c r="L1171" i="1"/>
  <c r="A1172" i="1"/>
  <c r="B1172" i="1"/>
  <c r="C1172" i="1"/>
  <c r="D1172" i="1"/>
  <c r="E1172" i="1" s="1"/>
  <c r="H1172" i="1" s="1"/>
  <c r="F1172" i="1"/>
  <c r="G1172" i="1"/>
  <c r="I1172" i="1"/>
  <c r="J1172" i="1"/>
  <c r="K1172" i="1"/>
  <c r="L1172" i="1"/>
  <c r="A1173" i="1"/>
  <c r="B1173" i="1"/>
  <c r="C1173" i="1"/>
  <c r="D1173" i="1"/>
  <c r="E1173" i="1" s="1"/>
  <c r="H1173" i="1" s="1"/>
  <c r="F1173" i="1"/>
  <c r="G1173" i="1"/>
  <c r="I1173" i="1"/>
  <c r="J1173" i="1"/>
  <c r="K1173" i="1"/>
  <c r="L1173" i="1"/>
  <c r="A1174" i="1"/>
  <c r="B1174" i="1"/>
  <c r="C1174" i="1"/>
  <c r="D1174" i="1"/>
  <c r="E1174" i="1" s="1"/>
  <c r="H1174" i="1" s="1"/>
  <c r="F1174" i="1"/>
  <c r="G1174" i="1"/>
  <c r="I1174" i="1"/>
  <c r="J1174" i="1"/>
  <c r="K1174" i="1"/>
  <c r="L1174" i="1"/>
  <c r="A1175" i="1"/>
  <c r="B1175" i="1"/>
  <c r="C1175" i="1"/>
  <c r="D1175" i="1"/>
  <c r="E1175" i="1" s="1"/>
  <c r="H1175" i="1" s="1"/>
  <c r="F1175" i="1"/>
  <c r="G1175" i="1"/>
  <c r="I1175" i="1"/>
  <c r="J1175" i="1"/>
  <c r="K1175" i="1"/>
  <c r="L1175" i="1"/>
  <c r="A1176" i="1"/>
  <c r="B1176" i="1"/>
  <c r="C1176" i="1"/>
  <c r="D1176" i="1"/>
  <c r="E1176" i="1" s="1"/>
  <c r="H1176" i="1" s="1"/>
  <c r="F1176" i="1"/>
  <c r="G1176" i="1"/>
  <c r="I1176" i="1"/>
  <c r="J1176" i="1"/>
  <c r="K1176" i="1"/>
  <c r="L1176" i="1"/>
  <c r="A1177" i="1"/>
  <c r="B1177" i="1"/>
  <c r="C1177" i="1"/>
  <c r="D1177" i="1"/>
  <c r="E1177" i="1" s="1"/>
  <c r="H1177" i="1" s="1"/>
  <c r="F1177" i="1"/>
  <c r="G1177" i="1"/>
  <c r="I1177" i="1"/>
  <c r="J1177" i="1"/>
  <c r="K1177" i="1"/>
  <c r="L1177" i="1"/>
  <c r="A1178" i="1"/>
  <c r="B1178" i="1"/>
  <c r="C1178" i="1"/>
  <c r="D1178" i="1"/>
  <c r="E1178" i="1" s="1"/>
  <c r="H1178" i="1" s="1"/>
  <c r="F1178" i="1"/>
  <c r="G1178" i="1"/>
  <c r="I1178" i="1"/>
  <c r="J1178" i="1"/>
  <c r="K1178" i="1"/>
  <c r="L1178" i="1"/>
  <c r="A1179" i="1"/>
  <c r="B1179" i="1"/>
  <c r="C1179" i="1"/>
  <c r="D1179" i="1"/>
  <c r="E1179" i="1" s="1"/>
  <c r="H1179" i="1" s="1"/>
  <c r="F1179" i="1"/>
  <c r="G1179" i="1"/>
  <c r="I1179" i="1"/>
  <c r="J1179" i="1"/>
  <c r="K1179" i="1"/>
  <c r="L1179" i="1"/>
  <c r="A1180" i="1"/>
  <c r="B1180" i="1"/>
  <c r="C1180" i="1"/>
  <c r="D1180" i="1"/>
  <c r="E1180" i="1" s="1"/>
  <c r="H1180" i="1" s="1"/>
  <c r="F1180" i="1"/>
  <c r="G1180" i="1"/>
  <c r="I1180" i="1"/>
  <c r="J1180" i="1"/>
  <c r="K1180" i="1"/>
  <c r="L1180" i="1"/>
  <c r="A1181" i="1"/>
  <c r="B1181" i="1"/>
  <c r="C1181" i="1"/>
  <c r="D1181" i="1"/>
  <c r="E1181" i="1" s="1"/>
  <c r="H1181" i="1" s="1"/>
  <c r="F1181" i="1"/>
  <c r="G1181" i="1"/>
  <c r="I1181" i="1"/>
  <c r="J1181" i="1"/>
  <c r="K1181" i="1"/>
  <c r="L1181" i="1"/>
  <c r="A1182" i="1"/>
  <c r="B1182" i="1"/>
  <c r="C1182" i="1"/>
  <c r="D1182" i="1"/>
  <c r="E1182" i="1" s="1"/>
  <c r="H1182" i="1" s="1"/>
  <c r="F1182" i="1"/>
  <c r="G1182" i="1"/>
  <c r="I1182" i="1"/>
  <c r="J1182" i="1"/>
  <c r="K1182" i="1"/>
  <c r="L1182" i="1"/>
  <c r="A1183" i="1"/>
  <c r="B1183" i="1"/>
  <c r="C1183" i="1"/>
  <c r="D1183" i="1"/>
  <c r="E1183" i="1" s="1"/>
  <c r="H1183" i="1" s="1"/>
  <c r="F1183" i="1"/>
  <c r="G1183" i="1"/>
  <c r="I1183" i="1"/>
  <c r="J1183" i="1"/>
  <c r="K1183" i="1"/>
  <c r="L1183" i="1"/>
  <c r="A1184" i="1"/>
  <c r="B1184" i="1"/>
  <c r="C1184" i="1"/>
  <c r="D1184" i="1"/>
  <c r="E1184" i="1" s="1"/>
  <c r="H1184" i="1" s="1"/>
  <c r="F1184" i="1"/>
  <c r="G1184" i="1"/>
  <c r="I1184" i="1"/>
  <c r="J1184" i="1"/>
  <c r="K1184" i="1"/>
  <c r="L1184" i="1"/>
  <c r="A1185" i="1"/>
  <c r="B1185" i="1"/>
  <c r="C1185" i="1"/>
  <c r="D1185" i="1"/>
  <c r="E1185" i="1" s="1"/>
  <c r="H1185" i="1" s="1"/>
  <c r="F1185" i="1"/>
  <c r="G1185" i="1"/>
  <c r="I1185" i="1"/>
  <c r="J1185" i="1"/>
  <c r="K1185" i="1"/>
  <c r="L1185" i="1"/>
  <c r="A1186" i="1"/>
  <c r="B1186" i="1"/>
  <c r="C1186" i="1"/>
  <c r="D1186" i="1"/>
  <c r="E1186" i="1" s="1"/>
  <c r="H1186" i="1" s="1"/>
  <c r="F1186" i="1"/>
  <c r="G1186" i="1"/>
  <c r="I1186" i="1"/>
  <c r="J1186" i="1"/>
  <c r="K1186" i="1"/>
  <c r="L1186" i="1"/>
  <c r="A1187" i="1"/>
  <c r="B1187" i="1"/>
  <c r="C1187" i="1"/>
  <c r="D1187" i="1"/>
  <c r="E1187" i="1" s="1"/>
  <c r="H1187" i="1" s="1"/>
  <c r="F1187" i="1"/>
  <c r="G1187" i="1"/>
  <c r="I1187" i="1"/>
  <c r="J1187" i="1"/>
  <c r="K1187" i="1"/>
  <c r="L1187" i="1"/>
  <c r="A1188" i="1"/>
  <c r="B1188" i="1"/>
  <c r="C1188" i="1"/>
  <c r="D1188" i="1"/>
  <c r="E1188" i="1" s="1"/>
  <c r="H1188" i="1" s="1"/>
  <c r="F1188" i="1"/>
  <c r="G1188" i="1"/>
  <c r="I1188" i="1"/>
  <c r="J1188" i="1"/>
  <c r="K1188" i="1"/>
  <c r="L1188" i="1"/>
  <c r="A1189" i="1"/>
  <c r="B1189" i="1"/>
  <c r="C1189" i="1"/>
  <c r="D1189" i="1"/>
  <c r="E1189" i="1" s="1"/>
  <c r="H1189" i="1" s="1"/>
  <c r="F1189" i="1"/>
  <c r="G1189" i="1"/>
  <c r="I1189" i="1"/>
  <c r="J1189" i="1"/>
  <c r="K1189" i="1"/>
  <c r="L1189" i="1"/>
  <c r="A1190" i="1"/>
  <c r="B1190" i="1"/>
  <c r="C1190" i="1"/>
  <c r="D1190" i="1"/>
  <c r="E1190" i="1" s="1"/>
  <c r="H1190" i="1" s="1"/>
  <c r="F1190" i="1"/>
  <c r="G1190" i="1"/>
  <c r="I1190" i="1"/>
  <c r="J1190" i="1"/>
  <c r="K1190" i="1"/>
  <c r="L1190" i="1"/>
  <c r="A1191" i="1"/>
  <c r="B1191" i="1"/>
  <c r="C1191" i="1"/>
  <c r="D1191" i="1"/>
  <c r="E1191" i="1" s="1"/>
  <c r="H1191" i="1" s="1"/>
  <c r="F1191" i="1"/>
  <c r="G1191" i="1"/>
  <c r="I1191" i="1"/>
  <c r="J1191" i="1"/>
  <c r="K1191" i="1"/>
  <c r="L1191" i="1"/>
  <c r="A1192" i="1"/>
  <c r="B1192" i="1"/>
  <c r="C1192" i="1"/>
  <c r="D1192" i="1"/>
  <c r="E1192" i="1" s="1"/>
  <c r="H1192" i="1" s="1"/>
  <c r="F1192" i="1"/>
  <c r="G1192" i="1"/>
  <c r="I1192" i="1"/>
  <c r="J1192" i="1"/>
  <c r="K1192" i="1"/>
  <c r="L1192" i="1"/>
  <c r="A1193" i="1"/>
  <c r="B1193" i="1"/>
  <c r="C1193" i="1"/>
  <c r="D1193" i="1"/>
  <c r="E1193" i="1" s="1"/>
  <c r="H1193" i="1" s="1"/>
  <c r="F1193" i="1"/>
  <c r="G1193" i="1"/>
  <c r="I1193" i="1"/>
  <c r="J1193" i="1"/>
  <c r="K1193" i="1"/>
  <c r="L1193" i="1"/>
  <c r="A1194" i="1"/>
  <c r="B1194" i="1"/>
  <c r="C1194" i="1"/>
  <c r="D1194" i="1"/>
  <c r="E1194" i="1" s="1"/>
  <c r="H1194" i="1" s="1"/>
  <c r="F1194" i="1"/>
  <c r="G1194" i="1"/>
  <c r="I1194" i="1"/>
  <c r="J1194" i="1"/>
  <c r="K1194" i="1"/>
  <c r="L1194" i="1"/>
  <c r="A1195" i="1"/>
  <c r="B1195" i="1"/>
  <c r="C1195" i="1"/>
  <c r="D1195" i="1"/>
  <c r="E1195" i="1" s="1"/>
  <c r="H1195" i="1" s="1"/>
  <c r="F1195" i="1"/>
  <c r="G1195" i="1"/>
  <c r="I1195" i="1"/>
  <c r="J1195" i="1"/>
  <c r="K1195" i="1"/>
  <c r="L1195" i="1"/>
  <c r="A1196" i="1"/>
  <c r="B1196" i="1"/>
  <c r="C1196" i="1"/>
  <c r="D1196" i="1"/>
  <c r="E1196" i="1" s="1"/>
  <c r="H1196" i="1" s="1"/>
  <c r="F1196" i="1"/>
  <c r="G1196" i="1"/>
  <c r="I1196" i="1"/>
  <c r="J1196" i="1"/>
  <c r="K1196" i="1"/>
  <c r="L1196" i="1"/>
  <c r="A1197" i="1"/>
  <c r="B1197" i="1"/>
  <c r="C1197" i="1"/>
  <c r="D1197" i="1"/>
  <c r="E1197" i="1" s="1"/>
  <c r="H1197" i="1" s="1"/>
  <c r="F1197" i="1"/>
  <c r="G1197" i="1"/>
  <c r="I1197" i="1"/>
  <c r="J1197" i="1"/>
  <c r="K1197" i="1"/>
  <c r="L1197" i="1"/>
  <c r="A1198" i="1"/>
  <c r="B1198" i="1"/>
  <c r="C1198" i="1"/>
  <c r="D1198" i="1"/>
  <c r="E1198" i="1" s="1"/>
  <c r="H1198" i="1" s="1"/>
  <c r="F1198" i="1"/>
  <c r="G1198" i="1"/>
  <c r="I1198" i="1"/>
  <c r="J1198" i="1"/>
  <c r="K1198" i="1"/>
  <c r="L1198" i="1"/>
  <c r="A1199" i="1"/>
  <c r="B1199" i="1"/>
  <c r="C1199" i="1"/>
  <c r="D1199" i="1"/>
  <c r="E1199" i="1" s="1"/>
  <c r="H1199" i="1" s="1"/>
  <c r="F1199" i="1"/>
  <c r="G1199" i="1"/>
  <c r="I1199" i="1"/>
  <c r="J1199" i="1"/>
  <c r="K1199" i="1"/>
  <c r="L1199" i="1"/>
  <c r="A1200" i="1"/>
  <c r="B1200" i="1"/>
  <c r="C1200" i="1"/>
  <c r="D1200" i="1"/>
  <c r="E1200" i="1" s="1"/>
  <c r="H1200" i="1" s="1"/>
  <c r="F1200" i="1"/>
  <c r="G1200" i="1"/>
  <c r="I1200" i="1"/>
  <c r="J1200" i="1"/>
  <c r="K1200" i="1"/>
  <c r="L1200" i="1"/>
  <c r="A1201" i="1"/>
  <c r="B1201" i="1"/>
  <c r="C1201" i="1"/>
  <c r="D1201" i="1"/>
  <c r="E1201" i="1" s="1"/>
  <c r="H1201" i="1" s="1"/>
  <c r="F1201" i="1"/>
  <c r="G1201" i="1"/>
  <c r="I1201" i="1"/>
  <c r="J1201" i="1"/>
  <c r="K1201" i="1"/>
  <c r="L1201" i="1"/>
  <c r="A1202" i="1"/>
  <c r="B1202" i="1"/>
  <c r="C1202" i="1"/>
  <c r="D1202" i="1"/>
  <c r="E1202" i="1" s="1"/>
  <c r="H1202" i="1" s="1"/>
  <c r="F1202" i="1"/>
  <c r="G1202" i="1"/>
  <c r="I1202" i="1"/>
  <c r="J1202" i="1"/>
  <c r="K1202" i="1"/>
  <c r="L1202" i="1"/>
  <c r="A1203" i="1"/>
  <c r="B1203" i="1"/>
  <c r="C1203" i="1"/>
  <c r="D1203" i="1"/>
  <c r="E1203" i="1" s="1"/>
  <c r="H1203" i="1" s="1"/>
  <c r="F1203" i="1"/>
  <c r="G1203" i="1"/>
  <c r="I1203" i="1"/>
  <c r="J1203" i="1"/>
  <c r="K1203" i="1"/>
  <c r="L1203" i="1"/>
  <c r="A1204" i="1"/>
  <c r="B1204" i="1"/>
  <c r="C1204" i="1"/>
  <c r="D1204" i="1"/>
  <c r="E1204" i="1" s="1"/>
  <c r="H1204" i="1" s="1"/>
  <c r="F1204" i="1"/>
  <c r="G1204" i="1"/>
  <c r="I1204" i="1"/>
  <c r="J1204" i="1"/>
  <c r="K1204" i="1"/>
  <c r="L1204" i="1"/>
  <c r="A1205" i="1"/>
  <c r="B1205" i="1"/>
  <c r="C1205" i="1"/>
  <c r="D1205" i="1"/>
  <c r="E1205" i="1" s="1"/>
  <c r="H1205" i="1" s="1"/>
  <c r="F1205" i="1"/>
  <c r="G1205" i="1"/>
  <c r="I1205" i="1"/>
  <c r="J1205" i="1"/>
  <c r="K1205" i="1"/>
  <c r="L1205" i="1"/>
  <c r="A1206" i="1"/>
  <c r="B1206" i="1"/>
  <c r="C1206" i="1"/>
  <c r="D1206" i="1"/>
  <c r="E1206" i="1" s="1"/>
  <c r="H1206" i="1" s="1"/>
  <c r="F1206" i="1"/>
  <c r="G1206" i="1"/>
  <c r="I1206" i="1"/>
  <c r="J1206" i="1"/>
  <c r="K1206" i="1"/>
  <c r="L1206" i="1"/>
  <c r="A1207" i="1"/>
  <c r="B1207" i="1"/>
  <c r="C1207" i="1"/>
  <c r="D1207" i="1"/>
  <c r="E1207" i="1" s="1"/>
  <c r="H1207" i="1" s="1"/>
  <c r="F1207" i="1"/>
  <c r="G1207" i="1"/>
  <c r="I1207" i="1"/>
  <c r="J1207" i="1"/>
  <c r="K1207" i="1"/>
  <c r="L1207" i="1"/>
  <c r="A1208" i="1"/>
  <c r="B1208" i="1"/>
  <c r="C1208" i="1"/>
  <c r="D1208" i="1"/>
  <c r="E1208" i="1" s="1"/>
  <c r="H1208" i="1" s="1"/>
  <c r="F1208" i="1"/>
  <c r="G1208" i="1"/>
  <c r="I1208" i="1"/>
  <c r="J1208" i="1"/>
  <c r="K1208" i="1"/>
  <c r="L1208" i="1"/>
  <c r="A1209" i="1"/>
  <c r="B1209" i="1"/>
  <c r="C1209" i="1"/>
  <c r="D1209" i="1"/>
  <c r="E1209" i="1" s="1"/>
  <c r="H1209" i="1" s="1"/>
  <c r="F1209" i="1"/>
  <c r="G1209" i="1"/>
  <c r="I1209" i="1"/>
  <c r="J1209" i="1"/>
  <c r="K1209" i="1"/>
  <c r="L1209" i="1"/>
  <c r="A1210" i="1"/>
  <c r="B1210" i="1"/>
  <c r="C1210" i="1"/>
  <c r="D1210" i="1"/>
  <c r="E1210" i="1" s="1"/>
  <c r="H1210" i="1" s="1"/>
  <c r="F1210" i="1"/>
  <c r="G1210" i="1"/>
  <c r="I1210" i="1"/>
  <c r="J1210" i="1"/>
  <c r="K1210" i="1"/>
  <c r="L1210" i="1"/>
  <c r="A1211" i="1"/>
  <c r="B1211" i="1"/>
  <c r="C1211" i="1"/>
  <c r="D1211" i="1"/>
  <c r="E1211" i="1" s="1"/>
  <c r="H1211" i="1" s="1"/>
  <c r="F1211" i="1"/>
  <c r="G1211" i="1"/>
  <c r="I1211" i="1"/>
  <c r="J1211" i="1"/>
  <c r="K1211" i="1"/>
  <c r="L1211" i="1"/>
  <c r="A1212" i="1"/>
  <c r="B1212" i="1"/>
  <c r="C1212" i="1"/>
  <c r="D1212" i="1"/>
  <c r="E1212" i="1" s="1"/>
  <c r="H1212" i="1" s="1"/>
  <c r="F1212" i="1"/>
  <c r="G1212" i="1"/>
  <c r="I1212" i="1"/>
  <c r="J1212" i="1"/>
  <c r="K1212" i="1"/>
  <c r="L1212" i="1"/>
  <c r="A1213" i="1"/>
  <c r="B1213" i="1"/>
  <c r="C1213" i="1"/>
  <c r="D1213" i="1"/>
  <c r="E1213" i="1" s="1"/>
  <c r="H1213" i="1" s="1"/>
  <c r="F1213" i="1"/>
  <c r="G1213" i="1"/>
  <c r="I1213" i="1"/>
  <c r="J1213" i="1"/>
  <c r="K1213" i="1"/>
  <c r="L1213" i="1"/>
  <c r="A1214" i="1"/>
  <c r="B1214" i="1"/>
  <c r="C1214" i="1"/>
  <c r="D1214" i="1"/>
  <c r="E1214" i="1" s="1"/>
  <c r="H1214" i="1" s="1"/>
  <c r="F1214" i="1"/>
  <c r="G1214" i="1"/>
  <c r="I1214" i="1"/>
  <c r="J1214" i="1"/>
  <c r="K1214" i="1"/>
  <c r="L1214" i="1"/>
  <c r="A1215" i="1"/>
  <c r="B1215" i="1"/>
  <c r="C1215" i="1"/>
  <c r="D1215" i="1"/>
  <c r="E1215" i="1" s="1"/>
  <c r="H1215" i="1" s="1"/>
  <c r="F1215" i="1"/>
  <c r="G1215" i="1"/>
  <c r="I1215" i="1"/>
  <c r="J1215" i="1"/>
  <c r="K1215" i="1"/>
  <c r="L1215" i="1"/>
  <c r="A1216" i="1"/>
  <c r="B1216" i="1"/>
  <c r="C1216" i="1"/>
  <c r="D1216" i="1"/>
  <c r="E1216" i="1" s="1"/>
  <c r="H1216" i="1" s="1"/>
  <c r="F1216" i="1"/>
  <c r="G1216" i="1"/>
  <c r="I1216" i="1"/>
  <c r="J1216" i="1"/>
  <c r="K1216" i="1"/>
  <c r="L1216" i="1"/>
  <c r="A1217" i="1"/>
  <c r="B1217" i="1"/>
  <c r="C1217" i="1"/>
  <c r="D1217" i="1"/>
  <c r="E1217" i="1" s="1"/>
  <c r="H1217" i="1" s="1"/>
  <c r="F1217" i="1"/>
  <c r="G1217" i="1"/>
  <c r="I1217" i="1"/>
  <c r="J1217" i="1"/>
  <c r="K1217" i="1"/>
  <c r="L1217" i="1"/>
  <c r="A1218" i="1"/>
  <c r="B1218" i="1"/>
  <c r="C1218" i="1"/>
  <c r="D1218" i="1"/>
  <c r="E1218" i="1" s="1"/>
  <c r="H1218" i="1" s="1"/>
  <c r="F1218" i="1"/>
  <c r="G1218" i="1"/>
  <c r="I1218" i="1"/>
  <c r="J1218" i="1"/>
  <c r="K1218" i="1"/>
  <c r="L1218" i="1"/>
  <c r="A1219" i="1"/>
  <c r="B1219" i="1"/>
  <c r="C1219" i="1"/>
  <c r="D1219" i="1"/>
  <c r="E1219" i="1" s="1"/>
  <c r="H1219" i="1" s="1"/>
  <c r="F1219" i="1"/>
  <c r="G1219" i="1"/>
  <c r="I1219" i="1"/>
  <c r="J1219" i="1"/>
  <c r="K1219" i="1"/>
  <c r="L1219" i="1"/>
  <c r="A1220" i="1"/>
  <c r="B1220" i="1"/>
  <c r="C1220" i="1"/>
  <c r="D1220" i="1"/>
  <c r="E1220" i="1" s="1"/>
  <c r="H1220" i="1" s="1"/>
  <c r="F1220" i="1"/>
  <c r="G1220" i="1"/>
  <c r="I1220" i="1"/>
  <c r="J1220" i="1"/>
  <c r="K1220" i="1"/>
  <c r="L1220" i="1"/>
  <c r="A1221" i="1"/>
  <c r="B1221" i="1"/>
  <c r="C1221" i="1"/>
  <c r="D1221" i="1"/>
  <c r="E1221" i="1" s="1"/>
  <c r="H1221" i="1" s="1"/>
  <c r="F1221" i="1"/>
  <c r="G1221" i="1"/>
  <c r="I1221" i="1"/>
  <c r="J1221" i="1"/>
  <c r="K1221" i="1"/>
  <c r="L1221" i="1"/>
  <c r="A1222" i="1"/>
  <c r="B1222" i="1"/>
  <c r="C1222" i="1"/>
  <c r="D1222" i="1"/>
  <c r="E1222" i="1" s="1"/>
  <c r="H1222" i="1" s="1"/>
  <c r="F1222" i="1"/>
  <c r="G1222" i="1"/>
  <c r="I1222" i="1"/>
  <c r="J1222" i="1"/>
  <c r="K1222" i="1"/>
  <c r="L1222" i="1"/>
  <c r="A1223" i="1"/>
  <c r="B1223" i="1"/>
  <c r="C1223" i="1"/>
  <c r="D1223" i="1"/>
  <c r="E1223" i="1" s="1"/>
  <c r="H1223" i="1" s="1"/>
  <c r="F1223" i="1"/>
  <c r="G1223" i="1"/>
  <c r="I1223" i="1"/>
  <c r="J1223" i="1"/>
  <c r="K1223" i="1"/>
  <c r="L1223" i="1"/>
  <c r="A1224" i="1"/>
  <c r="B1224" i="1"/>
  <c r="C1224" i="1"/>
  <c r="D1224" i="1"/>
  <c r="E1224" i="1" s="1"/>
  <c r="H1224" i="1" s="1"/>
  <c r="F1224" i="1"/>
  <c r="G1224" i="1"/>
  <c r="I1224" i="1"/>
  <c r="J1224" i="1"/>
  <c r="K1224" i="1"/>
  <c r="L1224" i="1"/>
  <c r="A1225" i="1"/>
  <c r="B1225" i="1"/>
  <c r="C1225" i="1"/>
  <c r="D1225" i="1"/>
  <c r="E1225" i="1" s="1"/>
  <c r="H1225" i="1" s="1"/>
  <c r="F1225" i="1"/>
  <c r="G1225" i="1"/>
  <c r="I1225" i="1"/>
  <c r="J1225" i="1"/>
  <c r="K1225" i="1"/>
  <c r="L1225" i="1"/>
  <c r="A1226" i="1"/>
  <c r="B1226" i="1"/>
  <c r="C1226" i="1"/>
  <c r="D1226" i="1"/>
  <c r="E1226" i="1" s="1"/>
  <c r="H1226" i="1" s="1"/>
  <c r="F1226" i="1"/>
  <c r="G1226" i="1"/>
  <c r="I1226" i="1"/>
  <c r="J1226" i="1"/>
  <c r="K1226" i="1"/>
  <c r="L1226" i="1"/>
  <c r="A1227" i="1"/>
  <c r="B1227" i="1"/>
  <c r="C1227" i="1"/>
  <c r="D1227" i="1"/>
  <c r="E1227" i="1" s="1"/>
  <c r="H1227" i="1" s="1"/>
  <c r="F1227" i="1"/>
  <c r="G1227" i="1"/>
  <c r="I1227" i="1"/>
  <c r="J1227" i="1"/>
  <c r="K1227" i="1"/>
  <c r="L1227" i="1"/>
  <c r="A1228" i="1"/>
  <c r="B1228" i="1"/>
  <c r="C1228" i="1"/>
  <c r="D1228" i="1"/>
  <c r="E1228" i="1" s="1"/>
  <c r="H1228" i="1" s="1"/>
  <c r="F1228" i="1"/>
  <c r="G1228" i="1"/>
  <c r="I1228" i="1"/>
  <c r="J1228" i="1"/>
  <c r="K1228" i="1"/>
  <c r="L1228" i="1"/>
  <c r="A1229" i="1"/>
  <c r="B1229" i="1"/>
  <c r="C1229" i="1"/>
  <c r="D1229" i="1"/>
  <c r="E1229" i="1" s="1"/>
  <c r="H1229" i="1" s="1"/>
  <c r="F1229" i="1"/>
  <c r="G1229" i="1"/>
  <c r="I1229" i="1"/>
  <c r="J1229" i="1"/>
  <c r="K1229" i="1"/>
  <c r="L1229" i="1"/>
  <c r="A1230" i="1"/>
  <c r="B1230" i="1"/>
  <c r="C1230" i="1"/>
  <c r="D1230" i="1"/>
  <c r="E1230" i="1" s="1"/>
  <c r="H1230" i="1" s="1"/>
  <c r="F1230" i="1"/>
  <c r="G1230" i="1"/>
  <c r="I1230" i="1"/>
  <c r="J1230" i="1"/>
  <c r="K1230" i="1"/>
  <c r="L1230" i="1"/>
  <c r="A1231" i="1"/>
  <c r="B1231" i="1"/>
  <c r="C1231" i="1"/>
  <c r="D1231" i="1"/>
  <c r="E1231" i="1" s="1"/>
  <c r="H1231" i="1" s="1"/>
  <c r="F1231" i="1"/>
  <c r="G1231" i="1"/>
  <c r="I1231" i="1"/>
  <c r="J1231" i="1"/>
  <c r="K1231" i="1"/>
  <c r="L1231" i="1"/>
  <c r="A1232" i="1"/>
  <c r="B1232" i="1"/>
  <c r="C1232" i="1"/>
  <c r="D1232" i="1"/>
  <c r="E1232" i="1" s="1"/>
  <c r="H1232" i="1" s="1"/>
  <c r="F1232" i="1"/>
  <c r="G1232" i="1"/>
  <c r="I1232" i="1"/>
  <c r="J1232" i="1"/>
  <c r="K1232" i="1"/>
  <c r="L1232" i="1"/>
  <c r="A1233" i="1"/>
  <c r="B1233" i="1"/>
  <c r="C1233" i="1"/>
  <c r="D1233" i="1"/>
  <c r="E1233" i="1" s="1"/>
  <c r="H1233" i="1" s="1"/>
  <c r="F1233" i="1"/>
  <c r="G1233" i="1"/>
  <c r="I1233" i="1"/>
  <c r="J1233" i="1"/>
  <c r="K1233" i="1"/>
  <c r="L1233" i="1"/>
  <c r="A1234" i="1"/>
  <c r="B1234" i="1"/>
  <c r="C1234" i="1"/>
  <c r="D1234" i="1"/>
  <c r="E1234" i="1" s="1"/>
  <c r="H1234" i="1" s="1"/>
  <c r="F1234" i="1"/>
  <c r="G1234" i="1"/>
  <c r="I1234" i="1"/>
  <c r="J1234" i="1"/>
  <c r="K1234" i="1"/>
  <c r="L1234" i="1"/>
  <c r="A1235" i="1"/>
  <c r="B1235" i="1"/>
  <c r="C1235" i="1"/>
  <c r="D1235" i="1"/>
  <c r="E1235" i="1" s="1"/>
  <c r="H1235" i="1" s="1"/>
  <c r="F1235" i="1"/>
  <c r="G1235" i="1"/>
  <c r="I1235" i="1"/>
  <c r="J1235" i="1"/>
  <c r="K1235" i="1"/>
  <c r="L1235" i="1"/>
  <c r="A1236" i="1"/>
  <c r="B1236" i="1"/>
  <c r="C1236" i="1"/>
  <c r="D1236" i="1"/>
  <c r="E1236" i="1" s="1"/>
  <c r="H1236" i="1" s="1"/>
  <c r="F1236" i="1"/>
  <c r="G1236" i="1"/>
  <c r="I1236" i="1"/>
  <c r="J1236" i="1"/>
  <c r="K1236" i="1"/>
  <c r="L1236" i="1"/>
  <c r="A1237" i="1"/>
  <c r="B1237" i="1"/>
  <c r="C1237" i="1"/>
  <c r="D1237" i="1"/>
  <c r="E1237" i="1" s="1"/>
  <c r="H1237" i="1" s="1"/>
  <c r="F1237" i="1"/>
  <c r="G1237" i="1"/>
  <c r="I1237" i="1"/>
  <c r="J1237" i="1"/>
  <c r="K1237" i="1"/>
  <c r="L1237" i="1"/>
  <c r="A1238" i="1"/>
  <c r="B1238" i="1"/>
  <c r="C1238" i="1"/>
  <c r="D1238" i="1"/>
  <c r="E1238" i="1" s="1"/>
  <c r="H1238" i="1" s="1"/>
  <c r="F1238" i="1"/>
  <c r="G1238" i="1"/>
  <c r="I1238" i="1"/>
  <c r="J1238" i="1"/>
  <c r="K1238" i="1"/>
  <c r="L1238" i="1"/>
  <c r="A1239" i="1"/>
  <c r="B1239" i="1"/>
  <c r="C1239" i="1"/>
  <c r="D1239" i="1"/>
  <c r="E1239" i="1" s="1"/>
  <c r="H1239" i="1" s="1"/>
  <c r="F1239" i="1"/>
  <c r="G1239" i="1"/>
  <c r="I1239" i="1"/>
  <c r="J1239" i="1"/>
  <c r="K1239" i="1"/>
  <c r="L1239" i="1"/>
  <c r="A1240" i="1"/>
  <c r="B1240" i="1"/>
  <c r="C1240" i="1"/>
  <c r="D1240" i="1"/>
  <c r="E1240" i="1" s="1"/>
  <c r="H1240" i="1" s="1"/>
  <c r="F1240" i="1"/>
  <c r="G1240" i="1"/>
  <c r="I1240" i="1"/>
  <c r="J1240" i="1"/>
  <c r="K1240" i="1"/>
  <c r="L1240" i="1"/>
  <c r="A1241" i="1"/>
  <c r="B1241" i="1"/>
  <c r="C1241" i="1"/>
  <c r="D1241" i="1"/>
  <c r="E1241" i="1" s="1"/>
  <c r="H1241" i="1" s="1"/>
  <c r="F1241" i="1"/>
  <c r="G1241" i="1"/>
  <c r="I1241" i="1"/>
  <c r="J1241" i="1"/>
  <c r="K1241" i="1"/>
  <c r="L1241" i="1"/>
  <c r="A1242" i="1"/>
  <c r="B1242" i="1"/>
  <c r="C1242" i="1"/>
  <c r="D1242" i="1"/>
  <c r="E1242" i="1" s="1"/>
  <c r="H1242" i="1" s="1"/>
  <c r="F1242" i="1"/>
  <c r="G1242" i="1"/>
  <c r="I1242" i="1"/>
  <c r="J1242" i="1"/>
  <c r="K1242" i="1"/>
  <c r="L1242" i="1"/>
  <c r="A1243" i="1"/>
  <c r="B1243" i="1"/>
  <c r="C1243" i="1"/>
  <c r="D1243" i="1"/>
  <c r="E1243" i="1" s="1"/>
  <c r="H1243" i="1" s="1"/>
  <c r="F1243" i="1"/>
  <c r="G1243" i="1"/>
  <c r="I1243" i="1"/>
  <c r="J1243" i="1"/>
  <c r="K1243" i="1"/>
  <c r="L1243" i="1"/>
  <c r="A1244" i="1"/>
  <c r="B1244" i="1"/>
  <c r="C1244" i="1"/>
  <c r="D1244" i="1"/>
  <c r="E1244" i="1" s="1"/>
  <c r="H1244" i="1" s="1"/>
  <c r="F1244" i="1"/>
  <c r="G1244" i="1"/>
  <c r="I1244" i="1"/>
  <c r="J1244" i="1"/>
  <c r="K1244" i="1"/>
  <c r="L1244" i="1"/>
  <c r="A1245" i="1"/>
  <c r="B1245" i="1"/>
  <c r="C1245" i="1"/>
  <c r="D1245" i="1"/>
  <c r="E1245" i="1" s="1"/>
  <c r="H1245" i="1" s="1"/>
  <c r="F1245" i="1"/>
  <c r="G1245" i="1"/>
  <c r="I1245" i="1"/>
  <c r="J1245" i="1"/>
  <c r="K1245" i="1"/>
  <c r="L1245" i="1"/>
  <c r="A1246" i="1"/>
  <c r="B1246" i="1"/>
  <c r="C1246" i="1"/>
  <c r="D1246" i="1"/>
  <c r="E1246" i="1" s="1"/>
  <c r="H1246" i="1" s="1"/>
  <c r="F1246" i="1"/>
  <c r="G1246" i="1"/>
  <c r="I1246" i="1"/>
  <c r="J1246" i="1"/>
  <c r="K1246" i="1"/>
  <c r="L1246" i="1"/>
  <c r="A1247" i="1"/>
  <c r="B1247" i="1"/>
  <c r="C1247" i="1"/>
  <c r="D1247" i="1"/>
  <c r="E1247" i="1" s="1"/>
  <c r="H1247" i="1" s="1"/>
  <c r="F1247" i="1"/>
  <c r="G1247" i="1"/>
  <c r="I1247" i="1"/>
  <c r="J1247" i="1"/>
  <c r="K1247" i="1"/>
  <c r="L1247" i="1"/>
  <c r="A1248" i="1"/>
  <c r="B1248" i="1"/>
  <c r="C1248" i="1"/>
  <c r="D1248" i="1"/>
  <c r="E1248" i="1" s="1"/>
  <c r="H1248" i="1" s="1"/>
  <c r="F1248" i="1"/>
  <c r="G1248" i="1"/>
  <c r="I1248" i="1"/>
  <c r="J1248" i="1"/>
  <c r="K1248" i="1"/>
  <c r="L1248" i="1"/>
  <c r="A1249" i="1"/>
  <c r="B1249" i="1"/>
  <c r="C1249" i="1"/>
  <c r="D1249" i="1"/>
  <c r="E1249" i="1" s="1"/>
  <c r="H1249" i="1" s="1"/>
  <c r="F1249" i="1"/>
  <c r="G1249" i="1"/>
  <c r="I1249" i="1"/>
  <c r="J1249" i="1"/>
  <c r="K1249" i="1"/>
  <c r="L1249" i="1"/>
  <c r="A1250" i="1"/>
  <c r="B1250" i="1"/>
  <c r="C1250" i="1"/>
  <c r="D1250" i="1"/>
  <c r="E1250" i="1" s="1"/>
  <c r="H1250" i="1" s="1"/>
  <c r="F1250" i="1"/>
  <c r="G1250" i="1"/>
  <c r="I1250" i="1"/>
  <c r="J1250" i="1"/>
  <c r="K1250" i="1"/>
  <c r="L1250" i="1"/>
  <c r="A1251" i="1"/>
  <c r="B1251" i="1"/>
  <c r="C1251" i="1"/>
  <c r="D1251" i="1"/>
  <c r="E1251" i="1" s="1"/>
  <c r="H1251" i="1" s="1"/>
  <c r="F1251" i="1"/>
  <c r="G1251" i="1"/>
  <c r="I1251" i="1"/>
  <c r="J1251" i="1"/>
  <c r="K1251" i="1"/>
  <c r="L1251" i="1"/>
  <c r="A1252" i="1"/>
  <c r="B1252" i="1"/>
  <c r="C1252" i="1"/>
  <c r="D1252" i="1"/>
  <c r="E1252" i="1" s="1"/>
  <c r="H1252" i="1" s="1"/>
  <c r="F1252" i="1"/>
  <c r="G1252" i="1"/>
  <c r="I1252" i="1"/>
  <c r="J1252" i="1"/>
  <c r="K1252" i="1"/>
  <c r="L1252" i="1"/>
  <c r="A1253" i="1"/>
  <c r="B1253" i="1"/>
  <c r="C1253" i="1"/>
  <c r="D1253" i="1"/>
  <c r="E1253" i="1" s="1"/>
  <c r="H1253" i="1" s="1"/>
  <c r="F1253" i="1"/>
  <c r="G1253" i="1"/>
  <c r="I1253" i="1"/>
  <c r="J1253" i="1"/>
  <c r="K1253" i="1"/>
  <c r="L1253" i="1"/>
  <c r="A1254" i="1"/>
  <c r="B1254" i="1"/>
  <c r="C1254" i="1"/>
  <c r="D1254" i="1"/>
  <c r="E1254" i="1" s="1"/>
  <c r="H1254" i="1" s="1"/>
  <c r="F1254" i="1"/>
  <c r="G1254" i="1"/>
  <c r="I1254" i="1"/>
  <c r="J1254" i="1"/>
  <c r="K1254" i="1"/>
  <c r="L1254" i="1"/>
  <c r="A1255" i="1"/>
  <c r="B1255" i="1"/>
  <c r="C1255" i="1"/>
  <c r="D1255" i="1"/>
  <c r="E1255" i="1" s="1"/>
  <c r="H1255" i="1" s="1"/>
  <c r="F1255" i="1"/>
  <c r="G1255" i="1"/>
  <c r="I1255" i="1"/>
  <c r="J1255" i="1"/>
  <c r="K1255" i="1"/>
  <c r="L1255" i="1"/>
  <c r="A1256" i="1"/>
  <c r="B1256" i="1"/>
  <c r="C1256" i="1"/>
  <c r="D1256" i="1"/>
  <c r="E1256" i="1" s="1"/>
  <c r="H1256" i="1" s="1"/>
  <c r="F1256" i="1"/>
  <c r="G1256" i="1"/>
  <c r="I1256" i="1"/>
  <c r="J1256" i="1"/>
  <c r="K1256" i="1"/>
  <c r="L1256" i="1"/>
  <c r="A1257" i="1"/>
  <c r="B1257" i="1"/>
  <c r="C1257" i="1"/>
  <c r="D1257" i="1"/>
  <c r="E1257" i="1" s="1"/>
  <c r="H1257" i="1" s="1"/>
  <c r="F1257" i="1"/>
  <c r="G1257" i="1"/>
  <c r="I1257" i="1"/>
  <c r="J1257" i="1"/>
  <c r="K1257" i="1"/>
  <c r="L1257" i="1"/>
  <c r="A1258" i="1"/>
  <c r="B1258" i="1"/>
  <c r="C1258" i="1"/>
  <c r="D1258" i="1"/>
  <c r="E1258" i="1" s="1"/>
  <c r="H1258" i="1" s="1"/>
  <c r="F1258" i="1"/>
  <c r="G1258" i="1"/>
  <c r="I1258" i="1"/>
  <c r="J1258" i="1"/>
  <c r="K1258" i="1"/>
  <c r="L1258" i="1"/>
  <c r="A1259" i="1"/>
  <c r="B1259" i="1"/>
  <c r="C1259" i="1"/>
  <c r="D1259" i="1"/>
  <c r="E1259" i="1" s="1"/>
  <c r="H1259" i="1" s="1"/>
  <c r="F1259" i="1"/>
  <c r="G1259" i="1"/>
  <c r="I1259" i="1"/>
  <c r="J1259" i="1"/>
  <c r="K1259" i="1"/>
  <c r="L1259" i="1"/>
  <c r="A1260" i="1"/>
  <c r="B1260" i="1"/>
  <c r="C1260" i="1"/>
  <c r="D1260" i="1"/>
  <c r="E1260" i="1" s="1"/>
  <c r="H1260" i="1" s="1"/>
  <c r="F1260" i="1"/>
  <c r="G1260" i="1"/>
  <c r="I1260" i="1"/>
  <c r="J1260" i="1"/>
  <c r="K1260" i="1"/>
  <c r="L1260" i="1"/>
  <c r="A1261" i="1"/>
  <c r="B1261" i="1"/>
  <c r="C1261" i="1"/>
  <c r="D1261" i="1"/>
  <c r="E1261" i="1" s="1"/>
  <c r="H1261" i="1" s="1"/>
  <c r="F1261" i="1"/>
  <c r="G1261" i="1"/>
  <c r="I1261" i="1"/>
  <c r="J1261" i="1"/>
  <c r="K1261" i="1"/>
  <c r="L1261" i="1"/>
  <c r="A1262" i="1"/>
  <c r="B1262" i="1"/>
  <c r="C1262" i="1"/>
  <c r="D1262" i="1"/>
  <c r="E1262" i="1" s="1"/>
  <c r="H1262" i="1" s="1"/>
  <c r="F1262" i="1"/>
  <c r="G1262" i="1"/>
  <c r="I1262" i="1"/>
  <c r="J1262" i="1"/>
  <c r="K1262" i="1"/>
  <c r="L1262" i="1"/>
  <c r="A1263" i="1"/>
  <c r="B1263" i="1"/>
  <c r="C1263" i="1"/>
  <c r="D1263" i="1"/>
  <c r="E1263" i="1" s="1"/>
  <c r="H1263" i="1" s="1"/>
  <c r="F1263" i="1"/>
  <c r="G1263" i="1"/>
  <c r="I1263" i="1"/>
  <c r="J1263" i="1"/>
  <c r="K1263" i="1"/>
  <c r="L1263" i="1"/>
  <c r="A1264" i="1"/>
  <c r="B1264" i="1"/>
  <c r="C1264" i="1"/>
  <c r="D1264" i="1"/>
  <c r="E1264" i="1" s="1"/>
  <c r="H1264" i="1" s="1"/>
  <c r="F1264" i="1"/>
  <c r="G1264" i="1"/>
  <c r="I1264" i="1"/>
  <c r="J1264" i="1"/>
  <c r="K1264" i="1"/>
  <c r="L1264" i="1"/>
  <c r="A1265" i="1"/>
  <c r="B1265" i="1"/>
  <c r="C1265" i="1"/>
  <c r="D1265" i="1"/>
  <c r="E1265" i="1" s="1"/>
  <c r="H1265" i="1" s="1"/>
  <c r="F1265" i="1"/>
  <c r="G1265" i="1"/>
  <c r="I1265" i="1"/>
  <c r="J1265" i="1"/>
  <c r="K1265" i="1"/>
  <c r="L1265" i="1"/>
  <c r="A1266" i="1"/>
  <c r="B1266" i="1"/>
  <c r="C1266" i="1"/>
  <c r="D1266" i="1"/>
  <c r="E1266" i="1" s="1"/>
  <c r="H1266" i="1" s="1"/>
  <c r="F1266" i="1"/>
  <c r="G1266" i="1"/>
  <c r="I1266" i="1"/>
  <c r="J1266" i="1"/>
  <c r="K1266" i="1"/>
  <c r="L1266" i="1"/>
  <c r="A1267" i="1"/>
  <c r="B1267" i="1"/>
  <c r="C1267" i="1"/>
  <c r="D1267" i="1"/>
  <c r="E1267" i="1" s="1"/>
  <c r="H1267" i="1" s="1"/>
  <c r="F1267" i="1"/>
  <c r="G1267" i="1"/>
  <c r="I1267" i="1"/>
  <c r="J1267" i="1"/>
  <c r="K1267" i="1"/>
  <c r="L1267" i="1"/>
  <c r="A1268" i="1"/>
  <c r="B1268" i="1"/>
  <c r="C1268" i="1"/>
  <c r="D1268" i="1"/>
  <c r="E1268" i="1" s="1"/>
  <c r="H1268" i="1" s="1"/>
  <c r="F1268" i="1"/>
  <c r="G1268" i="1"/>
  <c r="I1268" i="1"/>
  <c r="J1268" i="1"/>
  <c r="K1268" i="1"/>
  <c r="L1268" i="1"/>
  <c r="A1269" i="1"/>
  <c r="B1269" i="1"/>
  <c r="C1269" i="1"/>
  <c r="D1269" i="1"/>
  <c r="E1269" i="1" s="1"/>
  <c r="H1269" i="1" s="1"/>
  <c r="F1269" i="1"/>
  <c r="G1269" i="1"/>
  <c r="I1269" i="1"/>
  <c r="J1269" i="1"/>
  <c r="K1269" i="1"/>
  <c r="L1269" i="1"/>
  <c r="A1270" i="1"/>
  <c r="B1270" i="1"/>
  <c r="C1270" i="1"/>
  <c r="D1270" i="1"/>
  <c r="E1270" i="1" s="1"/>
  <c r="H1270" i="1" s="1"/>
  <c r="F1270" i="1"/>
  <c r="G1270" i="1"/>
  <c r="I1270" i="1"/>
  <c r="J1270" i="1"/>
  <c r="K1270" i="1"/>
  <c r="L1270" i="1"/>
  <c r="A1271" i="1"/>
  <c r="B1271" i="1"/>
  <c r="C1271" i="1"/>
  <c r="D1271" i="1"/>
  <c r="E1271" i="1" s="1"/>
  <c r="H1271" i="1" s="1"/>
  <c r="F1271" i="1"/>
  <c r="G1271" i="1"/>
  <c r="I1271" i="1"/>
  <c r="J1271" i="1"/>
  <c r="K1271" i="1"/>
  <c r="L1271" i="1"/>
  <c r="A1272" i="1"/>
  <c r="B1272" i="1"/>
  <c r="C1272" i="1"/>
  <c r="D1272" i="1"/>
  <c r="E1272" i="1" s="1"/>
  <c r="H1272" i="1" s="1"/>
  <c r="F1272" i="1"/>
  <c r="G1272" i="1"/>
  <c r="I1272" i="1"/>
  <c r="J1272" i="1"/>
  <c r="K1272" i="1"/>
  <c r="L1272" i="1"/>
  <c r="A1273" i="1"/>
  <c r="B1273" i="1"/>
  <c r="C1273" i="1"/>
  <c r="D1273" i="1"/>
  <c r="E1273" i="1" s="1"/>
  <c r="H1273" i="1" s="1"/>
  <c r="F1273" i="1"/>
  <c r="G1273" i="1"/>
  <c r="I1273" i="1"/>
  <c r="J1273" i="1"/>
  <c r="K1273" i="1"/>
  <c r="L1273" i="1"/>
  <c r="A1274" i="1"/>
  <c r="B1274" i="1"/>
  <c r="C1274" i="1"/>
  <c r="D1274" i="1"/>
  <c r="E1274" i="1" s="1"/>
  <c r="H1274" i="1" s="1"/>
  <c r="F1274" i="1"/>
  <c r="G1274" i="1"/>
  <c r="I1274" i="1"/>
  <c r="J1274" i="1"/>
  <c r="K1274" i="1"/>
  <c r="L1274" i="1"/>
  <c r="A1275" i="1"/>
  <c r="B1275" i="1"/>
  <c r="C1275" i="1"/>
  <c r="D1275" i="1"/>
  <c r="E1275" i="1" s="1"/>
  <c r="H1275" i="1" s="1"/>
  <c r="F1275" i="1"/>
  <c r="G1275" i="1"/>
  <c r="I1275" i="1"/>
  <c r="J1275" i="1"/>
  <c r="K1275" i="1"/>
  <c r="L1275" i="1"/>
  <c r="A1276" i="1"/>
  <c r="B1276" i="1"/>
  <c r="C1276" i="1"/>
  <c r="D1276" i="1"/>
  <c r="E1276" i="1" s="1"/>
  <c r="H1276" i="1" s="1"/>
  <c r="F1276" i="1"/>
  <c r="G1276" i="1"/>
  <c r="I1276" i="1"/>
  <c r="J1276" i="1"/>
  <c r="K1276" i="1"/>
  <c r="L1276" i="1"/>
  <c r="A1277" i="1"/>
  <c r="B1277" i="1"/>
  <c r="C1277" i="1"/>
  <c r="D1277" i="1"/>
  <c r="E1277" i="1" s="1"/>
  <c r="H1277" i="1" s="1"/>
  <c r="F1277" i="1"/>
  <c r="G1277" i="1"/>
  <c r="I1277" i="1"/>
  <c r="J1277" i="1"/>
  <c r="K1277" i="1"/>
  <c r="L1277" i="1"/>
  <c r="A1278" i="1"/>
  <c r="B1278" i="1"/>
  <c r="C1278" i="1"/>
  <c r="D1278" i="1"/>
  <c r="E1278" i="1" s="1"/>
  <c r="H1278" i="1" s="1"/>
  <c r="F1278" i="1"/>
  <c r="G1278" i="1"/>
  <c r="I1278" i="1"/>
  <c r="J1278" i="1"/>
  <c r="K1278" i="1"/>
  <c r="L1278" i="1"/>
  <c r="A1279" i="1"/>
  <c r="B1279" i="1"/>
  <c r="C1279" i="1"/>
  <c r="D1279" i="1"/>
  <c r="E1279" i="1" s="1"/>
  <c r="H1279" i="1" s="1"/>
  <c r="F1279" i="1"/>
  <c r="G1279" i="1"/>
  <c r="I1279" i="1"/>
  <c r="J1279" i="1"/>
  <c r="K1279" i="1"/>
  <c r="L1279" i="1"/>
  <c r="A1280" i="1"/>
  <c r="B1280" i="1"/>
  <c r="C1280" i="1"/>
  <c r="D1280" i="1"/>
  <c r="E1280" i="1" s="1"/>
  <c r="H1280" i="1" s="1"/>
  <c r="F1280" i="1"/>
  <c r="G1280" i="1"/>
  <c r="I1280" i="1"/>
  <c r="J1280" i="1"/>
  <c r="K1280" i="1"/>
  <c r="L1280" i="1"/>
  <c r="A1281" i="1"/>
  <c r="B1281" i="1"/>
  <c r="C1281" i="1"/>
  <c r="D1281" i="1"/>
  <c r="E1281" i="1" s="1"/>
  <c r="H1281" i="1" s="1"/>
  <c r="F1281" i="1"/>
  <c r="G1281" i="1"/>
  <c r="I1281" i="1"/>
  <c r="J1281" i="1"/>
  <c r="K1281" i="1"/>
  <c r="L1281" i="1"/>
  <c r="A1282" i="1"/>
  <c r="B1282" i="1"/>
  <c r="C1282" i="1"/>
  <c r="D1282" i="1"/>
  <c r="E1282" i="1" s="1"/>
  <c r="H1282" i="1" s="1"/>
  <c r="F1282" i="1"/>
  <c r="G1282" i="1"/>
  <c r="I1282" i="1"/>
  <c r="J1282" i="1"/>
  <c r="K1282" i="1"/>
  <c r="L1282" i="1"/>
  <c r="A1283" i="1"/>
  <c r="B1283" i="1"/>
  <c r="C1283" i="1"/>
  <c r="D1283" i="1"/>
  <c r="E1283" i="1" s="1"/>
  <c r="H1283" i="1" s="1"/>
  <c r="F1283" i="1"/>
  <c r="G1283" i="1"/>
  <c r="I1283" i="1"/>
  <c r="J1283" i="1"/>
  <c r="K1283" i="1"/>
  <c r="L1283" i="1"/>
  <c r="A1284" i="1"/>
  <c r="B1284" i="1"/>
  <c r="C1284" i="1"/>
  <c r="D1284" i="1"/>
  <c r="E1284" i="1" s="1"/>
  <c r="H1284" i="1" s="1"/>
  <c r="F1284" i="1"/>
  <c r="G1284" i="1"/>
  <c r="I1284" i="1"/>
  <c r="J1284" i="1"/>
  <c r="K1284" i="1"/>
  <c r="L1284" i="1"/>
  <c r="A1285" i="1"/>
  <c r="B1285" i="1"/>
  <c r="C1285" i="1"/>
  <c r="D1285" i="1"/>
  <c r="E1285" i="1" s="1"/>
  <c r="H1285" i="1" s="1"/>
  <c r="F1285" i="1"/>
  <c r="G1285" i="1"/>
  <c r="I1285" i="1"/>
  <c r="J1285" i="1"/>
  <c r="K1285" i="1"/>
  <c r="L1285" i="1"/>
  <c r="A1286" i="1"/>
  <c r="B1286" i="1"/>
  <c r="C1286" i="1"/>
  <c r="D1286" i="1"/>
  <c r="E1286" i="1" s="1"/>
  <c r="H1286" i="1" s="1"/>
  <c r="F1286" i="1"/>
  <c r="G1286" i="1"/>
  <c r="I1286" i="1"/>
  <c r="J1286" i="1"/>
  <c r="K1286" i="1"/>
  <c r="L1286" i="1"/>
  <c r="A1287" i="1"/>
  <c r="B1287" i="1"/>
  <c r="C1287" i="1"/>
  <c r="D1287" i="1"/>
  <c r="E1287" i="1" s="1"/>
  <c r="H1287" i="1" s="1"/>
  <c r="F1287" i="1"/>
  <c r="G1287" i="1"/>
  <c r="I1287" i="1"/>
  <c r="J1287" i="1"/>
  <c r="K1287" i="1"/>
  <c r="L1287" i="1"/>
  <c r="A1288" i="1"/>
  <c r="B1288" i="1"/>
  <c r="C1288" i="1"/>
  <c r="D1288" i="1"/>
  <c r="E1288" i="1" s="1"/>
  <c r="H1288" i="1" s="1"/>
  <c r="F1288" i="1"/>
  <c r="G1288" i="1"/>
  <c r="I1288" i="1"/>
  <c r="J1288" i="1"/>
  <c r="K1288" i="1"/>
  <c r="L1288" i="1"/>
  <c r="A1289" i="1"/>
  <c r="B1289" i="1"/>
  <c r="C1289" i="1"/>
  <c r="D1289" i="1"/>
  <c r="E1289" i="1" s="1"/>
  <c r="H1289" i="1" s="1"/>
  <c r="F1289" i="1"/>
  <c r="G1289" i="1"/>
  <c r="I1289" i="1"/>
  <c r="J1289" i="1"/>
  <c r="K1289" i="1"/>
  <c r="L1289" i="1"/>
  <c r="A1290" i="1"/>
  <c r="B1290" i="1"/>
  <c r="C1290" i="1"/>
  <c r="D1290" i="1"/>
  <c r="E1290" i="1" s="1"/>
  <c r="H1290" i="1" s="1"/>
  <c r="F1290" i="1"/>
  <c r="G1290" i="1"/>
  <c r="I1290" i="1"/>
  <c r="J1290" i="1"/>
  <c r="K1290" i="1"/>
  <c r="L1290" i="1"/>
  <c r="A1291" i="1"/>
  <c r="B1291" i="1"/>
  <c r="C1291" i="1"/>
  <c r="D1291" i="1"/>
  <c r="E1291" i="1" s="1"/>
  <c r="H1291" i="1" s="1"/>
  <c r="F1291" i="1"/>
  <c r="G1291" i="1"/>
  <c r="I1291" i="1"/>
  <c r="J1291" i="1"/>
  <c r="K1291" i="1"/>
  <c r="L1291" i="1"/>
  <c r="A1292" i="1"/>
  <c r="B1292" i="1"/>
  <c r="C1292" i="1"/>
  <c r="D1292" i="1"/>
  <c r="E1292" i="1" s="1"/>
  <c r="H1292" i="1" s="1"/>
  <c r="F1292" i="1"/>
  <c r="G1292" i="1"/>
  <c r="I1292" i="1"/>
  <c r="J1292" i="1"/>
  <c r="K1292" i="1"/>
  <c r="L1292" i="1"/>
  <c r="A1293" i="1"/>
  <c r="B1293" i="1"/>
  <c r="C1293" i="1"/>
  <c r="D1293" i="1"/>
  <c r="E1293" i="1" s="1"/>
  <c r="H1293" i="1" s="1"/>
  <c r="F1293" i="1"/>
  <c r="G1293" i="1"/>
  <c r="I1293" i="1"/>
  <c r="J1293" i="1"/>
  <c r="K1293" i="1"/>
  <c r="L1293" i="1"/>
  <c r="A1294" i="1"/>
  <c r="B1294" i="1"/>
  <c r="C1294" i="1"/>
  <c r="D1294" i="1"/>
  <c r="E1294" i="1" s="1"/>
  <c r="H1294" i="1" s="1"/>
  <c r="F1294" i="1"/>
  <c r="G1294" i="1"/>
  <c r="I1294" i="1"/>
  <c r="J1294" i="1"/>
  <c r="K1294" i="1"/>
  <c r="L1294" i="1"/>
  <c r="A1295" i="1"/>
  <c r="B1295" i="1"/>
  <c r="C1295" i="1"/>
  <c r="D1295" i="1"/>
  <c r="E1295" i="1" s="1"/>
  <c r="H1295" i="1" s="1"/>
  <c r="F1295" i="1"/>
  <c r="G1295" i="1"/>
  <c r="I1295" i="1"/>
  <c r="J1295" i="1"/>
  <c r="K1295" i="1"/>
  <c r="L1295" i="1"/>
  <c r="A1296" i="1"/>
  <c r="B1296" i="1"/>
  <c r="C1296" i="1"/>
  <c r="D1296" i="1"/>
  <c r="E1296" i="1" s="1"/>
  <c r="H1296" i="1" s="1"/>
  <c r="F1296" i="1"/>
  <c r="G1296" i="1"/>
  <c r="I1296" i="1"/>
  <c r="J1296" i="1"/>
  <c r="K1296" i="1"/>
  <c r="L1296" i="1"/>
  <c r="A1297" i="1"/>
  <c r="B1297" i="1"/>
  <c r="C1297" i="1"/>
  <c r="D1297" i="1"/>
  <c r="E1297" i="1" s="1"/>
  <c r="H1297" i="1" s="1"/>
  <c r="F1297" i="1"/>
  <c r="G1297" i="1"/>
  <c r="I1297" i="1"/>
  <c r="J1297" i="1"/>
  <c r="K1297" i="1"/>
  <c r="L1297" i="1"/>
  <c r="A1298" i="1"/>
  <c r="B1298" i="1"/>
  <c r="C1298" i="1"/>
  <c r="D1298" i="1"/>
  <c r="E1298" i="1" s="1"/>
  <c r="H1298" i="1" s="1"/>
  <c r="F1298" i="1"/>
  <c r="G1298" i="1"/>
  <c r="I1298" i="1"/>
  <c r="J1298" i="1"/>
  <c r="K1298" i="1"/>
  <c r="L1298" i="1"/>
  <c r="A1299" i="1"/>
  <c r="B1299" i="1"/>
  <c r="C1299" i="1"/>
  <c r="D1299" i="1"/>
  <c r="E1299" i="1" s="1"/>
  <c r="H1299" i="1" s="1"/>
  <c r="F1299" i="1"/>
  <c r="G1299" i="1"/>
  <c r="I1299" i="1"/>
  <c r="J1299" i="1"/>
  <c r="K1299" i="1"/>
  <c r="L1299" i="1"/>
  <c r="A1300" i="1"/>
  <c r="B1300" i="1"/>
  <c r="C1300" i="1"/>
  <c r="D1300" i="1"/>
  <c r="E1300" i="1" s="1"/>
  <c r="H1300" i="1" s="1"/>
  <c r="F1300" i="1"/>
  <c r="G1300" i="1"/>
  <c r="I1300" i="1"/>
  <c r="J1300" i="1"/>
  <c r="K1300" i="1"/>
  <c r="L1300" i="1"/>
  <c r="A1301" i="1"/>
  <c r="B1301" i="1"/>
  <c r="C1301" i="1"/>
  <c r="D1301" i="1"/>
  <c r="E1301" i="1" s="1"/>
  <c r="H1301" i="1" s="1"/>
  <c r="F1301" i="1"/>
  <c r="G1301" i="1"/>
  <c r="I1301" i="1"/>
  <c r="J1301" i="1"/>
  <c r="K1301" i="1"/>
  <c r="L1301" i="1"/>
  <c r="A1302" i="1"/>
  <c r="B1302" i="1"/>
  <c r="C1302" i="1"/>
  <c r="D1302" i="1"/>
  <c r="E1302" i="1" s="1"/>
  <c r="H1302" i="1" s="1"/>
  <c r="F1302" i="1"/>
  <c r="G1302" i="1"/>
  <c r="I1302" i="1"/>
  <c r="J1302" i="1"/>
  <c r="K1302" i="1"/>
  <c r="L1302" i="1"/>
  <c r="A1303" i="1"/>
  <c r="B1303" i="1"/>
  <c r="C1303" i="1"/>
  <c r="D1303" i="1"/>
  <c r="E1303" i="1" s="1"/>
  <c r="H1303" i="1" s="1"/>
  <c r="F1303" i="1"/>
  <c r="G1303" i="1"/>
  <c r="I1303" i="1"/>
  <c r="J1303" i="1"/>
  <c r="K1303" i="1"/>
  <c r="L1303" i="1"/>
  <c r="A1304" i="1"/>
  <c r="B1304" i="1"/>
  <c r="C1304" i="1"/>
  <c r="D1304" i="1"/>
  <c r="E1304" i="1" s="1"/>
  <c r="H1304" i="1" s="1"/>
  <c r="F1304" i="1"/>
  <c r="G1304" i="1"/>
  <c r="I1304" i="1"/>
  <c r="J1304" i="1"/>
  <c r="K1304" i="1"/>
  <c r="L1304" i="1"/>
  <c r="A1305" i="1"/>
  <c r="B1305" i="1"/>
  <c r="C1305" i="1"/>
  <c r="D1305" i="1"/>
  <c r="E1305" i="1" s="1"/>
  <c r="H1305" i="1" s="1"/>
  <c r="F1305" i="1"/>
  <c r="G1305" i="1"/>
  <c r="I1305" i="1"/>
  <c r="J1305" i="1"/>
  <c r="K1305" i="1"/>
  <c r="L1305" i="1"/>
  <c r="A1306" i="1"/>
  <c r="B1306" i="1"/>
  <c r="C1306" i="1"/>
  <c r="D1306" i="1"/>
  <c r="E1306" i="1" s="1"/>
  <c r="H1306" i="1" s="1"/>
  <c r="F1306" i="1"/>
  <c r="G1306" i="1"/>
  <c r="I1306" i="1"/>
  <c r="J1306" i="1"/>
  <c r="K1306" i="1"/>
  <c r="L1306" i="1"/>
  <c r="A1307" i="1"/>
  <c r="B1307" i="1"/>
  <c r="C1307" i="1"/>
  <c r="D1307" i="1"/>
  <c r="E1307" i="1" s="1"/>
  <c r="H1307" i="1" s="1"/>
  <c r="F1307" i="1"/>
  <c r="G1307" i="1"/>
  <c r="I1307" i="1"/>
  <c r="J1307" i="1"/>
  <c r="K1307" i="1"/>
  <c r="L1307" i="1"/>
  <c r="A1308" i="1"/>
  <c r="B1308" i="1"/>
  <c r="C1308" i="1"/>
  <c r="D1308" i="1"/>
  <c r="E1308" i="1" s="1"/>
  <c r="H1308" i="1" s="1"/>
  <c r="F1308" i="1"/>
  <c r="G1308" i="1"/>
  <c r="I1308" i="1"/>
  <c r="J1308" i="1"/>
  <c r="K1308" i="1"/>
  <c r="L1308" i="1"/>
  <c r="A1309" i="1"/>
  <c r="B1309" i="1"/>
  <c r="C1309" i="1"/>
  <c r="D1309" i="1"/>
  <c r="E1309" i="1" s="1"/>
  <c r="H1309" i="1" s="1"/>
  <c r="F1309" i="1"/>
  <c r="G1309" i="1"/>
  <c r="I1309" i="1"/>
  <c r="J1309" i="1"/>
  <c r="K1309" i="1"/>
  <c r="L1309" i="1"/>
  <c r="A1310" i="1"/>
  <c r="B1310" i="1"/>
  <c r="C1310" i="1"/>
  <c r="D1310" i="1"/>
  <c r="E1310" i="1" s="1"/>
  <c r="H1310" i="1" s="1"/>
  <c r="F1310" i="1"/>
  <c r="G1310" i="1"/>
  <c r="I1310" i="1"/>
  <c r="J1310" i="1"/>
  <c r="K1310" i="1"/>
  <c r="L1310" i="1"/>
  <c r="A1311" i="1"/>
  <c r="B1311" i="1"/>
  <c r="C1311" i="1"/>
  <c r="D1311" i="1"/>
  <c r="E1311" i="1" s="1"/>
  <c r="H1311" i="1" s="1"/>
  <c r="F1311" i="1"/>
  <c r="G1311" i="1"/>
  <c r="I1311" i="1"/>
  <c r="J1311" i="1"/>
  <c r="K1311" i="1"/>
  <c r="L1311" i="1"/>
  <c r="A1312" i="1"/>
  <c r="B1312" i="1"/>
  <c r="C1312" i="1"/>
  <c r="D1312" i="1"/>
  <c r="E1312" i="1" s="1"/>
  <c r="H1312" i="1" s="1"/>
  <c r="F1312" i="1"/>
  <c r="G1312" i="1"/>
  <c r="I1312" i="1"/>
  <c r="J1312" i="1"/>
  <c r="K1312" i="1"/>
  <c r="L1312" i="1"/>
  <c r="A1313" i="1"/>
  <c r="B1313" i="1"/>
  <c r="C1313" i="1"/>
  <c r="D1313" i="1"/>
  <c r="E1313" i="1" s="1"/>
  <c r="H1313" i="1" s="1"/>
  <c r="F1313" i="1"/>
  <c r="G1313" i="1"/>
  <c r="I1313" i="1"/>
  <c r="J1313" i="1"/>
  <c r="K1313" i="1"/>
  <c r="L1313" i="1"/>
  <c r="A1314" i="1"/>
  <c r="B1314" i="1"/>
  <c r="C1314" i="1"/>
  <c r="D1314" i="1"/>
  <c r="E1314" i="1" s="1"/>
  <c r="H1314" i="1" s="1"/>
  <c r="F1314" i="1"/>
  <c r="G1314" i="1"/>
  <c r="I1314" i="1"/>
  <c r="J1314" i="1"/>
  <c r="K1314" i="1"/>
  <c r="L1314" i="1"/>
  <c r="A1315" i="1"/>
  <c r="B1315" i="1"/>
  <c r="C1315" i="1"/>
  <c r="D1315" i="1"/>
  <c r="E1315" i="1" s="1"/>
  <c r="H1315" i="1" s="1"/>
  <c r="F1315" i="1"/>
  <c r="G1315" i="1"/>
  <c r="I1315" i="1"/>
  <c r="J1315" i="1"/>
  <c r="K1315" i="1"/>
  <c r="L1315" i="1"/>
  <c r="A1316" i="1"/>
  <c r="B1316" i="1"/>
  <c r="C1316" i="1"/>
  <c r="D1316" i="1"/>
  <c r="E1316" i="1" s="1"/>
  <c r="H1316" i="1" s="1"/>
  <c r="F1316" i="1"/>
  <c r="G1316" i="1"/>
  <c r="I1316" i="1"/>
  <c r="J1316" i="1"/>
  <c r="K1316" i="1"/>
  <c r="L1316" i="1"/>
  <c r="A1317" i="1"/>
  <c r="B1317" i="1"/>
  <c r="C1317" i="1"/>
  <c r="D1317" i="1"/>
  <c r="E1317" i="1" s="1"/>
  <c r="H1317" i="1" s="1"/>
  <c r="F1317" i="1"/>
  <c r="G1317" i="1"/>
  <c r="I1317" i="1"/>
  <c r="J1317" i="1"/>
  <c r="K1317" i="1"/>
  <c r="L1317" i="1"/>
  <c r="A1318" i="1"/>
  <c r="B1318" i="1"/>
  <c r="C1318" i="1"/>
  <c r="D1318" i="1"/>
  <c r="E1318" i="1" s="1"/>
  <c r="H1318" i="1" s="1"/>
  <c r="F1318" i="1"/>
  <c r="G1318" i="1"/>
  <c r="I1318" i="1"/>
  <c r="J1318" i="1"/>
  <c r="K1318" i="1"/>
  <c r="L1318" i="1"/>
  <c r="A1319" i="1"/>
  <c r="B1319" i="1"/>
  <c r="C1319" i="1"/>
  <c r="D1319" i="1"/>
  <c r="E1319" i="1" s="1"/>
  <c r="H1319" i="1" s="1"/>
  <c r="F1319" i="1"/>
  <c r="G1319" i="1"/>
  <c r="I1319" i="1"/>
  <c r="J1319" i="1"/>
  <c r="K1319" i="1"/>
  <c r="L1319" i="1"/>
  <c r="A1320" i="1"/>
  <c r="B1320" i="1"/>
  <c r="C1320" i="1"/>
  <c r="D1320" i="1"/>
  <c r="E1320" i="1" s="1"/>
  <c r="H1320" i="1" s="1"/>
  <c r="F1320" i="1"/>
  <c r="G1320" i="1"/>
  <c r="I1320" i="1"/>
  <c r="J1320" i="1"/>
  <c r="K1320" i="1"/>
  <c r="L1320" i="1"/>
  <c r="A1321" i="1"/>
  <c r="B1321" i="1"/>
  <c r="C1321" i="1"/>
  <c r="D1321" i="1"/>
  <c r="E1321" i="1" s="1"/>
  <c r="H1321" i="1" s="1"/>
  <c r="F1321" i="1"/>
  <c r="G1321" i="1"/>
  <c r="I1321" i="1"/>
  <c r="J1321" i="1"/>
  <c r="K1321" i="1"/>
  <c r="L1321" i="1"/>
  <c r="A1322" i="1"/>
  <c r="B1322" i="1"/>
  <c r="C1322" i="1"/>
  <c r="D1322" i="1"/>
  <c r="E1322" i="1" s="1"/>
  <c r="H1322" i="1" s="1"/>
  <c r="F1322" i="1"/>
  <c r="G1322" i="1"/>
  <c r="I1322" i="1"/>
  <c r="J1322" i="1"/>
  <c r="K1322" i="1"/>
  <c r="L1322" i="1"/>
  <c r="A1323" i="1"/>
  <c r="B1323" i="1"/>
  <c r="C1323" i="1"/>
  <c r="D1323" i="1"/>
  <c r="E1323" i="1" s="1"/>
  <c r="H1323" i="1" s="1"/>
  <c r="F1323" i="1"/>
  <c r="G1323" i="1"/>
  <c r="I1323" i="1"/>
  <c r="J1323" i="1"/>
  <c r="K1323" i="1"/>
  <c r="L1323" i="1"/>
  <c r="A1324" i="1"/>
  <c r="B1324" i="1"/>
  <c r="C1324" i="1"/>
  <c r="D1324" i="1"/>
  <c r="E1324" i="1" s="1"/>
  <c r="H1324" i="1" s="1"/>
  <c r="F1324" i="1"/>
  <c r="G1324" i="1"/>
  <c r="I1324" i="1"/>
  <c r="J1324" i="1"/>
  <c r="K1324" i="1"/>
  <c r="L1324" i="1"/>
  <c r="A1325" i="1"/>
  <c r="B1325" i="1"/>
  <c r="C1325" i="1"/>
  <c r="D1325" i="1"/>
  <c r="E1325" i="1" s="1"/>
  <c r="H1325" i="1" s="1"/>
  <c r="F1325" i="1"/>
  <c r="G1325" i="1"/>
  <c r="I1325" i="1"/>
  <c r="J1325" i="1"/>
  <c r="K1325" i="1"/>
  <c r="L1325" i="1"/>
  <c r="A1326" i="1"/>
  <c r="B1326" i="1"/>
  <c r="C1326" i="1"/>
  <c r="D1326" i="1"/>
  <c r="E1326" i="1" s="1"/>
  <c r="H1326" i="1" s="1"/>
  <c r="F1326" i="1"/>
  <c r="G1326" i="1"/>
  <c r="I1326" i="1"/>
  <c r="J1326" i="1"/>
  <c r="K1326" i="1"/>
  <c r="L1326" i="1"/>
  <c r="A1327" i="1"/>
  <c r="B1327" i="1"/>
  <c r="C1327" i="1"/>
  <c r="D1327" i="1"/>
  <c r="E1327" i="1" s="1"/>
  <c r="H1327" i="1" s="1"/>
  <c r="F1327" i="1"/>
  <c r="G1327" i="1"/>
  <c r="I1327" i="1"/>
  <c r="J1327" i="1"/>
  <c r="K1327" i="1"/>
  <c r="L1327" i="1"/>
  <c r="A1328" i="1"/>
  <c r="B1328" i="1"/>
  <c r="C1328" i="1"/>
  <c r="D1328" i="1"/>
  <c r="E1328" i="1" s="1"/>
  <c r="H1328" i="1" s="1"/>
  <c r="F1328" i="1"/>
  <c r="G1328" i="1"/>
  <c r="I1328" i="1"/>
  <c r="J1328" i="1"/>
  <c r="K1328" i="1"/>
  <c r="L1328" i="1"/>
  <c r="A1329" i="1"/>
  <c r="B1329" i="1"/>
  <c r="C1329" i="1"/>
  <c r="D1329" i="1"/>
  <c r="E1329" i="1" s="1"/>
  <c r="H1329" i="1" s="1"/>
  <c r="F1329" i="1"/>
  <c r="G1329" i="1"/>
  <c r="I1329" i="1"/>
  <c r="J1329" i="1"/>
  <c r="K1329" i="1"/>
  <c r="L1329" i="1"/>
  <c r="A1330" i="1"/>
  <c r="B1330" i="1"/>
  <c r="C1330" i="1"/>
  <c r="D1330" i="1"/>
  <c r="E1330" i="1" s="1"/>
  <c r="H1330" i="1" s="1"/>
  <c r="F1330" i="1"/>
  <c r="G1330" i="1"/>
  <c r="I1330" i="1"/>
  <c r="J1330" i="1"/>
  <c r="K1330" i="1"/>
  <c r="L1330" i="1"/>
  <c r="A1331" i="1"/>
  <c r="B1331" i="1"/>
  <c r="C1331" i="1"/>
  <c r="D1331" i="1"/>
  <c r="E1331" i="1" s="1"/>
  <c r="H1331" i="1" s="1"/>
  <c r="F1331" i="1"/>
  <c r="G1331" i="1"/>
  <c r="I1331" i="1"/>
  <c r="J1331" i="1"/>
  <c r="K1331" i="1"/>
  <c r="L1331" i="1"/>
  <c r="A1332" i="1"/>
  <c r="B1332" i="1"/>
  <c r="C1332" i="1"/>
  <c r="D1332" i="1"/>
  <c r="E1332" i="1" s="1"/>
  <c r="H1332" i="1" s="1"/>
  <c r="F1332" i="1"/>
  <c r="G1332" i="1"/>
  <c r="I1332" i="1"/>
  <c r="J1332" i="1"/>
  <c r="K1332" i="1"/>
  <c r="L1332" i="1"/>
  <c r="A1333" i="1"/>
  <c r="B1333" i="1"/>
  <c r="C1333" i="1"/>
  <c r="D1333" i="1"/>
  <c r="E1333" i="1" s="1"/>
  <c r="H1333" i="1" s="1"/>
  <c r="F1333" i="1"/>
  <c r="G1333" i="1"/>
  <c r="I1333" i="1"/>
  <c r="J1333" i="1"/>
  <c r="K1333" i="1"/>
  <c r="L1333" i="1"/>
  <c r="A1334" i="1"/>
  <c r="B1334" i="1"/>
  <c r="C1334" i="1"/>
  <c r="D1334" i="1"/>
  <c r="E1334" i="1" s="1"/>
  <c r="H1334" i="1" s="1"/>
  <c r="F1334" i="1"/>
  <c r="G1334" i="1"/>
  <c r="I1334" i="1"/>
  <c r="J1334" i="1"/>
  <c r="K1334" i="1"/>
  <c r="L1334" i="1"/>
  <c r="A1335" i="1"/>
  <c r="B1335" i="1"/>
  <c r="C1335" i="1"/>
  <c r="D1335" i="1"/>
  <c r="E1335" i="1" s="1"/>
  <c r="H1335" i="1" s="1"/>
  <c r="F1335" i="1"/>
  <c r="G1335" i="1"/>
  <c r="I1335" i="1"/>
  <c r="J1335" i="1"/>
  <c r="K1335" i="1"/>
  <c r="L1335" i="1"/>
  <c r="A1336" i="1"/>
  <c r="B1336" i="1"/>
  <c r="C1336" i="1"/>
  <c r="D1336" i="1"/>
  <c r="E1336" i="1" s="1"/>
  <c r="H1336" i="1" s="1"/>
  <c r="F1336" i="1"/>
  <c r="G1336" i="1"/>
  <c r="I1336" i="1"/>
  <c r="J1336" i="1"/>
  <c r="K1336" i="1"/>
  <c r="L1336" i="1"/>
  <c r="A1337" i="1"/>
  <c r="B1337" i="1"/>
  <c r="C1337" i="1"/>
  <c r="D1337" i="1"/>
  <c r="E1337" i="1" s="1"/>
  <c r="H1337" i="1" s="1"/>
  <c r="F1337" i="1"/>
  <c r="G1337" i="1"/>
  <c r="I1337" i="1"/>
  <c r="J1337" i="1"/>
  <c r="K1337" i="1"/>
  <c r="L1337" i="1"/>
  <c r="A1338" i="1"/>
  <c r="B1338" i="1"/>
  <c r="C1338" i="1"/>
  <c r="D1338" i="1"/>
  <c r="E1338" i="1" s="1"/>
  <c r="H1338" i="1" s="1"/>
  <c r="F1338" i="1"/>
  <c r="G1338" i="1"/>
  <c r="I1338" i="1"/>
  <c r="J1338" i="1"/>
  <c r="K1338" i="1"/>
  <c r="L1338" i="1"/>
  <c r="A1339" i="1"/>
  <c r="B1339" i="1"/>
  <c r="C1339" i="1"/>
  <c r="D1339" i="1"/>
  <c r="E1339" i="1" s="1"/>
  <c r="H1339" i="1" s="1"/>
  <c r="F1339" i="1"/>
  <c r="G1339" i="1"/>
  <c r="I1339" i="1"/>
  <c r="J1339" i="1"/>
  <c r="K1339" i="1"/>
  <c r="L1339" i="1"/>
  <c r="A1340" i="1"/>
  <c r="B1340" i="1"/>
  <c r="C1340" i="1"/>
  <c r="D1340" i="1"/>
  <c r="E1340" i="1" s="1"/>
  <c r="H1340" i="1" s="1"/>
  <c r="F1340" i="1"/>
  <c r="G1340" i="1"/>
  <c r="I1340" i="1"/>
  <c r="J1340" i="1"/>
  <c r="K1340" i="1"/>
  <c r="L1340" i="1"/>
  <c r="A1341" i="1"/>
  <c r="B1341" i="1"/>
  <c r="C1341" i="1"/>
  <c r="D1341" i="1"/>
  <c r="E1341" i="1" s="1"/>
  <c r="H1341" i="1" s="1"/>
  <c r="F1341" i="1"/>
  <c r="G1341" i="1"/>
  <c r="I1341" i="1"/>
  <c r="J1341" i="1"/>
  <c r="K1341" i="1"/>
  <c r="L1341" i="1"/>
  <c r="A1342" i="1"/>
  <c r="B1342" i="1"/>
  <c r="C1342" i="1"/>
  <c r="D1342" i="1"/>
  <c r="E1342" i="1" s="1"/>
  <c r="H1342" i="1" s="1"/>
  <c r="F1342" i="1"/>
  <c r="G1342" i="1"/>
  <c r="I1342" i="1"/>
  <c r="J1342" i="1"/>
  <c r="K1342" i="1"/>
  <c r="L1342" i="1"/>
  <c r="A1343" i="1"/>
  <c r="B1343" i="1"/>
  <c r="C1343" i="1"/>
  <c r="D1343" i="1"/>
  <c r="E1343" i="1" s="1"/>
  <c r="H1343" i="1" s="1"/>
  <c r="F1343" i="1"/>
  <c r="G1343" i="1"/>
  <c r="I1343" i="1"/>
  <c r="J1343" i="1"/>
  <c r="K1343" i="1"/>
  <c r="L1343" i="1"/>
  <c r="A1344" i="1"/>
  <c r="B1344" i="1"/>
  <c r="C1344" i="1"/>
  <c r="D1344" i="1"/>
  <c r="E1344" i="1" s="1"/>
  <c r="H1344" i="1" s="1"/>
  <c r="F1344" i="1"/>
  <c r="G1344" i="1"/>
  <c r="I1344" i="1"/>
  <c r="J1344" i="1"/>
  <c r="K1344" i="1"/>
  <c r="L1344" i="1"/>
  <c r="A1345" i="1"/>
  <c r="B1345" i="1"/>
  <c r="C1345" i="1"/>
  <c r="D1345" i="1"/>
  <c r="E1345" i="1" s="1"/>
  <c r="H1345" i="1" s="1"/>
  <c r="F1345" i="1"/>
  <c r="G1345" i="1"/>
  <c r="I1345" i="1"/>
  <c r="J1345" i="1"/>
  <c r="K1345" i="1"/>
  <c r="L1345" i="1"/>
  <c r="A1346" i="1"/>
  <c r="B1346" i="1"/>
  <c r="C1346" i="1"/>
  <c r="D1346" i="1"/>
  <c r="E1346" i="1" s="1"/>
  <c r="H1346" i="1" s="1"/>
  <c r="F1346" i="1"/>
  <c r="G1346" i="1"/>
  <c r="I1346" i="1"/>
  <c r="J1346" i="1"/>
  <c r="K1346" i="1"/>
  <c r="L1346" i="1"/>
  <c r="A1347" i="1"/>
  <c r="B1347" i="1"/>
  <c r="C1347" i="1"/>
  <c r="D1347" i="1"/>
  <c r="E1347" i="1" s="1"/>
  <c r="H1347" i="1" s="1"/>
  <c r="F1347" i="1"/>
  <c r="G1347" i="1"/>
  <c r="I1347" i="1"/>
  <c r="J1347" i="1"/>
  <c r="K1347" i="1"/>
  <c r="L1347" i="1"/>
  <c r="A1348" i="1"/>
  <c r="B1348" i="1"/>
  <c r="C1348" i="1"/>
  <c r="D1348" i="1"/>
  <c r="E1348" i="1" s="1"/>
  <c r="H1348" i="1" s="1"/>
  <c r="F1348" i="1"/>
  <c r="G1348" i="1"/>
  <c r="I1348" i="1"/>
  <c r="J1348" i="1"/>
  <c r="K1348" i="1"/>
  <c r="L1348" i="1"/>
  <c r="A1349" i="1"/>
  <c r="B1349" i="1"/>
  <c r="C1349" i="1"/>
  <c r="D1349" i="1"/>
  <c r="E1349" i="1" s="1"/>
  <c r="H1349" i="1" s="1"/>
  <c r="F1349" i="1"/>
  <c r="G1349" i="1"/>
  <c r="I1349" i="1"/>
  <c r="J1349" i="1"/>
  <c r="K1349" i="1"/>
  <c r="L1349" i="1"/>
  <c r="A1350" i="1"/>
  <c r="B1350" i="1"/>
  <c r="C1350" i="1"/>
  <c r="D1350" i="1"/>
  <c r="E1350" i="1" s="1"/>
  <c r="H1350" i="1" s="1"/>
  <c r="F1350" i="1"/>
  <c r="G1350" i="1"/>
  <c r="I1350" i="1"/>
  <c r="J1350" i="1"/>
  <c r="K1350" i="1"/>
  <c r="L1350" i="1"/>
  <c r="A1351" i="1"/>
  <c r="B1351" i="1"/>
  <c r="C1351" i="1"/>
  <c r="D1351" i="1"/>
  <c r="E1351" i="1" s="1"/>
  <c r="H1351" i="1" s="1"/>
  <c r="F1351" i="1"/>
  <c r="G1351" i="1"/>
  <c r="I1351" i="1"/>
  <c r="J1351" i="1"/>
  <c r="K1351" i="1"/>
  <c r="L1351" i="1"/>
  <c r="A1352" i="1"/>
  <c r="B1352" i="1"/>
  <c r="C1352" i="1"/>
  <c r="D1352" i="1"/>
  <c r="E1352" i="1" s="1"/>
  <c r="H1352" i="1" s="1"/>
  <c r="F1352" i="1"/>
  <c r="G1352" i="1"/>
  <c r="I1352" i="1"/>
  <c r="J1352" i="1"/>
  <c r="K1352" i="1"/>
  <c r="L1352" i="1"/>
  <c r="A1353" i="1"/>
  <c r="B1353" i="1"/>
  <c r="C1353" i="1"/>
  <c r="D1353" i="1"/>
  <c r="E1353" i="1" s="1"/>
  <c r="H1353" i="1" s="1"/>
  <c r="F1353" i="1"/>
  <c r="G1353" i="1"/>
  <c r="I1353" i="1"/>
  <c r="J1353" i="1"/>
  <c r="K1353" i="1"/>
  <c r="L1353" i="1"/>
  <c r="A1354" i="1"/>
  <c r="B1354" i="1"/>
  <c r="C1354" i="1"/>
  <c r="D1354" i="1"/>
  <c r="E1354" i="1" s="1"/>
  <c r="H1354" i="1" s="1"/>
  <c r="F1354" i="1"/>
  <c r="G1354" i="1"/>
  <c r="I1354" i="1"/>
  <c r="J1354" i="1"/>
  <c r="K1354" i="1"/>
  <c r="L1354" i="1"/>
  <c r="A1355" i="1"/>
  <c r="B1355" i="1"/>
  <c r="C1355" i="1"/>
  <c r="D1355" i="1"/>
  <c r="E1355" i="1" s="1"/>
  <c r="H1355" i="1" s="1"/>
  <c r="F1355" i="1"/>
  <c r="G1355" i="1"/>
  <c r="I1355" i="1"/>
  <c r="J1355" i="1"/>
  <c r="K1355" i="1"/>
  <c r="L1355" i="1"/>
  <c r="A1356" i="1"/>
  <c r="B1356" i="1"/>
  <c r="C1356" i="1"/>
  <c r="D1356" i="1"/>
  <c r="E1356" i="1" s="1"/>
  <c r="H1356" i="1" s="1"/>
  <c r="F1356" i="1"/>
  <c r="G1356" i="1"/>
  <c r="I1356" i="1"/>
  <c r="J1356" i="1"/>
  <c r="K1356" i="1"/>
  <c r="L1356" i="1"/>
  <c r="A1357" i="1"/>
  <c r="B1357" i="1"/>
  <c r="C1357" i="1"/>
  <c r="D1357" i="1"/>
  <c r="E1357" i="1" s="1"/>
  <c r="H1357" i="1" s="1"/>
  <c r="F1357" i="1"/>
  <c r="G1357" i="1"/>
  <c r="I1357" i="1"/>
  <c r="J1357" i="1"/>
  <c r="K1357" i="1"/>
  <c r="L1357" i="1"/>
  <c r="A1358" i="1"/>
  <c r="B1358" i="1"/>
  <c r="C1358" i="1"/>
  <c r="D1358" i="1"/>
  <c r="E1358" i="1" s="1"/>
  <c r="H1358" i="1" s="1"/>
  <c r="F1358" i="1"/>
  <c r="G1358" i="1"/>
  <c r="I1358" i="1"/>
  <c r="J1358" i="1"/>
  <c r="K1358" i="1"/>
  <c r="L1358" i="1"/>
  <c r="A1359" i="1"/>
  <c r="B1359" i="1"/>
  <c r="C1359" i="1"/>
  <c r="D1359" i="1"/>
  <c r="E1359" i="1" s="1"/>
  <c r="H1359" i="1" s="1"/>
  <c r="F1359" i="1"/>
  <c r="G1359" i="1"/>
  <c r="I1359" i="1"/>
  <c r="J1359" i="1"/>
  <c r="K1359" i="1"/>
  <c r="L1359" i="1"/>
  <c r="A1360" i="1"/>
  <c r="B1360" i="1"/>
  <c r="C1360" i="1"/>
  <c r="D1360" i="1"/>
  <c r="E1360" i="1" s="1"/>
  <c r="H1360" i="1" s="1"/>
  <c r="F1360" i="1"/>
  <c r="G1360" i="1"/>
  <c r="I1360" i="1"/>
  <c r="J1360" i="1"/>
  <c r="K1360" i="1"/>
  <c r="L1360" i="1"/>
  <c r="A1361" i="1"/>
  <c r="B1361" i="1"/>
  <c r="C1361" i="1"/>
  <c r="D1361" i="1"/>
  <c r="E1361" i="1" s="1"/>
  <c r="H1361" i="1" s="1"/>
  <c r="F1361" i="1"/>
  <c r="G1361" i="1"/>
  <c r="I1361" i="1"/>
  <c r="J1361" i="1"/>
  <c r="K1361" i="1"/>
  <c r="L1361" i="1"/>
  <c r="A1362" i="1"/>
  <c r="B1362" i="1"/>
  <c r="C1362" i="1"/>
  <c r="D1362" i="1"/>
  <c r="E1362" i="1" s="1"/>
  <c r="H1362" i="1" s="1"/>
  <c r="F1362" i="1"/>
  <c r="G1362" i="1"/>
  <c r="I1362" i="1"/>
  <c r="J1362" i="1"/>
  <c r="K1362" i="1"/>
  <c r="L1362" i="1"/>
  <c r="A1363" i="1"/>
  <c r="B1363" i="1"/>
  <c r="C1363" i="1"/>
  <c r="D1363" i="1"/>
  <c r="E1363" i="1" s="1"/>
  <c r="H1363" i="1" s="1"/>
  <c r="F1363" i="1"/>
  <c r="G1363" i="1"/>
  <c r="I1363" i="1"/>
  <c r="J1363" i="1"/>
  <c r="K1363" i="1"/>
  <c r="L1363" i="1"/>
  <c r="A1364" i="1"/>
  <c r="B1364" i="1"/>
  <c r="C1364" i="1"/>
  <c r="D1364" i="1"/>
  <c r="E1364" i="1" s="1"/>
  <c r="H1364" i="1" s="1"/>
  <c r="F1364" i="1"/>
  <c r="G1364" i="1"/>
  <c r="I1364" i="1"/>
  <c r="J1364" i="1"/>
  <c r="K1364" i="1"/>
  <c r="L1364" i="1"/>
  <c r="A1365" i="1"/>
  <c r="B1365" i="1"/>
  <c r="C1365" i="1"/>
  <c r="D1365" i="1"/>
  <c r="E1365" i="1" s="1"/>
  <c r="H1365" i="1" s="1"/>
  <c r="F1365" i="1"/>
  <c r="G1365" i="1"/>
  <c r="I1365" i="1"/>
  <c r="J1365" i="1"/>
  <c r="K1365" i="1"/>
  <c r="L1365" i="1"/>
  <c r="A1366" i="1"/>
  <c r="B1366" i="1"/>
  <c r="C1366" i="1"/>
  <c r="D1366" i="1"/>
  <c r="E1366" i="1" s="1"/>
  <c r="H1366" i="1" s="1"/>
  <c r="F1366" i="1"/>
  <c r="G1366" i="1"/>
  <c r="I1366" i="1"/>
  <c r="J1366" i="1"/>
  <c r="K1366" i="1"/>
  <c r="L1366" i="1"/>
  <c r="A1367" i="1"/>
  <c r="B1367" i="1"/>
  <c r="C1367" i="1"/>
  <c r="D1367" i="1"/>
  <c r="E1367" i="1" s="1"/>
  <c r="H1367" i="1" s="1"/>
  <c r="F1367" i="1"/>
  <c r="G1367" i="1"/>
  <c r="I1367" i="1"/>
  <c r="J1367" i="1"/>
  <c r="K1367" i="1"/>
  <c r="L1367" i="1"/>
  <c r="A1368" i="1"/>
  <c r="B1368" i="1"/>
  <c r="C1368" i="1"/>
  <c r="D1368" i="1"/>
  <c r="E1368" i="1" s="1"/>
  <c r="H1368" i="1" s="1"/>
  <c r="F1368" i="1"/>
  <c r="G1368" i="1"/>
  <c r="I1368" i="1"/>
  <c r="J1368" i="1"/>
  <c r="K1368" i="1"/>
  <c r="L1368" i="1"/>
  <c r="A1369" i="1"/>
  <c r="B1369" i="1"/>
  <c r="C1369" i="1"/>
  <c r="D1369" i="1"/>
  <c r="E1369" i="1" s="1"/>
  <c r="H1369" i="1" s="1"/>
  <c r="F1369" i="1"/>
  <c r="G1369" i="1"/>
  <c r="I1369" i="1"/>
  <c r="J1369" i="1"/>
  <c r="K1369" i="1"/>
  <c r="L1369" i="1"/>
  <c r="A1370" i="1"/>
  <c r="B1370" i="1"/>
  <c r="C1370" i="1"/>
  <c r="D1370" i="1"/>
  <c r="E1370" i="1" s="1"/>
  <c r="H1370" i="1" s="1"/>
  <c r="F1370" i="1"/>
  <c r="G1370" i="1"/>
  <c r="I1370" i="1"/>
  <c r="J1370" i="1"/>
  <c r="K1370" i="1"/>
  <c r="L1370" i="1"/>
  <c r="A1371" i="1"/>
  <c r="B1371" i="1"/>
  <c r="C1371" i="1"/>
  <c r="D1371" i="1"/>
  <c r="E1371" i="1" s="1"/>
  <c r="H1371" i="1" s="1"/>
  <c r="F1371" i="1"/>
  <c r="G1371" i="1"/>
  <c r="I1371" i="1"/>
  <c r="J1371" i="1"/>
  <c r="K1371" i="1"/>
  <c r="L1371" i="1"/>
  <c r="A1372" i="1"/>
  <c r="B1372" i="1"/>
  <c r="C1372" i="1"/>
  <c r="D1372" i="1"/>
  <c r="E1372" i="1" s="1"/>
  <c r="H1372" i="1" s="1"/>
  <c r="F1372" i="1"/>
  <c r="G1372" i="1"/>
  <c r="I1372" i="1"/>
  <c r="J1372" i="1"/>
  <c r="K1372" i="1"/>
  <c r="L1372" i="1"/>
  <c r="A1373" i="1"/>
  <c r="B1373" i="1"/>
  <c r="C1373" i="1"/>
  <c r="D1373" i="1"/>
  <c r="E1373" i="1" s="1"/>
  <c r="H1373" i="1" s="1"/>
  <c r="F1373" i="1"/>
  <c r="G1373" i="1"/>
  <c r="I1373" i="1"/>
  <c r="J1373" i="1"/>
  <c r="K1373" i="1"/>
  <c r="L1373" i="1"/>
  <c r="A1374" i="1"/>
  <c r="B1374" i="1"/>
  <c r="C1374" i="1"/>
  <c r="D1374" i="1"/>
  <c r="E1374" i="1" s="1"/>
  <c r="H1374" i="1" s="1"/>
  <c r="F1374" i="1"/>
  <c r="G1374" i="1"/>
  <c r="I1374" i="1"/>
  <c r="J1374" i="1"/>
  <c r="K1374" i="1"/>
  <c r="L1374" i="1"/>
  <c r="A1375" i="1"/>
  <c r="B1375" i="1"/>
  <c r="C1375" i="1"/>
  <c r="D1375" i="1"/>
  <c r="E1375" i="1" s="1"/>
  <c r="H1375" i="1" s="1"/>
  <c r="F1375" i="1"/>
  <c r="G1375" i="1"/>
  <c r="I1375" i="1"/>
  <c r="J1375" i="1"/>
  <c r="K1375" i="1"/>
  <c r="L1375" i="1"/>
  <c r="A1376" i="1"/>
  <c r="B1376" i="1"/>
  <c r="C1376" i="1"/>
  <c r="D1376" i="1"/>
  <c r="E1376" i="1" s="1"/>
  <c r="H1376" i="1" s="1"/>
  <c r="F1376" i="1"/>
  <c r="G1376" i="1"/>
  <c r="I1376" i="1"/>
  <c r="J1376" i="1"/>
  <c r="K1376" i="1"/>
  <c r="L1376" i="1"/>
  <c r="A1377" i="1"/>
  <c r="B1377" i="1"/>
  <c r="C1377" i="1"/>
  <c r="D1377" i="1"/>
  <c r="E1377" i="1" s="1"/>
  <c r="H1377" i="1" s="1"/>
  <c r="F1377" i="1"/>
  <c r="G1377" i="1"/>
  <c r="I1377" i="1"/>
  <c r="J1377" i="1"/>
  <c r="K1377" i="1"/>
  <c r="L1377" i="1"/>
  <c r="A1378" i="1"/>
  <c r="B1378" i="1"/>
  <c r="C1378" i="1"/>
  <c r="D1378" i="1"/>
  <c r="E1378" i="1" s="1"/>
  <c r="H1378" i="1" s="1"/>
  <c r="F1378" i="1"/>
  <c r="G1378" i="1"/>
  <c r="I1378" i="1"/>
  <c r="J1378" i="1"/>
  <c r="K1378" i="1"/>
  <c r="L1378" i="1"/>
  <c r="A1379" i="1"/>
  <c r="B1379" i="1"/>
  <c r="C1379" i="1"/>
  <c r="D1379" i="1"/>
  <c r="E1379" i="1" s="1"/>
  <c r="H1379" i="1" s="1"/>
  <c r="F1379" i="1"/>
  <c r="G1379" i="1"/>
  <c r="I1379" i="1"/>
  <c r="J1379" i="1"/>
  <c r="K1379" i="1"/>
  <c r="L1379" i="1"/>
  <c r="A1380" i="1"/>
  <c r="B1380" i="1"/>
  <c r="C1380" i="1"/>
  <c r="D1380" i="1"/>
  <c r="E1380" i="1" s="1"/>
  <c r="H1380" i="1" s="1"/>
  <c r="F1380" i="1"/>
  <c r="G1380" i="1"/>
  <c r="I1380" i="1"/>
  <c r="J1380" i="1"/>
  <c r="K1380" i="1"/>
  <c r="L1380" i="1"/>
  <c r="A1381" i="1"/>
  <c r="B1381" i="1"/>
  <c r="C1381" i="1"/>
  <c r="D1381" i="1"/>
  <c r="E1381" i="1" s="1"/>
  <c r="H1381" i="1" s="1"/>
  <c r="F1381" i="1"/>
  <c r="G1381" i="1"/>
  <c r="I1381" i="1"/>
  <c r="J1381" i="1"/>
  <c r="K1381" i="1"/>
  <c r="L1381" i="1"/>
  <c r="A1382" i="1"/>
  <c r="B1382" i="1"/>
  <c r="C1382" i="1"/>
  <c r="D1382" i="1"/>
  <c r="E1382" i="1" s="1"/>
  <c r="H1382" i="1" s="1"/>
  <c r="F1382" i="1"/>
  <c r="G1382" i="1"/>
  <c r="I1382" i="1"/>
  <c r="J1382" i="1"/>
  <c r="K1382" i="1"/>
  <c r="L1382" i="1"/>
  <c r="A1383" i="1"/>
  <c r="B1383" i="1"/>
  <c r="C1383" i="1"/>
  <c r="D1383" i="1"/>
  <c r="E1383" i="1" s="1"/>
  <c r="H1383" i="1" s="1"/>
  <c r="F1383" i="1"/>
  <c r="G1383" i="1"/>
  <c r="I1383" i="1"/>
  <c r="J1383" i="1"/>
  <c r="K1383" i="1"/>
  <c r="L1383" i="1"/>
  <c r="A1384" i="1"/>
  <c r="B1384" i="1"/>
  <c r="C1384" i="1"/>
  <c r="D1384" i="1"/>
  <c r="E1384" i="1" s="1"/>
  <c r="H1384" i="1" s="1"/>
  <c r="F1384" i="1"/>
  <c r="G1384" i="1"/>
  <c r="I1384" i="1"/>
  <c r="J1384" i="1"/>
  <c r="K1384" i="1"/>
  <c r="L1384" i="1"/>
  <c r="A1385" i="1"/>
  <c r="B1385" i="1"/>
  <c r="C1385" i="1"/>
  <c r="D1385" i="1"/>
  <c r="E1385" i="1" s="1"/>
  <c r="H1385" i="1" s="1"/>
  <c r="F1385" i="1"/>
  <c r="G1385" i="1"/>
  <c r="I1385" i="1"/>
  <c r="J1385" i="1"/>
  <c r="K1385" i="1"/>
  <c r="L1385" i="1"/>
  <c r="A1386" i="1"/>
  <c r="B1386" i="1"/>
  <c r="C1386" i="1"/>
  <c r="D1386" i="1"/>
  <c r="E1386" i="1" s="1"/>
  <c r="H1386" i="1" s="1"/>
  <c r="F1386" i="1"/>
  <c r="G1386" i="1"/>
  <c r="I1386" i="1"/>
  <c r="J1386" i="1"/>
  <c r="K1386" i="1"/>
  <c r="L1386" i="1"/>
  <c r="A1387" i="1"/>
  <c r="B1387" i="1"/>
  <c r="C1387" i="1"/>
  <c r="D1387" i="1"/>
  <c r="E1387" i="1" s="1"/>
  <c r="H1387" i="1" s="1"/>
  <c r="F1387" i="1"/>
  <c r="G1387" i="1"/>
  <c r="I1387" i="1"/>
  <c r="J1387" i="1"/>
  <c r="K1387" i="1"/>
  <c r="L1387" i="1"/>
  <c r="A1388" i="1"/>
  <c r="B1388" i="1"/>
  <c r="C1388" i="1"/>
  <c r="D1388" i="1"/>
  <c r="E1388" i="1" s="1"/>
  <c r="H1388" i="1" s="1"/>
  <c r="F1388" i="1"/>
  <c r="G1388" i="1"/>
  <c r="I1388" i="1"/>
  <c r="J1388" i="1"/>
  <c r="K1388" i="1"/>
  <c r="L1388" i="1"/>
  <c r="A1389" i="1"/>
  <c r="B1389" i="1"/>
  <c r="C1389" i="1"/>
  <c r="D1389" i="1"/>
  <c r="E1389" i="1" s="1"/>
  <c r="H1389" i="1" s="1"/>
  <c r="F1389" i="1"/>
  <c r="G1389" i="1"/>
  <c r="I1389" i="1"/>
  <c r="J1389" i="1"/>
  <c r="K1389" i="1"/>
  <c r="L1389" i="1"/>
  <c r="A1390" i="1"/>
  <c r="B1390" i="1"/>
  <c r="C1390" i="1"/>
  <c r="D1390" i="1"/>
  <c r="E1390" i="1" s="1"/>
  <c r="H1390" i="1" s="1"/>
  <c r="F1390" i="1"/>
  <c r="G1390" i="1"/>
  <c r="I1390" i="1"/>
  <c r="J1390" i="1"/>
  <c r="K1390" i="1"/>
  <c r="L1390" i="1"/>
  <c r="A1391" i="1"/>
  <c r="B1391" i="1"/>
  <c r="C1391" i="1"/>
  <c r="D1391" i="1"/>
  <c r="E1391" i="1" s="1"/>
  <c r="H1391" i="1" s="1"/>
  <c r="F1391" i="1"/>
  <c r="G1391" i="1"/>
  <c r="I1391" i="1"/>
  <c r="J1391" i="1"/>
  <c r="K1391" i="1"/>
  <c r="L1391" i="1"/>
  <c r="A1392" i="1"/>
  <c r="B1392" i="1"/>
  <c r="C1392" i="1"/>
  <c r="D1392" i="1"/>
  <c r="E1392" i="1" s="1"/>
  <c r="H1392" i="1" s="1"/>
  <c r="F1392" i="1"/>
  <c r="G1392" i="1"/>
  <c r="I1392" i="1"/>
  <c r="J1392" i="1"/>
  <c r="K1392" i="1"/>
  <c r="L1392" i="1"/>
  <c r="A1393" i="1"/>
  <c r="B1393" i="1"/>
  <c r="C1393" i="1"/>
  <c r="D1393" i="1"/>
  <c r="E1393" i="1" s="1"/>
  <c r="H1393" i="1" s="1"/>
  <c r="F1393" i="1"/>
  <c r="G1393" i="1"/>
  <c r="I1393" i="1"/>
  <c r="J1393" i="1"/>
  <c r="K1393" i="1"/>
  <c r="L1393" i="1"/>
  <c r="A1394" i="1"/>
  <c r="B1394" i="1"/>
  <c r="C1394" i="1"/>
  <c r="D1394" i="1"/>
  <c r="E1394" i="1" s="1"/>
  <c r="H1394" i="1" s="1"/>
  <c r="F1394" i="1"/>
  <c r="G1394" i="1"/>
  <c r="I1394" i="1"/>
  <c r="J1394" i="1"/>
  <c r="K1394" i="1"/>
  <c r="L1394" i="1"/>
  <c r="A1395" i="1"/>
  <c r="B1395" i="1"/>
  <c r="C1395" i="1"/>
  <c r="D1395" i="1"/>
  <c r="E1395" i="1" s="1"/>
  <c r="H1395" i="1" s="1"/>
  <c r="F1395" i="1"/>
  <c r="G1395" i="1"/>
  <c r="I1395" i="1"/>
  <c r="J1395" i="1"/>
  <c r="K1395" i="1"/>
  <c r="L1395" i="1"/>
  <c r="A1396" i="1"/>
  <c r="B1396" i="1"/>
  <c r="C1396" i="1"/>
  <c r="D1396" i="1"/>
  <c r="E1396" i="1" s="1"/>
  <c r="H1396" i="1" s="1"/>
  <c r="F1396" i="1"/>
  <c r="G1396" i="1"/>
  <c r="I1396" i="1"/>
  <c r="J1396" i="1"/>
  <c r="K1396" i="1"/>
  <c r="L1396" i="1"/>
  <c r="A1397" i="1"/>
  <c r="B1397" i="1"/>
  <c r="C1397" i="1"/>
  <c r="D1397" i="1"/>
  <c r="E1397" i="1" s="1"/>
  <c r="H1397" i="1" s="1"/>
  <c r="F1397" i="1"/>
  <c r="G1397" i="1"/>
  <c r="I1397" i="1"/>
  <c r="J1397" i="1"/>
  <c r="K1397" i="1"/>
  <c r="L1397" i="1"/>
  <c r="A1398" i="1"/>
  <c r="B1398" i="1"/>
  <c r="C1398" i="1"/>
  <c r="D1398" i="1"/>
  <c r="E1398" i="1" s="1"/>
  <c r="H1398" i="1" s="1"/>
  <c r="F1398" i="1"/>
  <c r="G1398" i="1"/>
  <c r="I1398" i="1"/>
  <c r="J1398" i="1"/>
  <c r="K1398" i="1"/>
  <c r="L1398" i="1"/>
  <c r="A1399" i="1"/>
  <c r="B1399" i="1"/>
  <c r="C1399" i="1"/>
  <c r="D1399" i="1"/>
  <c r="E1399" i="1" s="1"/>
  <c r="H1399" i="1" s="1"/>
  <c r="F1399" i="1"/>
  <c r="G1399" i="1"/>
  <c r="I1399" i="1"/>
  <c r="J1399" i="1"/>
  <c r="K1399" i="1"/>
  <c r="L1399" i="1"/>
  <c r="A1400" i="1"/>
  <c r="B1400" i="1"/>
  <c r="C1400" i="1"/>
  <c r="D1400" i="1"/>
  <c r="E1400" i="1" s="1"/>
  <c r="H1400" i="1" s="1"/>
  <c r="F1400" i="1"/>
  <c r="G1400" i="1"/>
  <c r="I1400" i="1"/>
  <c r="J1400" i="1"/>
  <c r="K1400" i="1"/>
  <c r="L1400" i="1"/>
  <c r="A1401" i="1"/>
  <c r="B1401" i="1"/>
  <c r="C1401" i="1"/>
  <c r="D1401" i="1"/>
  <c r="E1401" i="1" s="1"/>
  <c r="H1401" i="1" s="1"/>
  <c r="F1401" i="1"/>
  <c r="G1401" i="1"/>
  <c r="I1401" i="1"/>
  <c r="J1401" i="1"/>
  <c r="K1401" i="1"/>
  <c r="L1401" i="1"/>
  <c r="A1402" i="1"/>
  <c r="B1402" i="1"/>
  <c r="C1402" i="1"/>
  <c r="D1402" i="1"/>
  <c r="E1402" i="1" s="1"/>
  <c r="H1402" i="1" s="1"/>
  <c r="F1402" i="1"/>
  <c r="G1402" i="1"/>
  <c r="I1402" i="1"/>
  <c r="J1402" i="1"/>
  <c r="K1402" i="1"/>
  <c r="L1402" i="1"/>
  <c r="A1403" i="1"/>
  <c r="B1403" i="1"/>
  <c r="C1403" i="1"/>
  <c r="D1403" i="1"/>
  <c r="E1403" i="1" s="1"/>
  <c r="H1403" i="1" s="1"/>
  <c r="F1403" i="1"/>
  <c r="G1403" i="1"/>
  <c r="I1403" i="1"/>
  <c r="J1403" i="1"/>
  <c r="K1403" i="1"/>
  <c r="L1403" i="1"/>
  <c r="A1404" i="1"/>
  <c r="B1404" i="1"/>
  <c r="C1404" i="1"/>
  <c r="D1404" i="1"/>
  <c r="E1404" i="1" s="1"/>
  <c r="H1404" i="1" s="1"/>
  <c r="F1404" i="1"/>
  <c r="G1404" i="1"/>
  <c r="I1404" i="1"/>
  <c r="J1404" i="1"/>
  <c r="K1404" i="1"/>
  <c r="L1404" i="1"/>
  <c r="A1405" i="1"/>
  <c r="B1405" i="1"/>
  <c r="C1405" i="1"/>
  <c r="D1405" i="1"/>
  <c r="E1405" i="1" s="1"/>
  <c r="H1405" i="1" s="1"/>
  <c r="F1405" i="1"/>
  <c r="G1405" i="1"/>
  <c r="I1405" i="1"/>
  <c r="J1405" i="1"/>
  <c r="K1405" i="1"/>
  <c r="L1405" i="1"/>
  <c r="A1406" i="1"/>
  <c r="B1406" i="1"/>
  <c r="C1406" i="1"/>
  <c r="D1406" i="1"/>
  <c r="E1406" i="1" s="1"/>
  <c r="H1406" i="1" s="1"/>
  <c r="F1406" i="1"/>
  <c r="G1406" i="1"/>
  <c r="I1406" i="1"/>
  <c r="J1406" i="1"/>
  <c r="K1406" i="1"/>
  <c r="L1406" i="1"/>
  <c r="A1407" i="1"/>
  <c r="B1407" i="1"/>
  <c r="C1407" i="1"/>
  <c r="D1407" i="1"/>
  <c r="E1407" i="1" s="1"/>
  <c r="H1407" i="1" s="1"/>
  <c r="F1407" i="1"/>
  <c r="G1407" i="1"/>
  <c r="I1407" i="1"/>
  <c r="J1407" i="1"/>
  <c r="K1407" i="1"/>
  <c r="L1407" i="1"/>
  <c r="A1408" i="1"/>
  <c r="B1408" i="1"/>
  <c r="C1408" i="1"/>
  <c r="D1408" i="1"/>
  <c r="E1408" i="1" s="1"/>
  <c r="H1408" i="1" s="1"/>
  <c r="F1408" i="1"/>
  <c r="G1408" i="1"/>
  <c r="I1408" i="1"/>
  <c r="J1408" i="1"/>
  <c r="K1408" i="1"/>
  <c r="L1408" i="1"/>
  <c r="A1409" i="1"/>
  <c r="B1409" i="1"/>
  <c r="C1409" i="1"/>
  <c r="D1409" i="1"/>
  <c r="E1409" i="1" s="1"/>
  <c r="H1409" i="1" s="1"/>
  <c r="F1409" i="1"/>
  <c r="G1409" i="1"/>
  <c r="I1409" i="1"/>
  <c r="J1409" i="1"/>
  <c r="K1409" i="1"/>
  <c r="L1409" i="1"/>
  <c r="A1410" i="1"/>
  <c r="B1410" i="1"/>
  <c r="C1410" i="1"/>
  <c r="D1410" i="1"/>
  <c r="E1410" i="1" s="1"/>
  <c r="H1410" i="1" s="1"/>
  <c r="F1410" i="1"/>
  <c r="G1410" i="1"/>
  <c r="I1410" i="1"/>
  <c r="J1410" i="1"/>
  <c r="K1410" i="1"/>
  <c r="L1410" i="1"/>
  <c r="A1411" i="1"/>
  <c r="B1411" i="1"/>
  <c r="C1411" i="1"/>
  <c r="D1411" i="1"/>
  <c r="E1411" i="1" s="1"/>
  <c r="H1411" i="1" s="1"/>
  <c r="F1411" i="1"/>
  <c r="G1411" i="1"/>
  <c r="I1411" i="1"/>
  <c r="J1411" i="1"/>
  <c r="K1411" i="1"/>
  <c r="L1411" i="1"/>
  <c r="A1412" i="1"/>
  <c r="B1412" i="1"/>
  <c r="C1412" i="1"/>
  <c r="D1412" i="1"/>
  <c r="E1412" i="1" s="1"/>
  <c r="H1412" i="1" s="1"/>
  <c r="F1412" i="1"/>
  <c r="G1412" i="1"/>
  <c r="I1412" i="1"/>
  <c r="J1412" i="1"/>
  <c r="K1412" i="1"/>
  <c r="L1412" i="1"/>
  <c r="A1413" i="1"/>
  <c r="B1413" i="1"/>
  <c r="C1413" i="1"/>
  <c r="D1413" i="1"/>
  <c r="E1413" i="1" s="1"/>
  <c r="H1413" i="1" s="1"/>
  <c r="F1413" i="1"/>
  <c r="G1413" i="1"/>
  <c r="I1413" i="1"/>
  <c r="J1413" i="1"/>
  <c r="K1413" i="1"/>
  <c r="L1413" i="1"/>
  <c r="A1414" i="1"/>
  <c r="B1414" i="1"/>
  <c r="C1414" i="1"/>
  <c r="D1414" i="1"/>
  <c r="E1414" i="1" s="1"/>
  <c r="H1414" i="1" s="1"/>
  <c r="F1414" i="1"/>
  <c r="G1414" i="1"/>
  <c r="I1414" i="1"/>
  <c r="J1414" i="1"/>
  <c r="K1414" i="1"/>
  <c r="L1414" i="1"/>
  <c r="A1415" i="1"/>
  <c r="B1415" i="1"/>
  <c r="C1415" i="1"/>
  <c r="D1415" i="1"/>
  <c r="E1415" i="1" s="1"/>
  <c r="H1415" i="1" s="1"/>
  <c r="F1415" i="1"/>
  <c r="G1415" i="1"/>
  <c r="I1415" i="1"/>
  <c r="J1415" i="1"/>
  <c r="K1415" i="1"/>
  <c r="L1415" i="1"/>
  <c r="A1416" i="1"/>
  <c r="B1416" i="1"/>
  <c r="C1416" i="1"/>
  <c r="D1416" i="1"/>
  <c r="E1416" i="1" s="1"/>
  <c r="H1416" i="1" s="1"/>
  <c r="F1416" i="1"/>
  <c r="G1416" i="1"/>
  <c r="I1416" i="1"/>
  <c r="J1416" i="1"/>
  <c r="K1416" i="1"/>
  <c r="L1416" i="1"/>
  <c r="A1417" i="1"/>
  <c r="B1417" i="1"/>
  <c r="C1417" i="1"/>
  <c r="D1417" i="1"/>
  <c r="E1417" i="1" s="1"/>
  <c r="H1417" i="1" s="1"/>
  <c r="F1417" i="1"/>
  <c r="G1417" i="1"/>
  <c r="I1417" i="1"/>
  <c r="J1417" i="1"/>
  <c r="K1417" i="1"/>
  <c r="L1417" i="1"/>
  <c r="A1418" i="1"/>
  <c r="B1418" i="1"/>
  <c r="C1418" i="1"/>
  <c r="D1418" i="1"/>
  <c r="E1418" i="1" s="1"/>
  <c r="H1418" i="1" s="1"/>
  <c r="F1418" i="1"/>
  <c r="G1418" i="1"/>
  <c r="I1418" i="1"/>
  <c r="J1418" i="1"/>
  <c r="K1418" i="1"/>
  <c r="L1418" i="1"/>
  <c r="A1419" i="1"/>
  <c r="B1419" i="1"/>
  <c r="C1419" i="1"/>
  <c r="D1419" i="1"/>
  <c r="E1419" i="1" s="1"/>
  <c r="H1419" i="1" s="1"/>
  <c r="F1419" i="1"/>
  <c r="G1419" i="1"/>
  <c r="I1419" i="1"/>
  <c r="J1419" i="1"/>
  <c r="K1419" i="1"/>
  <c r="L1419" i="1"/>
  <c r="A1420" i="1"/>
  <c r="B1420" i="1"/>
  <c r="C1420" i="1"/>
  <c r="D1420" i="1"/>
  <c r="E1420" i="1" s="1"/>
  <c r="H1420" i="1" s="1"/>
  <c r="F1420" i="1"/>
  <c r="G1420" i="1"/>
  <c r="I1420" i="1"/>
  <c r="J1420" i="1"/>
  <c r="K1420" i="1"/>
  <c r="L1420" i="1"/>
  <c r="A1421" i="1"/>
  <c r="B1421" i="1"/>
  <c r="C1421" i="1"/>
  <c r="D1421" i="1"/>
  <c r="E1421" i="1" s="1"/>
  <c r="H1421" i="1" s="1"/>
  <c r="F1421" i="1"/>
  <c r="G1421" i="1"/>
  <c r="I1421" i="1"/>
  <c r="J1421" i="1"/>
  <c r="K1421" i="1"/>
  <c r="L1421" i="1"/>
  <c r="A1422" i="1"/>
  <c r="B1422" i="1"/>
  <c r="C1422" i="1"/>
  <c r="D1422" i="1"/>
  <c r="E1422" i="1" s="1"/>
  <c r="H1422" i="1" s="1"/>
  <c r="F1422" i="1"/>
  <c r="G1422" i="1"/>
  <c r="I1422" i="1"/>
  <c r="J1422" i="1"/>
  <c r="K1422" i="1"/>
  <c r="L1422" i="1"/>
  <c r="A1423" i="1"/>
  <c r="B1423" i="1"/>
  <c r="C1423" i="1"/>
  <c r="D1423" i="1"/>
  <c r="E1423" i="1" s="1"/>
  <c r="H1423" i="1" s="1"/>
  <c r="F1423" i="1"/>
  <c r="G1423" i="1"/>
  <c r="I1423" i="1"/>
  <c r="J1423" i="1"/>
  <c r="K1423" i="1"/>
  <c r="L1423" i="1"/>
  <c r="A1424" i="1"/>
  <c r="B1424" i="1"/>
  <c r="C1424" i="1"/>
  <c r="D1424" i="1"/>
  <c r="E1424" i="1" s="1"/>
  <c r="H1424" i="1" s="1"/>
  <c r="F1424" i="1"/>
  <c r="G1424" i="1"/>
  <c r="I1424" i="1"/>
  <c r="J1424" i="1"/>
  <c r="K1424" i="1"/>
  <c r="L1424" i="1"/>
  <c r="A1425" i="1"/>
  <c r="B1425" i="1"/>
  <c r="C1425" i="1"/>
  <c r="D1425" i="1"/>
  <c r="E1425" i="1" s="1"/>
  <c r="H1425" i="1" s="1"/>
  <c r="F1425" i="1"/>
  <c r="G1425" i="1"/>
  <c r="I1425" i="1"/>
  <c r="J1425" i="1"/>
  <c r="K1425" i="1"/>
  <c r="L1425" i="1"/>
  <c r="A1426" i="1"/>
  <c r="B1426" i="1"/>
  <c r="C1426" i="1"/>
  <c r="D1426" i="1"/>
  <c r="E1426" i="1" s="1"/>
  <c r="H1426" i="1" s="1"/>
  <c r="F1426" i="1"/>
  <c r="G1426" i="1"/>
  <c r="I1426" i="1"/>
  <c r="J1426" i="1"/>
  <c r="K1426" i="1"/>
  <c r="L1426" i="1"/>
  <c r="A1427" i="1"/>
  <c r="B1427" i="1"/>
  <c r="C1427" i="1"/>
  <c r="D1427" i="1"/>
  <c r="E1427" i="1" s="1"/>
  <c r="H1427" i="1" s="1"/>
  <c r="F1427" i="1"/>
  <c r="G1427" i="1"/>
  <c r="I1427" i="1"/>
  <c r="J1427" i="1"/>
  <c r="K1427" i="1"/>
  <c r="L1427" i="1"/>
  <c r="A1428" i="1"/>
  <c r="B1428" i="1"/>
  <c r="C1428" i="1"/>
  <c r="D1428" i="1"/>
  <c r="E1428" i="1" s="1"/>
  <c r="H1428" i="1" s="1"/>
  <c r="F1428" i="1"/>
  <c r="G1428" i="1"/>
  <c r="I1428" i="1"/>
  <c r="J1428" i="1"/>
  <c r="K1428" i="1"/>
  <c r="L1428" i="1"/>
  <c r="A1429" i="1"/>
  <c r="B1429" i="1"/>
  <c r="C1429" i="1"/>
  <c r="D1429" i="1"/>
  <c r="E1429" i="1" s="1"/>
  <c r="H1429" i="1" s="1"/>
  <c r="F1429" i="1"/>
  <c r="G1429" i="1"/>
  <c r="I1429" i="1"/>
  <c r="J1429" i="1"/>
  <c r="K1429" i="1"/>
  <c r="L1429" i="1"/>
  <c r="A1430" i="1"/>
  <c r="B1430" i="1"/>
  <c r="C1430" i="1"/>
  <c r="D1430" i="1"/>
  <c r="E1430" i="1" s="1"/>
  <c r="H1430" i="1" s="1"/>
  <c r="F1430" i="1"/>
  <c r="G1430" i="1"/>
  <c r="I1430" i="1"/>
  <c r="J1430" i="1"/>
  <c r="K1430" i="1"/>
  <c r="L1430" i="1"/>
  <c r="A1431" i="1"/>
  <c r="B1431" i="1"/>
  <c r="C1431" i="1"/>
  <c r="D1431" i="1"/>
  <c r="E1431" i="1" s="1"/>
  <c r="H1431" i="1" s="1"/>
  <c r="F1431" i="1"/>
  <c r="G1431" i="1"/>
  <c r="I1431" i="1"/>
  <c r="J1431" i="1"/>
  <c r="K1431" i="1"/>
  <c r="L1431" i="1"/>
  <c r="A1432" i="1"/>
  <c r="B1432" i="1"/>
  <c r="C1432" i="1"/>
  <c r="D1432" i="1"/>
  <c r="E1432" i="1" s="1"/>
  <c r="H1432" i="1" s="1"/>
  <c r="F1432" i="1"/>
  <c r="G1432" i="1"/>
  <c r="I1432" i="1"/>
  <c r="J1432" i="1"/>
  <c r="K1432" i="1"/>
  <c r="L1432" i="1"/>
  <c r="A1433" i="1"/>
  <c r="B1433" i="1"/>
  <c r="C1433" i="1"/>
  <c r="D1433" i="1"/>
  <c r="E1433" i="1" s="1"/>
  <c r="H1433" i="1" s="1"/>
  <c r="F1433" i="1"/>
  <c r="G1433" i="1"/>
  <c r="I1433" i="1"/>
  <c r="J1433" i="1"/>
  <c r="K1433" i="1"/>
  <c r="L1433" i="1"/>
  <c r="A1434" i="1"/>
  <c r="B1434" i="1"/>
  <c r="C1434" i="1"/>
  <c r="D1434" i="1"/>
  <c r="E1434" i="1" s="1"/>
  <c r="H1434" i="1" s="1"/>
  <c r="F1434" i="1"/>
  <c r="G1434" i="1"/>
  <c r="I1434" i="1"/>
  <c r="J1434" i="1"/>
  <c r="K1434" i="1"/>
  <c r="L1434" i="1"/>
  <c r="A1435" i="1"/>
  <c r="B1435" i="1"/>
  <c r="C1435" i="1"/>
  <c r="D1435" i="1"/>
  <c r="E1435" i="1" s="1"/>
  <c r="H1435" i="1" s="1"/>
  <c r="F1435" i="1"/>
  <c r="G1435" i="1"/>
  <c r="I1435" i="1"/>
  <c r="J1435" i="1"/>
  <c r="K1435" i="1"/>
  <c r="L1435" i="1"/>
  <c r="A1436" i="1"/>
  <c r="B1436" i="1"/>
  <c r="C1436" i="1"/>
  <c r="D1436" i="1"/>
  <c r="E1436" i="1" s="1"/>
  <c r="H1436" i="1" s="1"/>
  <c r="F1436" i="1"/>
  <c r="G1436" i="1"/>
  <c r="I1436" i="1"/>
  <c r="J1436" i="1"/>
  <c r="K1436" i="1"/>
  <c r="L1436" i="1"/>
  <c r="A1437" i="1"/>
  <c r="B1437" i="1"/>
  <c r="C1437" i="1"/>
  <c r="D1437" i="1"/>
  <c r="E1437" i="1" s="1"/>
  <c r="H1437" i="1" s="1"/>
  <c r="F1437" i="1"/>
  <c r="G1437" i="1"/>
  <c r="I1437" i="1"/>
  <c r="J1437" i="1"/>
  <c r="K1437" i="1"/>
  <c r="L1437" i="1"/>
  <c r="A1438" i="1"/>
  <c r="B1438" i="1"/>
  <c r="C1438" i="1"/>
  <c r="D1438" i="1"/>
  <c r="E1438" i="1" s="1"/>
  <c r="H1438" i="1" s="1"/>
  <c r="F1438" i="1"/>
  <c r="G1438" i="1"/>
  <c r="I1438" i="1"/>
  <c r="J1438" i="1"/>
  <c r="K1438" i="1"/>
  <c r="L1438" i="1"/>
  <c r="A1439" i="1"/>
  <c r="B1439" i="1"/>
  <c r="C1439" i="1"/>
  <c r="D1439" i="1"/>
  <c r="E1439" i="1" s="1"/>
  <c r="H1439" i="1" s="1"/>
  <c r="F1439" i="1"/>
  <c r="G1439" i="1"/>
  <c r="I1439" i="1"/>
  <c r="J1439" i="1"/>
  <c r="K1439" i="1"/>
  <c r="L1439" i="1"/>
  <c r="A1440" i="1"/>
  <c r="B1440" i="1"/>
  <c r="C1440" i="1"/>
  <c r="D1440" i="1"/>
  <c r="E1440" i="1" s="1"/>
  <c r="H1440" i="1" s="1"/>
  <c r="F1440" i="1"/>
  <c r="G1440" i="1"/>
  <c r="I1440" i="1"/>
  <c r="J1440" i="1"/>
  <c r="K1440" i="1"/>
  <c r="L1440" i="1"/>
  <c r="A1441" i="1"/>
  <c r="B1441" i="1"/>
  <c r="C1441" i="1"/>
  <c r="D1441" i="1"/>
  <c r="E1441" i="1" s="1"/>
  <c r="H1441" i="1" s="1"/>
  <c r="F1441" i="1"/>
  <c r="G1441" i="1"/>
  <c r="I1441" i="1"/>
  <c r="J1441" i="1"/>
  <c r="K1441" i="1"/>
  <c r="L1441" i="1"/>
  <c r="A1442" i="1"/>
  <c r="B1442" i="1"/>
  <c r="C1442" i="1"/>
  <c r="D1442" i="1"/>
  <c r="E1442" i="1" s="1"/>
  <c r="H1442" i="1" s="1"/>
  <c r="F1442" i="1"/>
  <c r="G1442" i="1"/>
  <c r="I1442" i="1"/>
  <c r="J1442" i="1"/>
  <c r="K1442" i="1"/>
  <c r="L1442" i="1"/>
  <c r="A1443" i="1"/>
  <c r="B1443" i="1"/>
  <c r="C1443" i="1"/>
  <c r="D1443" i="1"/>
  <c r="E1443" i="1" s="1"/>
  <c r="H1443" i="1" s="1"/>
  <c r="F1443" i="1"/>
  <c r="G1443" i="1"/>
  <c r="I1443" i="1"/>
  <c r="J1443" i="1"/>
  <c r="K1443" i="1"/>
  <c r="L1443" i="1"/>
  <c r="A1444" i="1"/>
  <c r="B1444" i="1"/>
  <c r="C1444" i="1"/>
  <c r="D1444" i="1"/>
  <c r="E1444" i="1" s="1"/>
  <c r="H1444" i="1" s="1"/>
  <c r="F1444" i="1"/>
  <c r="G1444" i="1"/>
  <c r="I1444" i="1"/>
  <c r="J1444" i="1"/>
  <c r="K1444" i="1"/>
  <c r="L1444" i="1"/>
  <c r="A1445" i="1"/>
  <c r="B1445" i="1"/>
  <c r="C1445" i="1"/>
  <c r="D1445" i="1"/>
  <c r="E1445" i="1" s="1"/>
  <c r="H1445" i="1" s="1"/>
  <c r="F1445" i="1"/>
  <c r="G1445" i="1"/>
  <c r="I1445" i="1"/>
  <c r="J1445" i="1"/>
  <c r="K1445" i="1"/>
  <c r="L1445" i="1"/>
  <c r="A1446" i="1"/>
  <c r="B1446" i="1"/>
  <c r="C1446" i="1"/>
  <c r="D1446" i="1"/>
  <c r="E1446" i="1" s="1"/>
  <c r="H1446" i="1" s="1"/>
  <c r="F1446" i="1"/>
  <c r="G1446" i="1"/>
  <c r="I1446" i="1"/>
  <c r="J1446" i="1"/>
  <c r="K1446" i="1"/>
  <c r="L1446" i="1"/>
  <c r="A1447" i="1"/>
  <c r="B1447" i="1"/>
  <c r="C1447" i="1"/>
  <c r="D1447" i="1"/>
  <c r="E1447" i="1" s="1"/>
  <c r="H1447" i="1" s="1"/>
  <c r="F1447" i="1"/>
  <c r="G1447" i="1"/>
  <c r="I1447" i="1"/>
  <c r="J1447" i="1"/>
  <c r="K1447" i="1"/>
  <c r="L1447" i="1"/>
  <c r="A1448" i="1"/>
  <c r="B1448" i="1"/>
  <c r="C1448" i="1"/>
  <c r="D1448" i="1"/>
  <c r="E1448" i="1" s="1"/>
  <c r="H1448" i="1" s="1"/>
  <c r="F1448" i="1"/>
  <c r="G1448" i="1"/>
  <c r="I1448" i="1"/>
  <c r="J1448" i="1"/>
  <c r="K1448" i="1"/>
  <c r="L1448" i="1"/>
  <c r="A1449" i="1"/>
  <c r="B1449" i="1"/>
  <c r="C1449" i="1"/>
  <c r="D1449" i="1"/>
  <c r="E1449" i="1" s="1"/>
  <c r="H1449" i="1" s="1"/>
  <c r="F1449" i="1"/>
  <c r="G1449" i="1"/>
  <c r="I1449" i="1"/>
  <c r="J1449" i="1"/>
  <c r="K1449" i="1"/>
  <c r="L1449" i="1"/>
  <c r="A1450" i="1"/>
  <c r="B1450" i="1"/>
  <c r="C1450" i="1"/>
  <c r="D1450" i="1"/>
  <c r="E1450" i="1" s="1"/>
  <c r="H1450" i="1" s="1"/>
  <c r="F1450" i="1"/>
  <c r="G1450" i="1"/>
  <c r="I1450" i="1"/>
  <c r="J1450" i="1"/>
  <c r="K1450" i="1"/>
  <c r="L1450" i="1"/>
  <c r="A1451" i="1"/>
  <c r="B1451" i="1"/>
  <c r="C1451" i="1"/>
  <c r="D1451" i="1"/>
  <c r="E1451" i="1" s="1"/>
  <c r="H1451" i="1" s="1"/>
  <c r="F1451" i="1"/>
  <c r="G1451" i="1"/>
  <c r="I1451" i="1"/>
  <c r="J1451" i="1"/>
  <c r="K1451" i="1"/>
  <c r="L1451" i="1"/>
  <c r="A1452" i="1"/>
  <c r="B1452" i="1"/>
  <c r="C1452" i="1"/>
  <c r="D1452" i="1"/>
  <c r="E1452" i="1" s="1"/>
  <c r="H1452" i="1" s="1"/>
  <c r="F1452" i="1"/>
  <c r="G1452" i="1"/>
  <c r="I1452" i="1"/>
  <c r="J1452" i="1"/>
  <c r="K1452" i="1"/>
  <c r="L1452" i="1"/>
  <c r="A1453" i="1"/>
  <c r="B1453" i="1"/>
  <c r="C1453" i="1"/>
  <c r="D1453" i="1"/>
  <c r="E1453" i="1" s="1"/>
  <c r="H1453" i="1" s="1"/>
  <c r="F1453" i="1"/>
  <c r="G1453" i="1"/>
  <c r="I1453" i="1"/>
  <c r="J1453" i="1"/>
  <c r="K1453" i="1"/>
  <c r="L1453" i="1"/>
  <c r="A1454" i="1"/>
  <c r="B1454" i="1"/>
  <c r="C1454" i="1"/>
  <c r="D1454" i="1"/>
  <c r="E1454" i="1" s="1"/>
  <c r="H1454" i="1" s="1"/>
  <c r="F1454" i="1"/>
  <c r="G1454" i="1"/>
  <c r="I1454" i="1"/>
  <c r="J1454" i="1"/>
  <c r="K1454" i="1"/>
  <c r="L1454" i="1"/>
  <c r="A1455" i="1"/>
  <c r="B1455" i="1"/>
  <c r="C1455" i="1"/>
  <c r="D1455" i="1"/>
  <c r="E1455" i="1" s="1"/>
  <c r="H1455" i="1" s="1"/>
  <c r="F1455" i="1"/>
  <c r="G1455" i="1"/>
  <c r="I1455" i="1"/>
  <c r="J1455" i="1"/>
  <c r="K1455" i="1"/>
  <c r="L1455" i="1"/>
  <c r="A1456" i="1"/>
  <c r="B1456" i="1"/>
  <c r="C1456" i="1"/>
  <c r="D1456" i="1"/>
  <c r="E1456" i="1" s="1"/>
  <c r="H1456" i="1" s="1"/>
  <c r="F1456" i="1"/>
  <c r="G1456" i="1"/>
  <c r="I1456" i="1"/>
  <c r="J1456" i="1"/>
  <c r="K1456" i="1"/>
  <c r="L1456" i="1"/>
  <c r="A1457" i="1"/>
  <c r="B1457" i="1"/>
  <c r="C1457" i="1"/>
  <c r="D1457" i="1"/>
  <c r="E1457" i="1" s="1"/>
  <c r="H1457" i="1" s="1"/>
  <c r="F1457" i="1"/>
  <c r="G1457" i="1"/>
  <c r="I1457" i="1"/>
  <c r="J1457" i="1"/>
  <c r="K1457" i="1"/>
  <c r="L1457" i="1"/>
  <c r="A1458" i="1"/>
  <c r="B1458" i="1"/>
  <c r="C1458" i="1"/>
  <c r="D1458" i="1"/>
  <c r="E1458" i="1" s="1"/>
  <c r="H1458" i="1" s="1"/>
  <c r="F1458" i="1"/>
  <c r="G1458" i="1"/>
  <c r="I1458" i="1"/>
  <c r="J1458" i="1"/>
  <c r="K1458" i="1"/>
  <c r="L1458" i="1"/>
  <c r="A1459" i="1"/>
  <c r="B1459" i="1"/>
  <c r="C1459" i="1"/>
  <c r="D1459" i="1"/>
  <c r="E1459" i="1" s="1"/>
  <c r="H1459" i="1" s="1"/>
  <c r="F1459" i="1"/>
  <c r="G1459" i="1"/>
  <c r="I1459" i="1"/>
  <c r="J1459" i="1"/>
  <c r="K1459" i="1"/>
  <c r="L1459" i="1"/>
  <c r="A1460" i="1"/>
  <c r="B1460" i="1"/>
  <c r="C1460" i="1"/>
  <c r="D1460" i="1"/>
  <c r="E1460" i="1" s="1"/>
  <c r="H1460" i="1" s="1"/>
  <c r="F1460" i="1"/>
  <c r="G1460" i="1"/>
  <c r="I1460" i="1"/>
  <c r="J1460" i="1"/>
  <c r="K1460" i="1"/>
  <c r="L1460" i="1"/>
  <c r="A1461" i="1"/>
  <c r="B1461" i="1"/>
  <c r="C1461" i="1"/>
  <c r="D1461" i="1"/>
  <c r="E1461" i="1" s="1"/>
  <c r="H1461" i="1" s="1"/>
  <c r="F1461" i="1"/>
  <c r="G1461" i="1"/>
  <c r="I1461" i="1"/>
  <c r="J1461" i="1"/>
  <c r="K1461" i="1"/>
  <c r="L1461" i="1"/>
  <c r="A1462" i="1"/>
  <c r="B1462" i="1"/>
  <c r="C1462" i="1"/>
  <c r="D1462" i="1"/>
  <c r="E1462" i="1" s="1"/>
  <c r="H1462" i="1" s="1"/>
  <c r="F1462" i="1"/>
  <c r="G1462" i="1"/>
  <c r="I1462" i="1"/>
  <c r="J1462" i="1"/>
  <c r="K1462" i="1"/>
  <c r="L1462" i="1"/>
  <c r="A1463" i="1"/>
  <c r="B1463" i="1"/>
  <c r="C1463" i="1"/>
  <c r="D1463" i="1"/>
  <c r="E1463" i="1" s="1"/>
  <c r="H1463" i="1" s="1"/>
  <c r="F1463" i="1"/>
  <c r="G1463" i="1"/>
  <c r="I1463" i="1"/>
  <c r="J1463" i="1"/>
  <c r="K1463" i="1"/>
  <c r="L1463" i="1"/>
  <c r="A1464" i="1"/>
  <c r="B1464" i="1"/>
  <c r="C1464" i="1"/>
  <c r="D1464" i="1"/>
  <c r="E1464" i="1" s="1"/>
  <c r="H1464" i="1" s="1"/>
  <c r="F1464" i="1"/>
  <c r="G1464" i="1"/>
  <c r="I1464" i="1"/>
  <c r="J1464" i="1"/>
  <c r="K1464" i="1"/>
  <c r="L1464" i="1"/>
  <c r="A1465" i="1"/>
  <c r="B1465" i="1"/>
  <c r="C1465" i="1"/>
  <c r="D1465" i="1"/>
  <c r="E1465" i="1" s="1"/>
  <c r="H1465" i="1" s="1"/>
  <c r="F1465" i="1"/>
  <c r="G1465" i="1"/>
  <c r="I1465" i="1"/>
  <c r="J1465" i="1"/>
  <c r="K1465" i="1"/>
  <c r="L1465" i="1"/>
  <c r="A1466" i="1"/>
  <c r="B1466" i="1"/>
  <c r="C1466" i="1"/>
  <c r="D1466" i="1"/>
  <c r="E1466" i="1" s="1"/>
  <c r="H1466" i="1" s="1"/>
  <c r="F1466" i="1"/>
  <c r="G1466" i="1"/>
  <c r="I1466" i="1"/>
  <c r="J1466" i="1"/>
  <c r="K1466" i="1"/>
  <c r="L1466" i="1"/>
  <c r="A1467" i="1"/>
  <c r="B1467" i="1"/>
  <c r="C1467" i="1"/>
  <c r="D1467" i="1"/>
  <c r="E1467" i="1" s="1"/>
  <c r="H1467" i="1" s="1"/>
  <c r="F1467" i="1"/>
  <c r="G1467" i="1"/>
  <c r="I1467" i="1"/>
  <c r="J1467" i="1"/>
  <c r="K1467" i="1"/>
  <c r="L1467" i="1"/>
  <c r="A1468" i="1"/>
  <c r="B1468" i="1"/>
  <c r="C1468" i="1"/>
  <c r="D1468" i="1"/>
  <c r="E1468" i="1" s="1"/>
  <c r="H1468" i="1" s="1"/>
  <c r="F1468" i="1"/>
  <c r="G1468" i="1"/>
  <c r="I1468" i="1"/>
  <c r="J1468" i="1"/>
  <c r="K1468" i="1"/>
  <c r="L1468" i="1"/>
  <c r="A1469" i="1"/>
  <c r="B1469" i="1"/>
  <c r="C1469" i="1"/>
  <c r="D1469" i="1"/>
  <c r="E1469" i="1" s="1"/>
  <c r="H1469" i="1" s="1"/>
  <c r="F1469" i="1"/>
  <c r="G1469" i="1"/>
  <c r="I1469" i="1"/>
  <c r="J1469" i="1"/>
  <c r="K1469" i="1"/>
  <c r="L1469" i="1"/>
  <c r="A1470" i="1"/>
  <c r="B1470" i="1"/>
  <c r="C1470" i="1"/>
  <c r="D1470" i="1"/>
  <c r="E1470" i="1" s="1"/>
  <c r="H1470" i="1" s="1"/>
  <c r="F1470" i="1"/>
  <c r="G1470" i="1"/>
  <c r="I1470" i="1"/>
  <c r="J1470" i="1"/>
  <c r="K1470" i="1"/>
  <c r="L1470" i="1"/>
  <c r="A1471" i="1"/>
  <c r="B1471" i="1"/>
  <c r="C1471" i="1"/>
  <c r="D1471" i="1"/>
  <c r="E1471" i="1" s="1"/>
  <c r="H1471" i="1" s="1"/>
  <c r="F1471" i="1"/>
  <c r="G1471" i="1"/>
  <c r="I1471" i="1"/>
  <c r="J1471" i="1"/>
  <c r="K1471" i="1"/>
  <c r="L1471" i="1"/>
  <c r="A1472" i="1"/>
  <c r="B1472" i="1"/>
  <c r="C1472" i="1"/>
  <c r="D1472" i="1"/>
  <c r="E1472" i="1" s="1"/>
  <c r="H1472" i="1" s="1"/>
  <c r="F1472" i="1"/>
  <c r="G1472" i="1"/>
  <c r="I1472" i="1"/>
  <c r="J1472" i="1"/>
  <c r="K1472" i="1"/>
  <c r="L1472" i="1"/>
  <c r="A1473" i="1"/>
  <c r="B1473" i="1"/>
  <c r="C1473" i="1"/>
  <c r="D1473" i="1"/>
  <c r="E1473" i="1" s="1"/>
  <c r="H1473" i="1" s="1"/>
  <c r="F1473" i="1"/>
  <c r="G1473" i="1"/>
  <c r="I1473" i="1"/>
  <c r="J1473" i="1"/>
  <c r="K1473" i="1"/>
  <c r="L1473" i="1"/>
  <c r="A1474" i="1"/>
  <c r="B1474" i="1"/>
  <c r="C1474" i="1"/>
  <c r="D1474" i="1"/>
  <c r="E1474" i="1" s="1"/>
  <c r="H1474" i="1" s="1"/>
  <c r="F1474" i="1"/>
  <c r="G1474" i="1"/>
  <c r="I1474" i="1"/>
  <c r="J1474" i="1"/>
  <c r="K1474" i="1"/>
  <c r="L1474" i="1"/>
  <c r="A1475" i="1"/>
  <c r="B1475" i="1"/>
  <c r="C1475" i="1"/>
  <c r="D1475" i="1"/>
  <c r="E1475" i="1" s="1"/>
  <c r="H1475" i="1" s="1"/>
  <c r="F1475" i="1"/>
  <c r="G1475" i="1"/>
  <c r="I1475" i="1"/>
  <c r="J1475" i="1"/>
  <c r="K1475" i="1"/>
  <c r="L1475" i="1"/>
  <c r="A1476" i="1"/>
  <c r="B1476" i="1"/>
  <c r="C1476" i="1"/>
  <c r="D1476" i="1"/>
  <c r="E1476" i="1" s="1"/>
  <c r="H1476" i="1" s="1"/>
  <c r="F1476" i="1"/>
  <c r="G1476" i="1"/>
  <c r="I1476" i="1"/>
  <c r="J1476" i="1"/>
  <c r="K1476" i="1"/>
  <c r="L1476" i="1"/>
  <c r="A1477" i="1"/>
  <c r="B1477" i="1"/>
  <c r="C1477" i="1"/>
  <c r="D1477" i="1"/>
  <c r="E1477" i="1" s="1"/>
  <c r="H1477" i="1" s="1"/>
  <c r="F1477" i="1"/>
  <c r="G1477" i="1"/>
  <c r="I1477" i="1"/>
  <c r="J1477" i="1"/>
  <c r="K1477" i="1"/>
  <c r="L1477" i="1"/>
  <c r="A1478" i="1"/>
  <c r="B1478" i="1"/>
  <c r="C1478" i="1"/>
  <c r="D1478" i="1"/>
  <c r="E1478" i="1" s="1"/>
  <c r="H1478" i="1" s="1"/>
  <c r="F1478" i="1"/>
  <c r="G1478" i="1"/>
  <c r="I1478" i="1"/>
  <c r="J1478" i="1"/>
  <c r="K1478" i="1"/>
  <c r="L1478" i="1"/>
  <c r="A1479" i="1"/>
  <c r="B1479" i="1"/>
  <c r="C1479" i="1"/>
  <c r="D1479" i="1"/>
  <c r="E1479" i="1" s="1"/>
  <c r="H1479" i="1" s="1"/>
  <c r="F1479" i="1"/>
  <c r="G1479" i="1"/>
  <c r="I1479" i="1"/>
  <c r="J1479" i="1"/>
  <c r="K1479" i="1"/>
  <c r="L1479" i="1"/>
  <c r="A1480" i="1"/>
  <c r="B1480" i="1"/>
  <c r="C1480" i="1"/>
  <c r="D1480" i="1"/>
  <c r="E1480" i="1" s="1"/>
  <c r="H1480" i="1" s="1"/>
  <c r="F1480" i="1"/>
  <c r="G1480" i="1"/>
  <c r="I1480" i="1"/>
  <c r="J1480" i="1"/>
  <c r="K1480" i="1"/>
  <c r="L1480" i="1"/>
  <c r="A1481" i="1"/>
  <c r="B1481" i="1"/>
  <c r="C1481" i="1"/>
  <c r="D1481" i="1"/>
  <c r="E1481" i="1" s="1"/>
  <c r="H1481" i="1" s="1"/>
  <c r="F1481" i="1"/>
  <c r="G1481" i="1"/>
  <c r="I1481" i="1"/>
  <c r="J1481" i="1"/>
  <c r="K1481" i="1"/>
  <c r="L1481" i="1"/>
  <c r="A1482" i="1"/>
  <c r="B1482" i="1"/>
  <c r="C1482" i="1"/>
  <c r="D1482" i="1"/>
  <c r="E1482" i="1" s="1"/>
  <c r="H1482" i="1" s="1"/>
  <c r="F1482" i="1"/>
  <c r="G1482" i="1"/>
  <c r="I1482" i="1"/>
  <c r="J1482" i="1"/>
  <c r="K1482" i="1"/>
  <c r="L1482" i="1"/>
  <c r="A1483" i="1"/>
  <c r="B1483" i="1"/>
  <c r="C1483" i="1"/>
  <c r="D1483" i="1"/>
  <c r="E1483" i="1" s="1"/>
  <c r="H1483" i="1" s="1"/>
  <c r="F1483" i="1"/>
  <c r="G1483" i="1"/>
  <c r="I1483" i="1"/>
  <c r="J1483" i="1"/>
  <c r="K1483" i="1"/>
  <c r="L1483" i="1"/>
  <c r="A1484" i="1"/>
  <c r="B1484" i="1"/>
  <c r="C1484" i="1"/>
  <c r="D1484" i="1"/>
  <c r="E1484" i="1" s="1"/>
  <c r="H1484" i="1" s="1"/>
  <c r="F1484" i="1"/>
  <c r="G1484" i="1"/>
  <c r="I1484" i="1"/>
  <c r="J1484" i="1"/>
  <c r="K1484" i="1"/>
  <c r="L1484" i="1"/>
  <c r="A1485" i="1"/>
  <c r="B1485" i="1"/>
  <c r="C1485" i="1"/>
  <c r="D1485" i="1"/>
  <c r="E1485" i="1" s="1"/>
  <c r="H1485" i="1" s="1"/>
  <c r="F1485" i="1"/>
  <c r="G1485" i="1"/>
  <c r="I1485" i="1"/>
  <c r="J1485" i="1"/>
  <c r="K1485" i="1"/>
  <c r="L1485" i="1"/>
  <c r="A1486" i="1"/>
  <c r="B1486" i="1"/>
  <c r="C1486" i="1"/>
  <c r="D1486" i="1"/>
  <c r="E1486" i="1" s="1"/>
  <c r="H1486" i="1" s="1"/>
  <c r="F1486" i="1"/>
  <c r="G1486" i="1"/>
  <c r="I1486" i="1"/>
  <c r="J1486" i="1"/>
  <c r="K1486" i="1"/>
  <c r="L1486" i="1"/>
  <c r="A1487" i="1"/>
  <c r="B1487" i="1"/>
  <c r="C1487" i="1"/>
  <c r="D1487" i="1"/>
  <c r="E1487" i="1" s="1"/>
  <c r="H1487" i="1" s="1"/>
  <c r="F1487" i="1"/>
  <c r="G1487" i="1"/>
  <c r="I1487" i="1"/>
  <c r="J1487" i="1"/>
  <c r="K1487" i="1"/>
  <c r="L1487" i="1"/>
  <c r="A1488" i="1"/>
  <c r="B1488" i="1"/>
  <c r="C1488" i="1"/>
  <c r="D1488" i="1"/>
  <c r="E1488" i="1" s="1"/>
  <c r="H1488" i="1" s="1"/>
  <c r="F1488" i="1"/>
  <c r="G1488" i="1"/>
  <c r="I1488" i="1"/>
  <c r="J1488" i="1"/>
  <c r="K1488" i="1"/>
  <c r="L1488" i="1"/>
  <c r="A1489" i="1"/>
  <c r="B1489" i="1"/>
  <c r="C1489" i="1"/>
  <c r="D1489" i="1"/>
  <c r="E1489" i="1" s="1"/>
  <c r="H1489" i="1" s="1"/>
  <c r="F1489" i="1"/>
  <c r="G1489" i="1"/>
  <c r="I1489" i="1"/>
  <c r="J1489" i="1"/>
  <c r="K1489" i="1"/>
  <c r="L1489" i="1"/>
  <c r="A1490" i="1"/>
  <c r="B1490" i="1"/>
  <c r="C1490" i="1"/>
  <c r="D1490" i="1"/>
  <c r="E1490" i="1" s="1"/>
  <c r="H1490" i="1" s="1"/>
  <c r="F1490" i="1"/>
  <c r="G1490" i="1"/>
  <c r="I1490" i="1"/>
  <c r="J1490" i="1"/>
  <c r="K1490" i="1"/>
  <c r="L1490" i="1"/>
  <c r="A1491" i="1"/>
  <c r="B1491" i="1"/>
  <c r="C1491" i="1"/>
  <c r="D1491" i="1"/>
  <c r="E1491" i="1" s="1"/>
  <c r="H1491" i="1" s="1"/>
  <c r="F1491" i="1"/>
  <c r="G1491" i="1"/>
  <c r="I1491" i="1"/>
  <c r="J1491" i="1"/>
  <c r="K1491" i="1"/>
  <c r="L1491" i="1"/>
  <c r="A1492" i="1"/>
  <c r="B1492" i="1"/>
  <c r="C1492" i="1"/>
  <c r="D1492" i="1"/>
  <c r="E1492" i="1" s="1"/>
  <c r="H1492" i="1" s="1"/>
  <c r="F1492" i="1"/>
  <c r="G1492" i="1"/>
  <c r="I1492" i="1"/>
  <c r="J1492" i="1"/>
  <c r="K1492" i="1"/>
  <c r="L1492" i="1"/>
  <c r="A1493" i="1"/>
  <c r="B1493" i="1"/>
  <c r="C1493" i="1"/>
  <c r="D1493" i="1"/>
  <c r="E1493" i="1" s="1"/>
  <c r="H1493" i="1" s="1"/>
  <c r="F1493" i="1"/>
  <c r="G1493" i="1"/>
  <c r="I1493" i="1"/>
  <c r="J1493" i="1"/>
  <c r="K1493" i="1"/>
  <c r="L1493" i="1"/>
  <c r="A1494" i="1"/>
  <c r="B1494" i="1"/>
  <c r="C1494" i="1"/>
  <c r="D1494" i="1"/>
  <c r="E1494" i="1" s="1"/>
  <c r="H1494" i="1" s="1"/>
  <c r="F1494" i="1"/>
  <c r="G1494" i="1"/>
  <c r="I1494" i="1"/>
  <c r="J1494" i="1"/>
  <c r="K1494" i="1"/>
  <c r="L1494" i="1"/>
  <c r="A1495" i="1"/>
  <c r="B1495" i="1"/>
  <c r="C1495" i="1"/>
  <c r="D1495" i="1"/>
  <c r="E1495" i="1" s="1"/>
  <c r="H1495" i="1" s="1"/>
  <c r="F1495" i="1"/>
  <c r="G1495" i="1"/>
  <c r="I1495" i="1"/>
  <c r="J1495" i="1"/>
  <c r="K1495" i="1"/>
  <c r="L1495" i="1"/>
  <c r="A1496" i="1"/>
  <c r="B1496" i="1"/>
  <c r="C1496" i="1"/>
  <c r="D1496" i="1"/>
  <c r="E1496" i="1" s="1"/>
  <c r="H1496" i="1" s="1"/>
  <c r="F1496" i="1"/>
  <c r="G1496" i="1"/>
  <c r="I1496" i="1"/>
  <c r="J1496" i="1"/>
  <c r="K1496" i="1"/>
  <c r="L1496" i="1"/>
  <c r="A1497" i="1"/>
  <c r="B1497" i="1"/>
  <c r="C1497" i="1"/>
  <c r="D1497" i="1"/>
  <c r="E1497" i="1" s="1"/>
  <c r="H1497" i="1" s="1"/>
  <c r="F1497" i="1"/>
  <c r="G1497" i="1"/>
  <c r="I1497" i="1"/>
  <c r="J1497" i="1"/>
  <c r="K1497" i="1"/>
  <c r="L1497" i="1"/>
  <c r="A1498" i="1"/>
  <c r="B1498" i="1"/>
  <c r="C1498" i="1"/>
  <c r="D1498" i="1"/>
  <c r="E1498" i="1" s="1"/>
  <c r="H1498" i="1" s="1"/>
  <c r="F1498" i="1"/>
  <c r="G1498" i="1"/>
  <c r="I1498" i="1"/>
  <c r="J1498" i="1"/>
  <c r="K1498" i="1"/>
  <c r="L1498" i="1"/>
  <c r="A1499" i="1"/>
  <c r="B1499" i="1"/>
  <c r="C1499" i="1"/>
  <c r="D1499" i="1"/>
  <c r="E1499" i="1" s="1"/>
  <c r="H1499" i="1" s="1"/>
  <c r="F1499" i="1"/>
  <c r="G1499" i="1"/>
  <c r="I1499" i="1"/>
  <c r="J1499" i="1"/>
  <c r="K1499" i="1"/>
  <c r="L1499" i="1"/>
  <c r="A1500" i="1"/>
  <c r="B1500" i="1"/>
  <c r="C1500" i="1"/>
  <c r="D1500" i="1"/>
  <c r="E1500" i="1" s="1"/>
  <c r="H1500" i="1" s="1"/>
  <c r="F1500" i="1"/>
  <c r="G1500" i="1"/>
  <c r="I1500" i="1"/>
  <c r="J1500" i="1"/>
  <c r="K1500" i="1"/>
  <c r="L1500" i="1"/>
  <c r="A1501" i="1"/>
  <c r="B1501" i="1"/>
  <c r="C1501" i="1"/>
  <c r="D1501" i="1"/>
  <c r="E1501" i="1" s="1"/>
  <c r="H1501" i="1" s="1"/>
  <c r="F1501" i="1"/>
  <c r="G1501" i="1"/>
  <c r="I1501" i="1"/>
  <c r="J1501" i="1"/>
  <c r="K1501" i="1"/>
  <c r="L1501" i="1"/>
  <c r="A1502" i="1"/>
  <c r="B1502" i="1"/>
  <c r="C1502" i="1"/>
  <c r="D1502" i="1"/>
  <c r="E1502" i="1" s="1"/>
  <c r="H1502" i="1" s="1"/>
  <c r="F1502" i="1"/>
  <c r="G1502" i="1"/>
  <c r="I1502" i="1"/>
  <c r="J1502" i="1"/>
  <c r="K1502" i="1"/>
  <c r="L1502" i="1"/>
  <c r="A1503" i="1"/>
  <c r="B1503" i="1"/>
  <c r="C1503" i="1"/>
  <c r="D1503" i="1"/>
  <c r="E1503" i="1" s="1"/>
  <c r="H1503" i="1" s="1"/>
  <c r="F1503" i="1"/>
  <c r="G1503" i="1"/>
  <c r="I1503" i="1"/>
  <c r="J1503" i="1"/>
  <c r="K1503" i="1"/>
  <c r="L1503" i="1"/>
  <c r="A1504" i="1"/>
  <c r="B1504" i="1"/>
  <c r="C1504" i="1"/>
  <c r="D1504" i="1"/>
  <c r="E1504" i="1" s="1"/>
  <c r="H1504" i="1" s="1"/>
  <c r="F1504" i="1"/>
  <c r="G1504" i="1"/>
  <c r="I1504" i="1"/>
  <c r="J1504" i="1"/>
  <c r="K1504" i="1"/>
  <c r="L1504" i="1"/>
  <c r="A1505" i="1"/>
  <c r="B1505" i="1"/>
  <c r="C1505" i="1"/>
  <c r="D1505" i="1"/>
  <c r="E1505" i="1" s="1"/>
  <c r="H1505" i="1" s="1"/>
  <c r="F1505" i="1"/>
  <c r="G1505" i="1"/>
  <c r="I1505" i="1"/>
  <c r="J1505" i="1"/>
  <c r="K1505" i="1"/>
  <c r="L1505" i="1"/>
  <c r="A1506" i="1"/>
  <c r="B1506" i="1"/>
  <c r="C1506" i="1"/>
  <c r="D1506" i="1"/>
  <c r="E1506" i="1" s="1"/>
  <c r="H1506" i="1" s="1"/>
  <c r="F1506" i="1"/>
  <c r="G1506" i="1"/>
  <c r="I1506" i="1"/>
  <c r="J1506" i="1"/>
  <c r="K1506" i="1"/>
  <c r="L1506" i="1"/>
  <c r="A1507" i="1"/>
  <c r="B1507" i="1"/>
  <c r="C1507" i="1"/>
  <c r="D1507" i="1"/>
  <c r="E1507" i="1" s="1"/>
  <c r="H1507" i="1" s="1"/>
  <c r="F1507" i="1"/>
  <c r="G1507" i="1"/>
  <c r="I1507" i="1"/>
  <c r="J1507" i="1"/>
  <c r="K1507" i="1"/>
  <c r="L1507" i="1"/>
  <c r="A1508" i="1"/>
  <c r="B1508" i="1"/>
  <c r="C1508" i="1"/>
  <c r="D1508" i="1"/>
  <c r="E1508" i="1" s="1"/>
  <c r="H1508" i="1" s="1"/>
  <c r="F1508" i="1"/>
  <c r="G1508" i="1"/>
  <c r="I1508" i="1"/>
  <c r="J1508" i="1"/>
  <c r="K1508" i="1"/>
  <c r="L1508" i="1"/>
  <c r="A1509" i="1"/>
  <c r="B1509" i="1"/>
  <c r="C1509" i="1"/>
  <c r="D1509" i="1"/>
  <c r="E1509" i="1" s="1"/>
  <c r="H1509" i="1" s="1"/>
  <c r="F1509" i="1"/>
  <c r="G1509" i="1"/>
  <c r="I1509" i="1"/>
  <c r="J1509" i="1"/>
  <c r="K1509" i="1"/>
  <c r="L1509" i="1"/>
  <c r="A1510" i="1"/>
  <c r="B1510" i="1"/>
  <c r="C1510" i="1"/>
  <c r="D1510" i="1"/>
  <c r="E1510" i="1" s="1"/>
  <c r="H1510" i="1" s="1"/>
  <c r="F1510" i="1"/>
  <c r="G1510" i="1"/>
  <c r="I1510" i="1"/>
  <c r="J1510" i="1"/>
  <c r="K1510" i="1"/>
  <c r="L1510" i="1"/>
  <c r="A1511" i="1"/>
  <c r="B1511" i="1"/>
  <c r="C1511" i="1"/>
  <c r="D1511" i="1"/>
  <c r="E1511" i="1" s="1"/>
  <c r="H1511" i="1" s="1"/>
  <c r="F1511" i="1"/>
  <c r="G1511" i="1"/>
  <c r="I1511" i="1"/>
  <c r="J1511" i="1"/>
  <c r="K1511" i="1"/>
  <c r="L1511" i="1"/>
  <c r="A1512" i="1"/>
  <c r="B1512" i="1"/>
  <c r="C1512" i="1"/>
  <c r="D1512" i="1"/>
  <c r="E1512" i="1" s="1"/>
  <c r="H1512" i="1" s="1"/>
  <c r="F1512" i="1"/>
  <c r="G1512" i="1"/>
  <c r="I1512" i="1"/>
  <c r="J1512" i="1"/>
  <c r="K1512" i="1"/>
  <c r="L1512" i="1"/>
  <c r="A1513" i="1"/>
  <c r="B1513" i="1"/>
  <c r="C1513" i="1"/>
  <c r="D1513" i="1"/>
  <c r="E1513" i="1" s="1"/>
  <c r="H1513" i="1" s="1"/>
  <c r="F1513" i="1"/>
  <c r="G1513" i="1"/>
  <c r="I1513" i="1"/>
  <c r="J1513" i="1"/>
  <c r="K1513" i="1"/>
  <c r="L1513" i="1"/>
  <c r="A1514" i="1"/>
  <c r="B1514" i="1"/>
  <c r="C1514" i="1"/>
  <c r="D1514" i="1"/>
  <c r="E1514" i="1" s="1"/>
  <c r="H1514" i="1" s="1"/>
  <c r="F1514" i="1"/>
  <c r="G1514" i="1"/>
  <c r="I1514" i="1"/>
  <c r="J1514" i="1"/>
  <c r="K1514" i="1"/>
  <c r="L1514" i="1"/>
  <c r="A1515" i="1"/>
  <c r="B1515" i="1"/>
  <c r="C1515" i="1"/>
  <c r="D1515" i="1"/>
  <c r="E1515" i="1" s="1"/>
  <c r="H1515" i="1" s="1"/>
  <c r="F1515" i="1"/>
  <c r="G1515" i="1"/>
  <c r="I1515" i="1"/>
  <c r="J1515" i="1"/>
  <c r="K1515" i="1"/>
  <c r="L1515" i="1"/>
  <c r="A1516" i="1"/>
  <c r="B1516" i="1"/>
  <c r="C1516" i="1"/>
  <c r="D1516" i="1"/>
  <c r="E1516" i="1" s="1"/>
  <c r="H1516" i="1" s="1"/>
  <c r="F1516" i="1"/>
  <c r="G1516" i="1"/>
  <c r="I1516" i="1"/>
  <c r="J1516" i="1"/>
  <c r="K1516" i="1"/>
  <c r="L1516" i="1"/>
  <c r="A1517" i="1"/>
  <c r="B1517" i="1"/>
  <c r="C1517" i="1"/>
  <c r="D1517" i="1"/>
  <c r="E1517" i="1" s="1"/>
  <c r="H1517" i="1" s="1"/>
  <c r="F1517" i="1"/>
  <c r="G1517" i="1"/>
  <c r="I1517" i="1"/>
  <c r="J1517" i="1"/>
  <c r="K1517" i="1"/>
  <c r="L1517" i="1"/>
  <c r="A1518" i="1"/>
  <c r="B1518" i="1"/>
  <c r="C1518" i="1"/>
  <c r="D1518" i="1"/>
  <c r="E1518" i="1" s="1"/>
  <c r="H1518" i="1" s="1"/>
  <c r="F1518" i="1"/>
  <c r="G1518" i="1"/>
  <c r="I1518" i="1"/>
  <c r="J1518" i="1"/>
  <c r="K1518" i="1"/>
  <c r="L1518" i="1"/>
  <c r="A1519" i="1"/>
  <c r="B1519" i="1"/>
  <c r="C1519" i="1"/>
  <c r="D1519" i="1"/>
  <c r="E1519" i="1" s="1"/>
  <c r="H1519" i="1" s="1"/>
  <c r="F1519" i="1"/>
  <c r="G1519" i="1"/>
  <c r="I1519" i="1"/>
  <c r="J1519" i="1"/>
  <c r="K1519" i="1"/>
  <c r="L1519" i="1"/>
  <c r="A1520" i="1"/>
  <c r="B1520" i="1"/>
  <c r="C1520" i="1"/>
  <c r="D1520" i="1"/>
  <c r="E1520" i="1" s="1"/>
  <c r="H1520" i="1" s="1"/>
  <c r="F1520" i="1"/>
  <c r="G1520" i="1"/>
  <c r="I1520" i="1"/>
  <c r="J1520" i="1"/>
  <c r="K1520" i="1"/>
  <c r="L1520" i="1"/>
  <c r="A1521" i="1"/>
  <c r="B1521" i="1"/>
  <c r="C1521" i="1"/>
  <c r="D1521" i="1"/>
  <c r="E1521" i="1" s="1"/>
  <c r="H1521" i="1" s="1"/>
  <c r="F1521" i="1"/>
  <c r="G1521" i="1"/>
  <c r="I1521" i="1"/>
  <c r="J1521" i="1"/>
  <c r="K1521" i="1"/>
  <c r="L1521" i="1"/>
  <c r="A1522" i="1"/>
  <c r="B1522" i="1"/>
  <c r="C1522" i="1"/>
  <c r="D1522" i="1"/>
  <c r="E1522" i="1" s="1"/>
  <c r="H1522" i="1" s="1"/>
  <c r="F1522" i="1"/>
  <c r="G1522" i="1"/>
  <c r="I1522" i="1"/>
  <c r="J1522" i="1"/>
  <c r="K1522" i="1"/>
  <c r="L1522" i="1"/>
  <c r="A1523" i="1"/>
  <c r="B1523" i="1"/>
  <c r="C1523" i="1"/>
  <c r="D1523" i="1"/>
  <c r="E1523" i="1" s="1"/>
  <c r="H1523" i="1" s="1"/>
  <c r="F1523" i="1"/>
  <c r="G1523" i="1"/>
  <c r="I1523" i="1"/>
  <c r="J1523" i="1"/>
  <c r="K1523" i="1"/>
  <c r="L1523" i="1"/>
  <c r="A1524" i="1"/>
  <c r="B1524" i="1"/>
  <c r="C1524" i="1"/>
  <c r="D1524" i="1"/>
  <c r="E1524" i="1" s="1"/>
  <c r="H1524" i="1" s="1"/>
  <c r="F1524" i="1"/>
  <c r="G1524" i="1"/>
  <c r="I1524" i="1"/>
  <c r="J1524" i="1"/>
  <c r="K1524" i="1"/>
  <c r="L1524" i="1"/>
  <c r="A1525" i="1"/>
  <c r="B1525" i="1"/>
  <c r="C1525" i="1"/>
  <c r="D1525" i="1"/>
  <c r="E1525" i="1" s="1"/>
  <c r="H1525" i="1" s="1"/>
  <c r="F1525" i="1"/>
  <c r="G1525" i="1"/>
  <c r="I1525" i="1"/>
  <c r="J1525" i="1"/>
  <c r="K1525" i="1"/>
  <c r="L1525" i="1"/>
  <c r="A1526" i="1"/>
  <c r="B1526" i="1"/>
  <c r="C1526" i="1"/>
  <c r="D1526" i="1"/>
  <c r="E1526" i="1" s="1"/>
  <c r="H1526" i="1" s="1"/>
  <c r="F1526" i="1"/>
  <c r="G1526" i="1"/>
  <c r="I1526" i="1"/>
  <c r="J1526" i="1"/>
  <c r="K1526" i="1"/>
  <c r="L1526" i="1"/>
  <c r="A1527" i="1"/>
  <c r="B1527" i="1"/>
  <c r="C1527" i="1"/>
  <c r="D1527" i="1"/>
  <c r="E1527" i="1" s="1"/>
  <c r="H1527" i="1" s="1"/>
  <c r="F1527" i="1"/>
  <c r="G1527" i="1"/>
  <c r="I1527" i="1"/>
  <c r="J1527" i="1"/>
  <c r="K1527" i="1"/>
  <c r="L1527" i="1"/>
  <c r="A1528" i="1"/>
  <c r="B1528" i="1"/>
  <c r="C1528" i="1"/>
  <c r="D1528" i="1"/>
  <c r="E1528" i="1" s="1"/>
  <c r="H1528" i="1" s="1"/>
  <c r="F1528" i="1"/>
  <c r="G1528" i="1"/>
  <c r="I1528" i="1"/>
  <c r="J1528" i="1"/>
  <c r="K1528" i="1"/>
  <c r="L1528" i="1"/>
  <c r="A1529" i="1"/>
  <c r="B1529" i="1"/>
  <c r="C1529" i="1"/>
  <c r="D1529" i="1"/>
  <c r="E1529" i="1" s="1"/>
  <c r="H1529" i="1" s="1"/>
  <c r="F1529" i="1"/>
  <c r="G1529" i="1"/>
  <c r="I1529" i="1"/>
  <c r="J1529" i="1"/>
  <c r="K1529" i="1"/>
  <c r="L1529" i="1"/>
  <c r="A1530" i="1"/>
  <c r="B1530" i="1"/>
  <c r="C1530" i="1"/>
  <c r="D1530" i="1"/>
  <c r="E1530" i="1" s="1"/>
  <c r="H1530" i="1" s="1"/>
  <c r="F1530" i="1"/>
  <c r="G1530" i="1"/>
  <c r="I1530" i="1"/>
  <c r="J1530" i="1"/>
  <c r="K1530" i="1"/>
  <c r="L1530" i="1"/>
  <c r="A1531" i="1"/>
  <c r="B1531" i="1"/>
  <c r="C1531" i="1"/>
  <c r="D1531" i="1"/>
  <c r="E1531" i="1" s="1"/>
  <c r="H1531" i="1" s="1"/>
  <c r="F1531" i="1"/>
  <c r="G1531" i="1"/>
  <c r="I1531" i="1"/>
  <c r="J1531" i="1"/>
  <c r="K1531" i="1"/>
  <c r="L1531" i="1"/>
  <c r="A1532" i="1"/>
  <c r="B1532" i="1"/>
  <c r="C1532" i="1"/>
  <c r="D1532" i="1"/>
  <c r="E1532" i="1" s="1"/>
  <c r="H1532" i="1" s="1"/>
  <c r="F1532" i="1"/>
  <c r="G1532" i="1"/>
  <c r="I1532" i="1"/>
  <c r="J1532" i="1"/>
  <c r="K1532" i="1"/>
  <c r="L1532" i="1"/>
  <c r="A1533" i="1"/>
  <c r="B1533" i="1"/>
  <c r="C1533" i="1"/>
  <c r="D1533" i="1"/>
  <c r="E1533" i="1" s="1"/>
  <c r="H1533" i="1" s="1"/>
  <c r="F1533" i="1"/>
  <c r="G1533" i="1"/>
  <c r="I1533" i="1"/>
  <c r="J1533" i="1"/>
  <c r="K1533" i="1"/>
  <c r="L1533" i="1"/>
  <c r="A1534" i="1"/>
  <c r="B1534" i="1"/>
  <c r="C1534" i="1"/>
  <c r="D1534" i="1"/>
  <c r="E1534" i="1" s="1"/>
  <c r="H1534" i="1" s="1"/>
  <c r="F1534" i="1"/>
  <c r="G1534" i="1"/>
  <c r="I1534" i="1"/>
  <c r="J1534" i="1"/>
  <c r="K1534" i="1"/>
  <c r="L1534" i="1"/>
  <c r="A1535" i="1"/>
  <c r="B1535" i="1"/>
  <c r="C1535" i="1"/>
  <c r="D1535" i="1"/>
  <c r="E1535" i="1" s="1"/>
  <c r="H1535" i="1" s="1"/>
  <c r="F1535" i="1"/>
  <c r="G1535" i="1"/>
  <c r="I1535" i="1"/>
  <c r="J1535" i="1"/>
  <c r="K1535" i="1"/>
  <c r="L1535" i="1"/>
  <c r="A1536" i="1"/>
  <c r="B1536" i="1"/>
  <c r="C1536" i="1"/>
  <c r="D1536" i="1"/>
  <c r="E1536" i="1" s="1"/>
  <c r="H1536" i="1" s="1"/>
  <c r="F1536" i="1"/>
  <c r="G1536" i="1"/>
  <c r="I1536" i="1"/>
  <c r="J1536" i="1"/>
  <c r="K1536" i="1"/>
  <c r="L1536" i="1"/>
  <c r="A1537" i="1"/>
  <c r="B1537" i="1"/>
  <c r="C1537" i="1"/>
  <c r="D1537" i="1"/>
  <c r="E1537" i="1" s="1"/>
  <c r="H1537" i="1" s="1"/>
  <c r="F1537" i="1"/>
  <c r="G1537" i="1"/>
  <c r="I1537" i="1"/>
  <c r="J1537" i="1"/>
  <c r="K1537" i="1"/>
  <c r="L1537" i="1"/>
  <c r="A1538" i="1"/>
  <c r="B1538" i="1"/>
  <c r="C1538" i="1"/>
  <c r="D1538" i="1"/>
  <c r="E1538" i="1" s="1"/>
  <c r="H1538" i="1" s="1"/>
  <c r="F1538" i="1"/>
  <c r="G1538" i="1"/>
  <c r="I1538" i="1"/>
  <c r="J1538" i="1"/>
  <c r="K1538" i="1"/>
  <c r="L1538" i="1"/>
  <c r="A1539" i="1"/>
  <c r="B1539" i="1"/>
  <c r="C1539" i="1"/>
  <c r="D1539" i="1"/>
  <c r="E1539" i="1" s="1"/>
  <c r="H1539" i="1" s="1"/>
  <c r="F1539" i="1"/>
  <c r="G1539" i="1"/>
  <c r="I1539" i="1"/>
  <c r="J1539" i="1"/>
  <c r="K1539" i="1"/>
  <c r="L1539" i="1"/>
  <c r="A1540" i="1"/>
  <c r="B1540" i="1"/>
  <c r="C1540" i="1"/>
  <c r="D1540" i="1"/>
  <c r="E1540" i="1" s="1"/>
  <c r="F1540" i="1"/>
  <c r="G1540" i="1"/>
  <c r="I1540" i="1"/>
  <c r="J1540" i="1"/>
  <c r="K1540" i="1"/>
  <c r="L1540" i="1"/>
  <c r="A1541" i="1"/>
  <c r="B1541" i="1"/>
  <c r="C1541" i="1"/>
  <c r="D1541" i="1"/>
  <c r="E1541" i="1" s="1"/>
  <c r="F1541" i="1"/>
  <c r="G1541" i="1"/>
  <c r="I1541" i="1"/>
  <c r="J1541" i="1"/>
  <c r="K1541" i="1"/>
  <c r="L1541" i="1"/>
  <c r="A1542" i="1"/>
  <c r="B1542" i="1"/>
  <c r="C1542" i="1"/>
  <c r="D1542" i="1"/>
  <c r="E1542" i="1" s="1"/>
  <c r="F1542" i="1"/>
  <c r="G1542" i="1"/>
  <c r="I1542" i="1"/>
  <c r="J1542" i="1"/>
  <c r="K1542" i="1"/>
  <c r="L1542" i="1"/>
  <c r="A1543" i="1"/>
  <c r="B1543" i="1"/>
  <c r="C1543" i="1"/>
  <c r="D1543" i="1"/>
  <c r="E1543" i="1" s="1"/>
  <c r="F1543" i="1"/>
  <c r="G1543" i="1"/>
  <c r="I1543" i="1"/>
  <c r="J1543" i="1"/>
  <c r="K1543" i="1"/>
  <c r="L1543" i="1"/>
  <c r="A1544" i="1"/>
  <c r="B1544" i="1"/>
  <c r="C1544" i="1"/>
  <c r="D1544" i="1"/>
  <c r="E1544" i="1" s="1"/>
  <c r="F1544" i="1"/>
  <c r="G1544" i="1"/>
  <c r="I1544" i="1"/>
  <c r="J1544" i="1"/>
  <c r="K1544" i="1"/>
  <c r="L1544" i="1"/>
  <c r="A1545" i="1"/>
  <c r="B1545" i="1"/>
  <c r="C1545" i="1"/>
  <c r="D1545" i="1"/>
  <c r="E1545" i="1" s="1"/>
  <c r="F1545" i="1"/>
  <c r="G1545" i="1"/>
  <c r="I1545" i="1"/>
  <c r="J1545" i="1"/>
  <c r="K1545" i="1"/>
  <c r="L1545" i="1"/>
  <c r="A1546" i="1"/>
  <c r="B1546" i="1"/>
  <c r="C1546" i="1"/>
  <c r="D1546" i="1"/>
  <c r="E1546" i="1" s="1"/>
  <c r="F1546" i="1"/>
  <c r="G1546" i="1"/>
  <c r="I1546" i="1"/>
  <c r="J1546" i="1"/>
  <c r="K1546" i="1"/>
  <c r="L1546" i="1"/>
  <c r="A1547" i="1"/>
  <c r="B1547" i="1"/>
  <c r="C1547" i="1"/>
  <c r="D1547" i="1"/>
  <c r="E1547" i="1" s="1"/>
  <c r="F1547" i="1"/>
  <c r="G1547" i="1"/>
  <c r="I1547" i="1"/>
  <c r="J1547" i="1"/>
  <c r="K1547" i="1"/>
  <c r="L1547" i="1"/>
  <c r="A1548" i="1"/>
  <c r="B1548" i="1"/>
  <c r="C1548" i="1"/>
  <c r="D1548" i="1"/>
  <c r="E1548" i="1" s="1"/>
  <c r="F1548" i="1"/>
  <c r="G1548" i="1"/>
  <c r="I1548" i="1"/>
  <c r="J1548" i="1"/>
  <c r="K1548" i="1"/>
  <c r="L1548" i="1"/>
  <c r="A1549" i="1"/>
  <c r="B1549" i="1"/>
  <c r="C1549" i="1"/>
  <c r="D1549" i="1"/>
  <c r="E1549" i="1" s="1"/>
  <c r="F1549" i="1"/>
  <c r="G1549" i="1"/>
  <c r="I1549" i="1"/>
  <c r="J1549" i="1"/>
  <c r="K1549" i="1"/>
  <c r="L1549" i="1"/>
  <c r="A1550" i="1"/>
  <c r="B1550" i="1"/>
  <c r="C1550" i="1"/>
  <c r="D1550" i="1"/>
  <c r="E1550" i="1" s="1"/>
  <c r="F1550" i="1"/>
  <c r="G1550" i="1"/>
  <c r="I1550" i="1"/>
  <c r="J1550" i="1"/>
  <c r="K1550" i="1"/>
  <c r="L1550" i="1"/>
  <c r="A1551" i="1"/>
  <c r="B1551" i="1"/>
  <c r="C1551" i="1"/>
  <c r="D1551" i="1"/>
  <c r="E1551" i="1" s="1"/>
  <c r="F1551" i="1"/>
  <c r="G1551" i="1"/>
  <c r="I1551" i="1"/>
  <c r="J1551" i="1"/>
  <c r="K1551" i="1"/>
  <c r="L1551" i="1"/>
  <c r="A1552" i="1"/>
  <c r="B1552" i="1"/>
  <c r="C1552" i="1"/>
  <c r="D1552" i="1"/>
  <c r="E1552" i="1" s="1"/>
  <c r="F1552" i="1"/>
  <c r="G1552" i="1"/>
  <c r="I1552" i="1"/>
  <c r="J1552" i="1"/>
  <c r="K1552" i="1"/>
  <c r="L1552" i="1"/>
  <c r="A1553" i="1"/>
  <c r="B1553" i="1"/>
  <c r="C1553" i="1"/>
  <c r="D1553" i="1"/>
  <c r="E1553" i="1" s="1"/>
  <c r="F1553" i="1"/>
  <c r="G1553" i="1"/>
  <c r="I1553" i="1"/>
  <c r="J1553" i="1"/>
  <c r="K1553" i="1"/>
  <c r="L1553" i="1"/>
  <c r="A1554" i="1"/>
  <c r="B1554" i="1"/>
  <c r="C1554" i="1"/>
  <c r="D1554" i="1"/>
  <c r="E1554" i="1" s="1"/>
  <c r="F1554" i="1"/>
  <c r="G1554" i="1"/>
  <c r="I1554" i="1"/>
  <c r="J1554" i="1"/>
  <c r="K1554" i="1"/>
  <c r="L1554" i="1"/>
  <c r="A1555" i="1"/>
  <c r="B1555" i="1"/>
  <c r="C1555" i="1"/>
  <c r="D1555" i="1"/>
  <c r="E1555" i="1" s="1"/>
  <c r="F1555" i="1"/>
  <c r="G1555" i="1"/>
  <c r="I1555" i="1"/>
  <c r="J1555" i="1"/>
  <c r="K1555" i="1"/>
  <c r="L1555" i="1"/>
  <c r="A1556" i="1"/>
  <c r="B1556" i="1"/>
  <c r="C1556" i="1"/>
  <c r="D1556" i="1"/>
  <c r="E1556" i="1" s="1"/>
  <c r="F1556" i="1"/>
  <c r="G1556" i="1"/>
  <c r="I1556" i="1"/>
  <c r="J1556" i="1"/>
  <c r="K1556" i="1"/>
  <c r="L1556" i="1"/>
  <c r="A1557" i="1"/>
  <c r="B1557" i="1"/>
  <c r="C1557" i="1"/>
  <c r="D1557" i="1"/>
  <c r="E1557" i="1" s="1"/>
  <c r="F1557" i="1"/>
  <c r="G1557" i="1"/>
  <c r="I1557" i="1"/>
  <c r="J1557" i="1"/>
  <c r="K1557" i="1"/>
  <c r="L1557" i="1"/>
  <c r="A1558" i="1"/>
  <c r="B1558" i="1"/>
  <c r="C1558" i="1"/>
  <c r="D1558" i="1"/>
  <c r="E1558" i="1" s="1"/>
  <c r="F1558" i="1"/>
  <c r="G1558" i="1"/>
  <c r="I1558" i="1"/>
  <c r="J1558" i="1"/>
  <c r="K1558" i="1"/>
  <c r="L1558" i="1"/>
  <c r="A1559" i="1"/>
  <c r="B1559" i="1"/>
  <c r="C1559" i="1"/>
  <c r="D1559" i="1"/>
  <c r="E1559" i="1" s="1"/>
  <c r="F1559" i="1"/>
  <c r="G1559" i="1"/>
  <c r="I1559" i="1"/>
  <c r="J1559" i="1"/>
  <c r="K1559" i="1"/>
  <c r="L1559" i="1"/>
  <c r="A1560" i="1"/>
  <c r="B1560" i="1"/>
  <c r="C1560" i="1"/>
  <c r="D1560" i="1"/>
  <c r="E1560" i="1" s="1"/>
  <c r="F1560" i="1"/>
  <c r="G1560" i="1"/>
  <c r="I1560" i="1"/>
  <c r="J1560" i="1"/>
  <c r="K1560" i="1"/>
  <c r="L1560" i="1"/>
  <c r="A1561" i="1"/>
  <c r="B1561" i="1"/>
  <c r="C1561" i="1"/>
  <c r="D1561" i="1"/>
  <c r="E1561" i="1" s="1"/>
  <c r="F1561" i="1"/>
  <c r="G1561" i="1"/>
  <c r="I1561" i="1"/>
  <c r="J1561" i="1"/>
  <c r="K1561" i="1"/>
  <c r="L1561" i="1"/>
  <c r="A1562" i="1"/>
  <c r="B1562" i="1"/>
  <c r="C1562" i="1"/>
  <c r="D1562" i="1"/>
  <c r="E1562" i="1" s="1"/>
  <c r="F1562" i="1"/>
  <c r="G1562" i="1"/>
  <c r="I1562" i="1"/>
  <c r="J1562" i="1"/>
  <c r="K1562" i="1"/>
  <c r="L1562" i="1"/>
  <c r="A1563" i="1"/>
  <c r="B1563" i="1"/>
  <c r="C1563" i="1"/>
  <c r="D1563" i="1"/>
  <c r="E1563" i="1" s="1"/>
  <c r="F1563" i="1"/>
  <c r="G1563" i="1"/>
  <c r="I1563" i="1"/>
  <c r="J1563" i="1"/>
  <c r="K1563" i="1"/>
  <c r="L1563" i="1"/>
  <c r="A1564" i="1"/>
  <c r="B1564" i="1"/>
  <c r="C1564" i="1"/>
  <c r="D1564" i="1"/>
  <c r="E1564" i="1" s="1"/>
  <c r="F1564" i="1"/>
  <c r="G1564" i="1"/>
  <c r="I1564" i="1"/>
  <c r="J1564" i="1"/>
  <c r="K1564" i="1"/>
  <c r="L1564" i="1"/>
  <c r="A1565" i="1"/>
  <c r="B1565" i="1"/>
  <c r="C1565" i="1"/>
  <c r="D1565" i="1"/>
  <c r="E1565" i="1" s="1"/>
  <c r="F1565" i="1"/>
  <c r="G1565" i="1"/>
  <c r="I1565" i="1"/>
  <c r="J1565" i="1"/>
  <c r="K1565" i="1"/>
  <c r="L1565" i="1"/>
  <c r="A1566" i="1"/>
  <c r="B1566" i="1"/>
  <c r="C1566" i="1"/>
  <c r="D1566" i="1"/>
  <c r="E1566" i="1" s="1"/>
  <c r="F1566" i="1"/>
  <c r="G1566" i="1"/>
  <c r="I1566" i="1"/>
  <c r="J1566" i="1"/>
  <c r="K1566" i="1"/>
  <c r="L1566" i="1"/>
  <c r="A1567" i="1"/>
  <c r="B1567" i="1"/>
  <c r="C1567" i="1"/>
  <c r="D1567" i="1"/>
  <c r="E1567" i="1" s="1"/>
  <c r="F1567" i="1"/>
  <c r="G1567" i="1"/>
  <c r="I1567" i="1"/>
  <c r="J1567" i="1"/>
  <c r="K1567" i="1"/>
  <c r="L1567" i="1"/>
  <c r="A1568" i="1"/>
  <c r="B1568" i="1"/>
  <c r="C1568" i="1"/>
  <c r="D1568" i="1"/>
  <c r="E1568" i="1" s="1"/>
  <c r="F1568" i="1"/>
  <c r="G1568" i="1"/>
  <c r="I1568" i="1"/>
  <c r="J1568" i="1"/>
  <c r="K1568" i="1"/>
  <c r="L1568" i="1"/>
  <c r="A1569" i="1"/>
  <c r="B1569" i="1"/>
  <c r="C1569" i="1"/>
  <c r="D1569" i="1"/>
  <c r="E1569" i="1" s="1"/>
  <c r="F1569" i="1"/>
  <c r="G1569" i="1"/>
  <c r="I1569" i="1"/>
  <c r="J1569" i="1"/>
  <c r="K1569" i="1"/>
  <c r="L1569" i="1"/>
  <c r="A1570" i="1"/>
  <c r="B1570" i="1"/>
  <c r="C1570" i="1"/>
  <c r="D1570" i="1"/>
  <c r="E1570" i="1" s="1"/>
  <c r="F1570" i="1"/>
  <c r="G1570" i="1"/>
  <c r="I1570" i="1"/>
  <c r="J1570" i="1"/>
  <c r="K1570" i="1"/>
  <c r="L1570" i="1"/>
  <c r="A1571" i="1"/>
  <c r="B1571" i="1"/>
  <c r="C1571" i="1"/>
  <c r="D1571" i="1"/>
  <c r="E1571" i="1" s="1"/>
  <c r="F1571" i="1"/>
  <c r="G1571" i="1"/>
  <c r="I1571" i="1"/>
  <c r="J1571" i="1"/>
  <c r="K1571" i="1"/>
  <c r="L1571" i="1"/>
  <c r="A1572" i="1"/>
  <c r="B1572" i="1"/>
  <c r="C1572" i="1"/>
  <c r="D1572" i="1"/>
  <c r="E1572" i="1" s="1"/>
  <c r="F1572" i="1"/>
  <c r="G1572" i="1"/>
  <c r="I1572" i="1"/>
  <c r="J1572" i="1"/>
  <c r="K1572" i="1"/>
  <c r="L1572" i="1"/>
  <c r="A1573" i="1"/>
  <c r="B1573" i="1"/>
  <c r="C1573" i="1"/>
  <c r="D1573" i="1"/>
  <c r="E1573" i="1" s="1"/>
  <c r="F1573" i="1"/>
  <c r="G1573" i="1"/>
  <c r="I1573" i="1"/>
  <c r="J1573" i="1"/>
  <c r="K1573" i="1"/>
  <c r="L1573" i="1"/>
  <c r="A1574" i="1"/>
  <c r="B1574" i="1"/>
  <c r="C1574" i="1"/>
  <c r="D1574" i="1"/>
  <c r="E1574" i="1" s="1"/>
  <c r="F1574" i="1"/>
  <c r="G1574" i="1"/>
  <c r="I1574" i="1"/>
  <c r="J1574" i="1"/>
  <c r="K1574" i="1"/>
  <c r="L1574" i="1"/>
  <c r="A1575" i="1"/>
  <c r="B1575" i="1"/>
  <c r="C1575" i="1"/>
  <c r="D1575" i="1"/>
  <c r="E1575" i="1" s="1"/>
  <c r="F1575" i="1"/>
  <c r="G1575" i="1"/>
  <c r="I1575" i="1"/>
  <c r="J1575" i="1"/>
  <c r="K1575" i="1"/>
  <c r="L1575" i="1"/>
  <c r="A1576" i="1"/>
  <c r="B1576" i="1"/>
  <c r="C1576" i="1"/>
  <c r="D1576" i="1"/>
  <c r="E1576" i="1" s="1"/>
  <c r="F1576" i="1"/>
  <c r="G1576" i="1"/>
  <c r="I1576" i="1"/>
  <c r="J1576" i="1"/>
  <c r="K1576" i="1"/>
  <c r="L1576" i="1"/>
  <c r="A1577" i="1"/>
  <c r="B1577" i="1"/>
  <c r="C1577" i="1"/>
  <c r="D1577" i="1"/>
  <c r="E1577" i="1" s="1"/>
  <c r="F1577" i="1"/>
  <c r="G1577" i="1"/>
  <c r="I1577" i="1"/>
  <c r="J1577" i="1"/>
  <c r="K1577" i="1"/>
  <c r="L1577" i="1"/>
  <c r="A1578" i="1"/>
  <c r="B1578" i="1"/>
  <c r="C1578" i="1"/>
  <c r="D1578" i="1"/>
  <c r="E1578" i="1" s="1"/>
  <c r="F1578" i="1"/>
  <c r="G1578" i="1"/>
  <c r="I1578" i="1"/>
  <c r="J1578" i="1"/>
  <c r="K1578" i="1"/>
  <c r="L1578" i="1"/>
  <c r="A1579" i="1"/>
  <c r="B1579" i="1"/>
  <c r="C1579" i="1"/>
  <c r="D1579" i="1"/>
  <c r="E1579" i="1" s="1"/>
  <c r="F1579" i="1"/>
  <c r="G1579" i="1"/>
  <c r="I1579" i="1"/>
  <c r="J1579" i="1"/>
  <c r="K1579" i="1"/>
  <c r="L1579" i="1"/>
  <c r="A1580" i="1"/>
  <c r="B1580" i="1"/>
  <c r="C1580" i="1"/>
  <c r="D1580" i="1"/>
  <c r="E1580" i="1" s="1"/>
  <c r="F1580" i="1"/>
  <c r="G1580" i="1"/>
  <c r="I1580" i="1"/>
  <c r="J1580" i="1"/>
  <c r="K1580" i="1"/>
  <c r="L1580" i="1"/>
  <c r="A1581" i="1"/>
  <c r="B1581" i="1"/>
  <c r="C1581" i="1"/>
  <c r="D1581" i="1"/>
  <c r="E1581" i="1" s="1"/>
  <c r="F1581" i="1"/>
  <c r="G1581" i="1"/>
  <c r="I1581" i="1"/>
  <c r="J1581" i="1"/>
  <c r="K1581" i="1"/>
  <c r="L1581" i="1"/>
  <c r="A1582" i="1"/>
  <c r="B1582" i="1"/>
  <c r="C1582" i="1"/>
  <c r="D1582" i="1"/>
  <c r="E1582" i="1" s="1"/>
  <c r="F1582" i="1"/>
  <c r="G1582" i="1"/>
  <c r="I1582" i="1"/>
  <c r="J1582" i="1"/>
  <c r="K1582" i="1"/>
  <c r="L1582" i="1"/>
  <c r="A1583" i="1"/>
  <c r="B1583" i="1"/>
  <c r="C1583" i="1"/>
  <c r="D1583" i="1"/>
  <c r="E1583" i="1" s="1"/>
  <c r="F1583" i="1"/>
  <c r="G1583" i="1"/>
  <c r="I1583" i="1"/>
  <c r="J1583" i="1"/>
  <c r="K1583" i="1"/>
  <c r="L1583" i="1"/>
  <c r="A1584" i="1"/>
  <c r="B1584" i="1"/>
  <c r="C1584" i="1"/>
  <c r="D1584" i="1"/>
  <c r="E1584" i="1" s="1"/>
  <c r="F1584" i="1"/>
  <c r="G1584" i="1"/>
  <c r="I1584" i="1"/>
  <c r="J1584" i="1"/>
  <c r="K1584" i="1"/>
  <c r="L1584" i="1"/>
  <c r="A1585" i="1"/>
  <c r="B1585" i="1"/>
  <c r="C1585" i="1"/>
  <c r="D1585" i="1"/>
  <c r="E1585" i="1" s="1"/>
  <c r="F1585" i="1"/>
  <c r="G1585" i="1"/>
  <c r="I1585" i="1"/>
  <c r="J1585" i="1"/>
  <c r="K1585" i="1"/>
  <c r="L1585" i="1"/>
  <c r="A1586" i="1"/>
  <c r="B1586" i="1"/>
  <c r="C1586" i="1"/>
  <c r="D1586" i="1"/>
  <c r="E1586" i="1" s="1"/>
  <c r="F1586" i="1"/>
  <c r="G1586" i="1"/>
  <c r="I1586" i="1"/>
  <c r="J1586" i="1"/>
  <c r="K1586" i="1"/>
  <c r="L1586" i="1"/>
  <c r="A1587" i="1"/>
  <c r="B1587" i="1"/>
  <c r="C1587" i="1"/>
  <c r="D1587" i="1"/>
  <c r="E1587" i="1" s="1"/>
  <c r="F1587" i="1"/>
  <c r="G1587" i="1"/>
  <c r="I1587" i="1"/>
  <c r="J1587" i="1"/>
  <c r="K1587" i="1"/>
  <c r="L1587" i="1"/>
  <c r="A1588" i="1"/>
  <c r="B1588" i="1"/>
  <c r="C1588" i="1"/>
  <c r="D1588" i="1"/>
  <c r="E1588" i="1" s="1"/>
  <c r="F1588" i="1"/>
  <c r="G1588" i="1"/>
  <c r="I1588" i="1"/>
  <c r="J1588" i="1"/>
  <c r="K1588" i="1"/>
  <c r="L1588" i="1"/>
  <c r="A1589" i="1"/>
  <c r="B1589" i="1"/>
  <c r="C1589" i="1"/>
  <c r="D1589" i="1"/>
  <c r="E1589" i="1" s="1"/>
  <c r="F1589" i="1"/>
  <c r="G1589" i="1"/>
  <c r="I1589" i="1"/>
  <c r="J1589" i="1"/>
  <c r="K1589" i="1"/>
  <c r="L1589" i="1"/>
  <c r="A1590" i="1"/>
  <c r="B1590" i="1"/>
  <c r="C1590" i="1"/>
  <c r="D1590" i="1"/>
  <c r="E1590" i="1" s="1"/>
  <c r="F1590" i="1"/>
  <c r="G1590" i="1"/>
  <c r="I1590" i="1"/>
  <c r="J1590" i="1"/>
  <c r="K1590" i="1"/>
  <c r="L1590" i="1"/>
  <c r="A1591" i="1"/>
  <c r="B1591" i="1"/>
  <c r="C1591" i="1"/>
  <c r="D1591" i="1"/>
  <c r="E1591" i="1" s="1"/>
  <c r="F1591" i="1"/>
  <c r="G1591" i="1"/>
  <c r="I1591" i="1"/>
  <c r="J1591" i="1"/>
  <c r="K1591" i="1"/>
  <c r="L1591" i="1"/>
  <c r="A1592" i="1"/>
  <c r="B1592" i="1"/>
  <c r="C1592" i="1"/>
  <c r="D1592" i="1"/>
  <c r="E1592" i="1" s="1"/>
  <c r="F1592" i="1"/>
  <c r="G1592" i="1"/>
  <c r="I1592" i="1"/>
  <c r="J1592" i="1"/>
  <c r="K1592" i="1"/>
  <c r="L1592" i="1"/>
  <c r="A1593" i="1"/>
  <c r="B1593" i="1"/>
  <c r="C1593" i="1"/>
  <c r="D1593" i="1"/>
  <c r="E1593" i="1" s="1"/>
  <c r="F1593" i="1"/>
  <c r="G1593" i="1"/>
  <c r="I1593" i="1"/>
  <c r="J1593" i="1"/>
  <c r="K1593" i="1"/>
  <c r="L1593" i="1"/>
  <c r="A1594" i="1"/>
  <c r="B1594" i="1"/>
  <c r="C1594" i="1"/>
  <c r="D1594" i="1"/>
  <c r="E1594" i="1" s="1"/>
  <c r="F1594" i="1"/>
  <c r="G1594" i="1"/>
  <c r="I1594" i="1"/>
  <c r="J1594" i="1"/>
  <c r="K1594" i="1"/>
  <c r="L1594" i="1"/>
  <c r="A1595" i="1"/>
  <c r="B1595" i="1"/>
  <c r="C1595" i="1"/>
  <c r="D1595" i="1"/>
  <c r="E1595" i="1" s="1"/>
  <c r="F1595" i="1"/>
  <c r="G1595" i="1"/>
  <c r="I1595" i="1"/>
  <c r="J1595" i="1"/>
  <c r="K1595" i="1"/>
  <c r="L1595" i="1"/>
  <c r="A1596" i="1"/>
  <c r="B1596" i="1"/>
  <c r="C1596" i="1"/>
  <c r="D1596" i="1"/>
  <c r="E1596" i="1" s="1"/>
  <c r="F1596" i="1"/>
  <c r="G1596" i="1"/>
  <c r="I1596" i="1"/>
  <c r="J1596" i="1"/>
  <c r="K1596" i="1"/>
  <c r="L1596" i="1"/>
  <c r="A1597" i="1"/>
  <c r="B1597" i="1"/>
  <c r="C1597" i="1"/>
  <c r="D1597" i="1"/>
  <c r="E1597" i="1" s="1"/>
  <c r="F1597" i="1"/>
  <c r="G1597" i="1"/>
  <c r="I1597" i="1"/>
  <c r="J1597" i="1"/>
  <c r="K1597" i="1"/>
  <c r="L1597" i="1"/>
  <c r="A1598" i="1"/>
  <c r="B1598" i="1"/>
  <c r="C1598" i="1"/>
  <c r="D1598" i="1"/>
  <c r="E1598" i="1" s="1"/>
  <c r="F1598" i="1"/>
  <c r="G1598" i="1"/>
  <c r="I1598" i="1"/>
  <c r="J1598" i="1"/>
  <c r="K1598" i="1"/>
  <c r="L1598" i="1"/>
  <c r="A1599" i="1"/>
  <c r="B1599" i="1"/>
  <c r="C1599" i="1"/>
  <c r="D1599" i="1"/>
  <c r="E1599" i="1" s="1"/>
  <c r="F1599" i="1"/>
  <c r="G1599" i="1"/>
  <c r="I1599" i="1"/>
  <c r="J1599" i="1"/>
  <c r="K1599" i="1"/>
  <c r="L1599" i="1"/>
  <c r="A1600" i="1"/>
  <c r="B1600" i="1"/>
  <c r="C1600" i="1"/>
  <c r="D1600" i="1"/>
  <c r="E1600" i="1" s="1"/>
  <c r="F1600" i="1"/>
  <c r="G1600" i="1"/>
  <c r="I1600" i="1"/>
  <c r="J1600" i="1"/>
  <c r="K1600" i="1"/>
  <c r="L1600" i="1"/>
  <c r="A1601" i="1"/>
  <c r="B1601" i="1"/>
  <c r="C1601" i="1"/>
  <c r="D1601" i="1"/>
  <c r="E1601" i="1" s="1"/>
  <c r="F1601" i="1"/>
  <c r="G1601" i="1"/>
  <c r="I1601" i="1"/>
  <c r="J1601" i="1"/>
  <c r="K1601" i="1"/>
  <c r="L1601" i="1"/>
  <c r="A1602" i="1"/>
  <c r="B1602" i="1"/>
  <c r="C1602" i="1"/>
  <c r="D1602" i="1"/>
  <c r="E1602" i="1" s="1"/>
  <c r="F1602" i="1"/>
  <c r="G1602" i="1"/>
  <c r="I1602" i="1"/>
  <c r="J1602" i="1"/>
  <c r="K1602" i="1"/>
  <c r="L1602" i="1"/>
  <c r="A1603" i="1"/>
  <c r="B1603" i="1"/>
  <c r="C1603" i="1"/>
  <c r="D1603" i="1"/>
  <c r="E1603" i="1" s="1"/>
  <c r="F1603" i="1"/>
  <c r="G1603" i="1"/>
  <c r="I1603" i="1"/>
  <c r="J1603" i="1"/>
  <c r="K1603" i="1"/>
  <c r="L1603" i="1"/>
  <c r="A1604" i="1"/>
  <c r="B1604" i="1"/>
  <c r="C1604" i="1"/>
  <c r="D1604" i="1"/>
  <c r="E1604" i="1" s="1"/>
  <c r="F1604" i="1"/>
  <c r="G1604" i="1"/>
  <c r="I1604" i="1"/>
  <c r="J1604" i="1"/>
  <c r="K1604" i="1"/>
  <c r="L1604" i="1"/>
  <c r="A1605" i="1"/>
  <c r="B1605" i="1"/>
  <c r="C1605" i="1"/>
  <c r="D1605" i="1"/>
  <c r="E1605" i="1" s="1"/>
  <c r="F1605" i="1"/>
  <c r="G1605" i="1"/>
  <c r="I1605" i="1"/>
  <c r="J1605" i="1"/>
  <c r="K1605" i="1"/>
  <c r="L1605" i="1"/>
  <c r="A1606" i="1"/>
  <c r="B1606" i="1"/>
  <c r="C1606" i="1"/>
  <c r="D1606" i="1"/>
  <c r="E1606" i="1" s="1"/>
  <c r="F1606" i="1"/>
  <c r="G1606" i="1"/>
  <c r="I1606" i="1"/>
  <c r="J1606" i="1"/>
  <c r="K1606" i="1"/>
  <c r="L1606" i="1"/>
  <c r="A1607" i="1"/>
  <c r="B1607" i="1"/>
  <c r="C1607" i="1"/>
  <c r="D1607" i="1"/>
  <c r="E1607" i="1" s="1"/>
  <c r="F1607" i="1"/>
  <c r="G1607" i="1"/>
  <c r="I1607" i="1"/>
  <c r="J1607" i="1"/>
  <c r="K1607" i="1"/>
  <c r="L1607" i="1"/>
  <c r="A1608" i="1"/>
  <c r="B1608" i="1"/>
  <c r="C1608" i="1"/>
  <c r="D1608" i="1"/>
  <c r="E1608" i="1" s="1"/>
  <c r="F1608" i="1"/>
  <c r="G1608" i="1"/>
  <c r="I1608" i="1"/>
  <c r="J1608" i="1"/>
  <c r="K1608" i="1"/>
  <c r="L1608" i="1"/>
  <c r="A1609" i="1"/>
  <c r="B1609" i="1"/>
  <c r="C1609" i="1"/>
  <c r="D1609" i="1"/>
  <c r="E1609" i="1" s="1"/>
  <c r="F1609" i="1"/>
  <c r="G1609" i="1"/>
  <c r="I1609" i="1"/>
  <c r="J1609" i="1"/>
  <c r="K1609" i="1"/>
  <c r="L1609" i="1"/>
  <c r="A1610" i="1"/>
  <c r="B1610" i="1"/>
  <c r="C1610" i="1"/>
  <c r="D1610" i="1"/>
  <c r="E1610" i="1" s="1"/>
  <c r="F1610" i="1"/>
  <c r="G1610" i="1"/>
  <c r="I1610" i="1"/>
  <c r="J1610" i="1"/>
  <c r="K1610" i="1"/>
  <c r="L1610" i="1"/>
  <c r="A1611" i="1"/>
  <c r="B1611" i="1"/>
  <c r="C1611" i="1"/>
  <c r="D1611" i="1"/>
  <c r="E1611" i="1" s="1"/>
  <c r="F1611" i="1"/>
  <c r="G1611" i="1"/>
  <c r="I1611" i="1"/>
  <c r="J1611" i="1"/>
  <c r="K1611" i="1"/>
  <c r="L1611" i="1"/>
  <c r="A1612" i="1"/>
  <c r="B1612" i="1"/>
  <c r="C1612" i="1"/>
  <c r="D1612" i="1"/>
  <c r="E1612" i="1" s="1"/>
  <c r="F1612" i="1"/>
  <c r="G1612" i="1"/>
  <c r="I1612" i="1"/>
  <c r="J1612" i="1"/>
  <c r="K1612" i="1"/>
  <c r="L1612" i="1"/>
  <c r="A1613" i="1"/>
  <c r="B1613" i="1"/>
  <c r="C1613" i="1"/>
  <c r="D1613" i="1"/>
  <c r="E1613" i="1" s="1"/>
  <c r="F1613" i="1"/>
  <c r="G1613" i="1"/>
  <c r="I1613" i="1"/>
  <c r="J1613" i="1"/>
  <c r="K1613" i="1"/>
  <c r="L1613" i="1"/>
  <c r="A1614" i="1"/>
  <c r="B1614" i="1"/>
  <c r="C1614" i="1"/>
  <c r="D1614" i="1"/>
  <c r="E1614" i="1" s="1"/>
  <c r="F1614" i="1"/>
  <c r="G1614" i="1"/>
  <c r="I1614" i="1"/>
  <c r="J1614" i="1"/>
  <c r="K1614" i="1"/>
  <c r="L1614" i="1"/>
  <c r="A1615" i="1"/>
  <c r="B1615" i="1"/>
  <c r="C1615" i="1"/>
  <c r="D1615" i="1"/>
  <c r="E1615" i="1" s="1"/>
  <c r="F1615" i="1"/>
  <c r="G1615" i="1"/>
  <c r="I1615" i="1"/>
  <c r="J1615" i="1"/>
  <c r="K1615" i="1"/>
  <c r="L1615" i="1"/>
  <c r="A1616" i="1"/>
  <c r="B1616" i="1"/>
  <c r="C1616" i="1"/>
  <c r="D1616" i="1"/>
  <c r="E1616" i="1" s="1"/>
  <c r="F1616" i="1"/>
  <c r="G1616" i="1"/>
  <c r="I1616" i="1"/>
  <c r="J1616" i="1"/>
  <c r="K1616" i="1"/>
  <c r="L1616" i="1"/>
  <c r="A1617" i="1"/>
  <c r="B1617" i="1"/>
  <c r="C1617" i="1"/>
  <c r="D1617" i="1"/>
  <c r="E1617" i="1" s="1"/>
  <c r="F1617" i="1"/>
  <c r="G1617" i="1"/>
  <c r="I1617" i="1"/>
  <c r="J1617" i="1"/>
  <c r="K1617" i="1"/>
  <c r="L1617" i="1"/>
  <c r="A1618" i="1"/>
  <c r="B1618" i="1"/>
  <c r="C1618" i="1"/>
  <c r="D1618" i="1"/>
  <c r="E1618" i="1" s="1"/>
  <c r="F1618" i="1"/>
  <c r="G1618" i="1"/>
  <c r="I1618" i="1"/>
  <c r="J1618" i="1"/>
  <c r="K1618" i="1"/>
  <c r="L1618" i="1"/>
  <c r="A1619" i="1"/>
  <c r="B1619" i="1"/>
  <c r="C1619" i="1"/>
  <c r="D1619" i="1"/>
  <c r="E1619" i="1" s="1"/>
  <c r="F1619" i="1"/>
  <c r="G1619" i="1"/>
  <c r="I1619" i="1"/>
  <c r="J1619" i="1"/>
  <c r="K1619" i="1"/>
  <c r="L1619" i="1"/>
  <c r="A1620" i="1"/>
  <c r="B1620" i="1"/>
  <c r="C1620" i="1"/>
  <c r="D1620" i="1"/>
  <c r="E1620" i="1" s="1"/>
  <c r="F1620" i="1"/>
  <c r="G1620" i="1"/>
  <c r="I1620" i="1"/>
  <c r="J1620" i="1"/>
  <c r="K1620" i="1"/>
  <c r="L1620" i="1"/>
  <c r="A1621" i="1"/>
  <c r="B1621" i="1"/>
  <c r="C1621" i="1"/>
  <c r="D1621" i="1"/>
  <c r="E1621" i="1" s="1"/>
  <c r="F1621" i="1"/>
  <c r="G1621" i="1"/>
  <c r="I1621" i="1"/>
  <c r="J1621" i="1"/>
  <c r="K1621" i="1"/>
  <c r="L1621" i="1"/>
  <c r="A1622" i="1"/>
  <c r="B1622" i="1"/>
  <c r="C1622" i="1"/>
  <c r="D1622" i="1"/>
  <c r="E1622" i="1" s="1"/>
  <c r="F1622" i="1"/>
  <c r="G1622" i="1"/>
  <c r="I1622" i="1"/>
  <c r="J1622" i="1"/>
  <c r="K1622" i="1"/>
  <c r="L1622" i="1"/>
  <c r="A1623" i="1"/>
  <c r="B1623" i="1"/>
  <c r="C1623" i="1"/>
  <c r="D1623" i="1"/>
  <c r="E1623" i="1" s="1"/>
  <c r="F1623" i="1"/>
  <c r="G1623" i="1"/>
  <c r="I1623" i="1"/>
  <c r="J1623" i="1"/>
  <c r="K1623" i="1"/>
  <c r="L1623" i="1"/>
  <c r="A1624" i="1"/>
  <c r="B1624" i="1"/>
  <c r="C1624" i="1"/>
  <c r="D1624" i="1"/>
  <c r="E1624" i="1" s="1"/>
  <c r="F1624" i="1"/>
  <c r="G1624" i="1"/>
  <c r="I1624" i="1"/>
  <c r="J1624" i="1"/>
  <c r="K1624" i="1"/>
  <c r="L1624" i="1"/>
  <c r="A1625" i="1"/>
  <c r="B1625" i="1"/>
  <c r="C1625" i="1"/>
  <c r="D1625" i="1"/>
  <c r="E1625" i="1" s="1"/>
  <c r="F1625" i="1"/>
  <c r="G1625" i="1"/>
  <c r="I1625" i="1"/>
  <c r="J1625" i="1"/>
  <c r="K1625" i="1"/>
  <c r="L1625" i="1"/>
  <c r="A1626" i="1"/>
  <c r="B1626" i="1"/>
  <c r="C1626" i="1"/>
  <c r="D1626" i="1"/>
  <c r="E1626" i="1" s="1"/>
  <c r="F1626" i="1"/>
  <c r="G1626" i="1"/>
  <c r="I1626" i="1"/>
  <c r="J1626" i="1"/>
  <c r="K1626" i="1"/>
  <c r="L1626" i="1"/>
  <c r="A1627" i="1"/>
  <c r="B1627" i="1"/>
  <c r="C1627" i="1"/>
  <c r="D1627" i="1"/>
  <c r="E1627" i="1" s="1"/>
  <c r="F1627" i="1"/>
  <c r="G1627" i="1"/>
  <c r="I1627" i="1"/>
  <c r="J1627" i="1"/>
  <c r="K1627" i="1"/>
  <c r="L1627" i="1"/>
  <c r="A1628" i="1"/>
  <c r="B1628" i="1"/>
  <c r="C1628" i="1"/>
  <c r="D1628" i="1"/>
  <c r="E1628" i="1" s="1"/>
  <c r="F1628" i="1"/>
  <c r="G1628" i="1"/>
  <c r="I1628" i="1"/>
  <c r="J1628" i="1"/>
  <c r="K1628" i="1"/>
  <c r="L1628" i="1"/>
  <c r="A1629" i="1"/>
  <c r="B1629" i="1"/>
  <c r="C1629" i="1"/>
  <c r="D1629" i="1"/>
  <c r="E1629" i="1" s="1"/>
  <c r="F1629" i="1"/>
  <c r="G1629" i="1"/>
  <c r="I1629" i="1"/>
  <c r="J1629" i="1"/>
  <c r="K1629" i="1"/>
  <c r="L1629" i="1"/>
  <c r="A1630" i="1"/>
  <c r="B1630" i="1"/>
  <c r="C1630" i="1"/>
  <c r="D1630" i="1"/>
  <c r="E1630" i="1" s="1"/>
  <c r="F1630" i="1"/>
  <c r="G1630" i="1"/>
  <c r="I1630" i="1"/>
  <c r="J1630" i="1"/>
  <c r="K1630" i="1"/>
  <c r="L1630" i="1"/>
  <c r="A1631" i="1"/>
  <c r="B1631" i="1"/>
  <c r="C1631" i="1"/>
  <c r="D1631" i="1"/>
  <c r="E1631" i="1" s="1"/>
  <c r="F1631" i="1"/>
  <c r="G1631" i="1"/>
  <c r="I1631" i="1"/>
  <c r="J1631" i="1"/>
  <c r="K1631" i="1"/>
  <c r="L1631" i="1"/>
  <c r="A1632" i="1"/>
  <c r="B1632" i="1"/>
  <c r="C1632" i="1"/>
  <c r="D1632" i="1"/>
  <c r="E1632" i="1" s="1"/>
  <c r="F1632" i="1"/>
  <c r="G1632" i="1"/>
  <c r="I1632" i="1"/>
  <c r="J1632" i="1"/>
  <c r="K1632" i="1"/>
  <c r="L1632" i="1"/>
  <c r="A1633" i="1"/>
  <c r="B1633" i="1"/>
  <c r="C1633" i="1"/>
  <c r="D1633" i="1"/>
  <c r="E1633" i="1" s="1"/>
  <c r="F1633" i="1"/>
  <c r="G1633" i="1"/>
  <c r="I1633" i="1"/>
  <c r="J1633" i="1"/>
  <c r="K1633" i="1"/>
  <c r="L1633" i="1"/>
  <c r="A1634" i="1"/>
  <c r="B1634" i="1"/>
  <c r="C1634" i="1"/>
  <c r="D1634" i="1"/>
  <c r="E1634" i="1" s="1"/>
  <c r="F1634" i="1"/>
  <c r="G1634" i="1"/>
  <c r="I1634" i="1"/>
  <c r="J1634" i="1"/>
  <c r="K1634" i="1"/>
  <c r="L1634" i="1"/>
  <c r="A1635" i="1"/>
  <c r="B1635" i="1"/>
  <c r="C1635" i="1"/>
  <c r="D1635" i="1"/>
  <c r="E1635" i="1" s="1"/>
  <c r="F1635" i="1"/>
  <c r="G1635" i="1"/>
  <c r="I1635" i="1"/>
  <c r="J1635" i="1"/>
  <c r="K1635" i="1"/>
  <c r="L1635" i="1"/>
  <c r="A1636" i="1"/>
  <c r="B1636" i="1"/>
  <c r="C1636" i="1"/>
  <c r="D1636" i="1"/>
  <c r="E1636" i="1" s="1"/>
  <c r="F1636" i="1"/>
  <c r="G1636" i="1"/>
  <c r="I1636" i="1"/>
  <c r="J1636" i="1"/>
  <c r="K1636" i="1"/>
  <c r="L1636" i="1"/>
  <c r="A1637" i="1"/>
  <c r="B1637" i="1"/>
  <c r="C1637" i="1"/>
  <c r="D1637" i="1"/>
  <c r="E1637" i="1" s="1"/>
  <c r="H1637" i="1" s="1"/>
  <c r="F1637" i="1"/>
  <c r="G1637" i="1"/>
  <c r="I1637" i="1"/>
  <c r="J1637" i="1"/>
  <c r="K1637" i="1"/>
  <c r="L1637" i="1"/>
  <c r="A1638" i="1"/>
  <c r="B1638" i="1"/>
  <c r="C1638" i="1"/>
  <c r="D1638" i="1"/>
  <c r="E1638" i="1" s="1"/>
  <c r="H1638" i="1" s="1"/>
  <c r="F1638" i="1"/>
  <c r="G1638" i="1"/>
  <c r="I1638" i="1"/>
  <c r="J1638" i="1"/>
  <c r="K1638" i="1"/>
  <c r="L1638" i="1"/>
  <c r="A1639" i="1"/>
  <c r="B1639" i="1"/>
  <c r="C1639" i="1"/>
  <c r="D1639" i="1"/>
  <c r="E1639" i="1" s="1"/>
  <c r="H1639" i="1" s="1"/>
  <c r="F1639" i="1"/>
  <c r="G1639" i="1"/>
  <c r="I1639" i="1"/>
  <c r="J1639" i="1"/>
  <c r="K1639" i="1"/>
  <c r="L1639" i="1"/>
  <c r="A1640" i="1"/>
  <c r="B1640" i="1"/>
  <c r="C1640" i="1"/>
  <c r="D1640" i="1"/>
  <c r="E1640" i="1" s="1"/>
  <c r="H1640" i="1" s="1"/>
  <c r="F1640" i="1"/>
  <c r="G1640" i="1"/>
  <c r="I1640" i="1"/>
  <c r="J1640" i="1"/>
  <c r="K1640" i="1"/>
  <c r="L1640" i="1"/>
  <c r="A1641" i="1"/>
  <c r="B1641" i="1"/>
  <c r="C1641" i="1"/>
  <c r="D1641" i="1"/>
  <c r="E1641" i="1" s="1"/>
  <c r="H1641" i="1" s="1"/>
  <c r="F1641" i="1"/>
  <c r="G1641" i="1"/>
  <c r="I1641" i="1"/>
  <c r="J1641" i="1"/>
  <c r="K1641" i="1"/>
  <c r="L1641" i="1"/>
  <c r="A1642" i="1"/>
  <c r="B1642" i="1"/>
  <c r="C1642" i="1"/>
  <c r="D1642" i="1"/>
  <c r="E1642" i="1" s="1"/>
  <c r="H1642" i="1" s="1"/>
  <c r="F1642" i="1"/>
  <c r="G1642" i="1"/>
  <c r="I1642" i="1"/>
  <c r="J1642" i="1"/>
  <c r="K1642" i="1"/>
  <c r="L1642" i="1"/>
  <c r="A1643" i="1"/>
  <c r="B1643" i="1"/>
  <c r="C1643" i="1"/>
  <c r="D1643" i="1"/>
  <c r="E1643" i="1" s="1"/>
  <c r="H1643" i="1" s="1"/>
  <c r="F1643" i="1"/>
  <c r="G1643" i="1"/>
  <c r="I1643" i="1"/>
  <c r="J1643" i="1"/>
  <c r="K1643" i="1"/>
  <c r="L1643" i="1"/>
  <c r="A1644" i="1"/>
  <c r="B1644" i="1"/>
  <c r="C1644" i="1"/>
  <c r="D1644" i="1"/>
  <c r="E1644" i="1" s="1"/>
  <c r="H1644" i="1" s="1"/>
  <c r="F1644" i="1"/>
  <c r="G1644" i="1"/>
  <c r="I1644" i="1"/>
  <c r="J1644" i="1"/>
  <c r="K1644" i="1"/>
  <c r="L1644" i="1"/>
  <c r="A1645" i="1"/>
  <c r="B1645" i="1"/>
  <c r="C1645" i="1"/>
  <c r="D1645" i="1"/>
  <c r="E1645" i="1" s="1"/>
  <c r="H1645" i="1" s="1"/>
  <c r="F1645" i="1"/>
  <c r="G1645" i="1"/>
  <c r="I1645" i="1"/>
  <c r="J1645" i="1"/>
  <c r="K1645" i="1"/>
  <c r="L1645" i="1"/>
  <c r="A1646" i="1"/>
  <c r="B1646" i="1"/>
  <c r="C1646" i="1"/>
  <c r="D1646" i="1"/>
  <c r="E1646" i="1" s="1"/>
  <c r="H1646" i="1" s="1"/>
  <c r="F1646" i="1"/>
  <c r="G1646" i="1"/>
  <c r="I1646" i="1"/>
  <c r="J1646" i="1"/>
  <c r="K1646" i="1"/>
  <c r="L1646" i="1"/>
  <c r="A1647" i="1"/>
  <c r="B1647" i="1"/>
  <c r="C1647" i="1"/>
  <c r="D1647" i="1"/>
  <c r="E1647" i="1" s="1"/>
  <c r="H1647" i="1" s="1"/>
  <c r="F1647" i="1"/>
  <c r="G1647" i="1"/>
  <c r="I1647" i="1"/>
  <c r="J1647" i="1"/>
  <c r="K1647" i="1"/>
  <c r="L1647" i="1"/>
  <c r="A1648" i="1"/>
  <c r="B1648" i="1"/>
  <c r="C1648" i="1"/>
  <c r="D1648" i="1"/>
  <c r="E1648" i="1" s="1"/>
  <c r="H1648" i="1" s="1"/>
  <c r="F1648" i="1"/>
  <c r="G1648" i="1"/>
  <c r="I1648" i="1"/>
  <c r="J1648" i="1"/>
  <c r="K1648" i="1"/>
  <c r="L1648" i="1"/>
  <c r="A1649" i="1"/>
  <c r="B1649" i="1"/>
  <c r="C1649" i="1"/>
  <c r="D1649" i="1"/>
  <c r="E1649" i="1" s="1"/>
  <c r="H1649" i="1" s="1"/>
  <c r="F1649" i="1"/>
  <c r="G1649" i="1"/>
  <c r="I1649" i="1"/>
  <c r="J1649" i="1"/>
  <c r="K1649" i="1"/>
  <c r="L1649" i="1"/>
  <c r="A1650" i="1"/>
  <c r="B1650" i="1"/>
  <c r="C1650" i="1"/>
  <c r="D1650" i="1"/>
  <c r="E1650" i="1" s="1"/>
  <c r="H1650" i="1" s="1"/>
  <c r="F1650" i="1"/>
  <c r="G1650" i="1"/>
  <c r="I1650" i="1"/>
  <c r="J1650" i="1"/>
  <c r="K1650" i="1"/>
  <c r="L1650" i="1"/>
  <c r="A1651" i="1"/>
  <c r="B1651" i="1"/>
  <c r="C1651" i="1"/>
  <c r="D1651" i="1"/>
  <c r="E1651" i="1" s="1"/>
  <c r="H1651" i="1" s="1"/>
  <c r="F1651" i="1"/>
  <c r="G1651" i="1"/>
  <c r="I1651" i="1"/>
  <c r="J1651" i="1"/>
  <c r="K1651" i="1"/>
  <c r="L1651" i="1"/>
  <c r="A1652" i="1"/>
  <c r="B1652" i="1"/>
  <c r="C1652" i="1"/>
  <c r="D1652" i="1"/>
  <c r="E1652" i="1" s="1"/>
  <c r="H1652" i="1" s="1"/>
  <c r="F1652" i="1"/>
  <c r="G1652" i="1"/>
  <c r="I1652" i="1"/>
  <c r="J1652" i="1"/>
  <c r="K1652" i="1"/>
  <c r="L1652" i="1"/>
  <c r="A1653" i="1"/>
  <c r="B1653" i="1"/>
  <c r="C1653" i="1"/>
  <c r="D1653" i="1"/>
  <c r="E1653" i="1" s="1"/>
  <c r="H1653" i="1" s="1"/>
  <c r="F1653" i="1"/>
  <c r="G1653" i="1"/>
  <c r="I1653" i="1"/>
  <c r="J1653" i="1"/>
  <c r="K1653" i="1"/>
  <c r="L1653" i="1"/>
  <c r="A1654" i="1"/>
  <c r="B1654" i="1"/>
  <c r="C1654" i="1"/>
  <c r="D1654" i="1"/>
  <c r="E1654" i="1" s="1"/>
  <c r="H1654" i="1" s="1"/>
  <c r="F1654" i="1"/>
  <c r="G1654" i="1"/>
  <c r="I1654" i="1"/>
  <c r="J1654" i="1"/>
  <c r="K1654" i="1"/>
  <c r="L1654" i="1"/>
  <c r="A1655" i="1"/>
  <c r="B1655" i="1"/>
  <c r="C1655" i="1"/>
  <c r="D1655" i="1"/>
  <c r="E1655" i="1" s="1"/>
  <c r="H1655" i="1" s="1"/>
  <c r="F1655" i="1"/>
  <c r="G1655" i="1"/>
  <c r="I1655" i="1"/>
  <c r="J1655" i="1"/>
  <c r="K1655" i="1"/>
  <c r="L1655" i="1"/>
  <c r="A1656" i="1"/>
  <c r="B1656" i="1"/>
  <c r="C1656" i="1"/>
  <c r="D1656" i="1"/>
  <c r="E1656" i="1" s="1"/>
  <c r="H1656" i="1" s="1"/>
  <c r="F1656" i="1"/>
  <c r="G1656" i="1"/>
  <c r="I1656" i="1"/>
  <c r="J1656" i="1"/>
  <c r="K1656" i="1"/>
  <c r="L1656" i="1"/>
  <c r="A1657" i="1"/>
  <c r="B1657" i="1"/>
  <c r="C1657" i="1"/>
  <c r="D1657" i="1"/>
  <c r="E1657" i="1" s="1"/>
  <c r="H1657" i="1" s="1"/>
  <c r="F1657" i="1"/>
  <c r="G1657" i="1"/>
  <c r="I1657" i="1"/>
  <c r="J1657" i="1"/>
  <c r="K1657" i="1"/>
  <c r="L1657" i="1"/>
  <c r="A1658" i="1"/>
  <c r="B1658" i="1"/>
  <c r="C1658" i="1"/>
  <c r="D1658" i="1"/>
  <c r="E1658" i="1" s="1"/>
  <c r="H1658" i="1" s="1"/>
  <c r="F1658" i="1"/>
  <c r="G1658" i="1"/>
  <c r="I1658" i="1"/>
  <c r="J1658" i="1"/>
  <c r="K1658" i="1"/>
  <c r="L1658" i="1"/>
  <c r="A1659" i="1"/>
  <c r="B1659" i="1"/>
  <c r="C1659" i="1"/>
  <c r="D1659" i="1"/>
  <c r="E1659" i="1" s="1"/>
  <c r="H1659" i="1" s="1"/>
  <c r="F1659" i="1"/>
  <c r="G1659" i="1"/>
  <c r="I1659" i="1"/>
  <c r="J1659" i="1"/>
  <c r="K1659" i="1"/>
  <c r="L1659" i="1"/>
  <c r="A1660" i="1"/>
  <c r="B1660" i="1"/>
  <c r="C1660" i="1"/>
  <c r="D1660" i="1"/>
  <c r="E1660" i="1" s="1"/>
  <c r="H1660" i="1" s="1"/>
  <c r="F1660" i="1"/>
  <c r="G1660" i="1"/>
  <c r="I1660" i="1"/>
  <c r="J1660" i="1"/>
  <c r="K1660" i="1"/>
  <c r="L1660" i="1"/>
  <c r="A1661" i="1"/>
  <c r="B1661" i="1"/>
  <c r="C1661" i="1"/>
  <c r="D1661" i="1"/>
  <c r="E1661" i="1" s="1"/>
  <c r="H1661" i="1" s="1"/>
  <c r="F1661" i="1"/>
  <c r="G1661" i="1"/>
  <c r="I1661" i="1"/>
  <c r="J1661" i="1"/>
  <c r="K1661" i="1"/>
  <c r="L1661" i="1"/>
  <c r="A1662" i="1"/>
  <c r="B1662" i="1"/>
  <c r="C1662" i="1"/>
  <c r="D1662" i="1"/>
  <c r="E1662" i="1" s="1"/>
  <c r="H1662" i="1" s="1"/>
  <c r="F1662" i="1"/>
  <c r="G1662" i="1"/>
  <c r="I1662" i="1"/>
  <c r="J1662" i="1"/>
  <c r="K1662" i="1"/>
  <c r="L1662" i="1"/>
  <c r="A1663" i="1"/>
  <c r="B1663" i="1"/>
  <c r="C1663" i="1"/>
  <c r="D1663" i="1"/>
  <c r="E1663" i="1" s="1"/>
  <c r="H1663" i="1" s="1"/>
  <c r="F1663" i="1"/>
  <c r="G1663" i="1"/>
  <c r="I1663" i="1"/>
  <c r="J1663" i="1"/>
  <c r="K1663" i="1"/>
  <c r="L1663" i="1"/>
  <c r="A1664" i="1"/>
  <c r="B1664" i="1"/>
  <c r="C1664" i="1"/>
  <c r="D1664" i="1"/>
  <c r="E1664" i="1" s="1"/>
  <c r="H1664" i="1" s="1"/>
  <c r="F1664" i="1"/>
  <c r="G1664" i="1"/>
  <c r="I1664" i="1"/>
  <c r="J1664" i="1"/>
  <c r="K1664" i="1"/>
  <c r="L1664" i="1"/>
  <c r="A1665" i="1"/>
  <c r="B1665" i="1"/>
  <c r="C1665" i="1"/>
  <c r="D1665" i="1"/>
  <c r="E1665" i="1" s="1"/>
  <c r="H1665" i="1" s="1"/>
  <c r="F1665" i="1"/>
  <c r="G1665" i="1"/>
  <c r="I1665" i="1"/>
  <c r="J1665" i="1"/>
  <c r="K1665" i="1"/>
  <c r="L1665" i="1"/>
  <c r="A1666" i="1"/>
  <c r="B1666" i="1"/>
  <c r="C1666" i="1"/>
  <c r="D1666" i="1"/>
  <c r="E1666" i="1" s="1"/>
  <c r="H1666" i="1" s="1"/>
  <c r="F1666" i="1"/>
  <c r="G1666" i="1"/>
  <c r="I1666" i="1"/>
  <c r="J1666" i="1"/>
  <c r="K1666" i="1"/>
  <c r="L1666" i="1"/>
  <c r="A1667" i="1"/>
  <c r="B1667" i="1"/>
  <c r="C1667" i="1"/>
  <c r="D1667" i="1"/>
  <c r="E1667" i="1" s="1"/>
  <c r="H1667" i="1" s="1"/>
  <c r="F1667" i="1"/>
  <c r="G1667" i="1"/>
  <c r="I1667" i="1"/>
  <c r="J1667" i="1"/>
  <c r="K1667" i="1"/>
  <c r="L1667" i="1"/>
  <c r="A1668" i="1"/>
  <c r="B1668" i="1"/>
  <c r="C1668" i="1"/>
  <c r="D1668" i="1"/>
  <c r="E1668" i="1" s="1"/>
  <c r="H1668" i="1" s="1"/>
  <c r="F1668" i="1"/>
  <c r="G1668" i="1"/>
  <c r="I1668" i="1"/>
  <c r="J1668" i="1"/>
  <c r="K1668" i="1"/>
  <c r="L1668" i="1"/>
  <c r="A1669" i="1"/>
  <c r="B1669" i="1"/>
  <c r="C1669" i="1"/>
  <c r="D1669" i="1"/>
  <c r="E1669" i="1" s="1"/>
  <c r="H1669" i="1" s="1"/>
  <c r="F1669" i="1"/>
  <c r="G1669" i="1"/>
  <c r="I1669" i="1"/>
  <c r="J1669" i="1"/>
  <c r="K1669" i="1"/>
  <c r="L1669" i="1"/>
  <c r="A1670" i="1"/>
  <c r="B1670" i="1"/>
  <c r="C1670" i="1"/>
  <c r="D1670" i="1"/>
  <c r="E1670" i="1" s="1"/>
  <c r="H1670" i="1" s="1"/>
  <c r="F1670" i="1"/>
  <c r="G1670" i="1"/>
  <c r="I1670" i="1"/>
  <c r="J1670" i="1"/>
  <c r="K1670" i="1"/>
  <c r="L1670" i="1"/>
  <c r="A1671" i="1"/>
  <c r="B1671" i="1"/>
  <c r="C1671" i="1"/>
  <c r="D1671" i="1"/>
  <c r="E1671" i="1" s="1"/>
  <c r="H1671" i="1" s="1"/>
  <c r="F1671" i="1"/>
  <c r="G1671" i="1"/>
  <c r="I1671" i="1"/>
  <c r="J1671" i="1"/>
  <c r="K1671" i="1"/>
  <c r="L1671" i="1"/>
  <c r="A1672" i="1"/>
  <c r="B1672" i="1"/>
  <c r="C1672" i="1"/>
  <c r="D1672" i="1"/>
  <c r="E1672" i="1" s="1"/>
  <c r="H1672" i="1" s="1"/>
  <c r="F1672" i="1"/>
  <c r="G1672" i="1"/>
  <c r="I1672" i="1"/>
  <c r="J1672" i="1"/>
  <c r="K1672" i="1"/>
  <c r="L1672" i="1"/>
  <c r="A1673" i="1"/>
  <c r="B1673" i="1"/>
  <c r="C1673" i="1"/>
  <c r="D1673" i="1"/>
  <c r="E1673" i="1" s="1"/>
  <c r="H1673" i="1" s="1"/>
  <c r="F1673" i="1"/>
  <c r="G1673" i="1"/>
  <c r="I1673" i="1"/>
  <c r="J1673" i="1"/>
  <c r="K1673" i="1"/>
  <c r="L1673" i="1"/>
  <c r="A1674" i="1"/>
  <c r="B1674" i="1"/>
  <c r="C1674" i="1"/>
  <c r="D1674" i="1"/>
  <c r="E1674" i="1" s="1"/>
  <c r="H1674" i="1" s="1"/>
  <c r="F1674" i="1"/>
  <c r="G1674" i="1"/>
  <c r="I1674" i="1"/>
  <c r="J1674" i="1"/>
  <c r="K1674" i="1"/>
  <c r="L1674" i="1"/>
  <c r="A1675" i="1"/>
  <c r="B1675" i="1"/>
  <c r="C1675" i="1"/>
  <c r="D1675" i="1"/>
  <c r="E1675" i="1" s="1"/>
  <c r="H1675" i="1" s="1"/>
  <c r="F1675" i="1"/>
  <c r="G1675" i="1"/>
  <c r="I1675" i="1"/>
  <c r="J1675" i="1"/>
  <c r="K1675" i="1"/>
  <c r="L1675" i="1"/>
  <c r="A1676" i="1"/>
  <c r="B1676" i="1"/>
  <c r="C1676" i="1"/>
  <c r="D1676" i="1"/>
  <c r="E1676" i="1" s="1"/>
  <c r="H1676" i="1" s="1"/>
  <c r="F1676" i="1"/>
  <c r="G1676" i="1"/>
  <c r="I1676" i="1"/>
  <c r="J1676" i="1"/>
  <c r="K1676" i="1"/>
  <c r="L1676" i="1"/>
  <c r="A1677" i="1"/>
  <c r="B1677" i="1"/>
  <c r="C1677" i="1"/>
  <c r="D1677" i="1"/>
  <c r="E1677" i="1" s="1"/>
  <c r="H1677" i="1" s="1"/>
  <c r="F1677" i="1"/>
  <c r="G1677" i="1"/>
  <c r="I1677" i="1"/>
  <c r="J1677" i="1"/>
  <c r="K1677" i="1"/>
  <c r="L1677" i="1"/>
  <c r="A1678" i="1"/>
  <c r="B1678" i="1"/>
  <c r="C1678" i="1"/>
  <c r="D1678" i="1"/>
  <c r="E1678" i="1" s="1"/>
  <c r="H1678" i="1" s="1"/>
  <c r="F1678" i="1"/>
  <c r="G1678" i="1"/>
  <c r="I1678" i="1"/>
  <c r="J1678" i="1"/>
  <c r="K1678" i="1"/>
  <c r="L1678" i="1"/>
  <c r="A1679" i="1"/>
  <c r="B1679" i="1"/>
  <c r="C1679" i="1"/>
  <c r="D1679" i="1"/>
  <c r="E1679" i="1" s="1"/>
  <c r="H1679" i="1" s="1"/>
  <c r="F1679" i="1"/>
  <c r="G1679" i="1"/>
  <c r="I1679" i="1"/>
  <c r="J1679" i="1"/>
  <c r="K1679" i="1"/>
  <c r="L1679" i="1"/>
  <c r="A1680" i="1"/>
  <c r="B1680" i="1"/>
  <c r="C1680" i="1"/>
  <c r="D1680" i="1"/>
  <c r="E1680" i="1" s="1"/>
  <c r="H1680" i="1" s="1"/>
  <c r="F1680" i="1"/>
  <c r="G1680" i="1"/>
  <c r="I1680" i="1"/>
  <c r="J1680" i="1"/>
  <c r="K1680" i="1"/>
  <c r="L1680" i="1"/>
  <c r="A1681" i="1"/>
  <c r="B1681" i="1"/>
  <c r="C1681" i="1"/>
  <c r="D1681" i="1"/>
  <c r="E1681" i="1" s="1"/>
  <c r="H1681" i="1" s="1"/>
  <c r="F1681" i="1"/>
  <c r="G1681" i="1"/>
  <c r="I1681" i="1"/>
  <c r="J1681" i="1"/>
  <c r="K1681" i="1"/>
  <c r="L1681" i="1"/>
  <c r="A1682" i="1"/>
  <c r="B1682" i="1"/>
  <c r="C1682" i="1"/>
  <c r="D1682" i="1"/>
  <c r="E1682" i="1" s="1"/>
  <c r="H1682" i="1" s="1"/>
  <c r="F1682" i="1"/>
  <c r="G1682" i="1"/>
  <c r="I1682" i="1"/>
  <c r="J1682" i="1"/>
  <c r="K1682" i="1"/>
  <c r="L1682" i="1"/>
  <c r="A1683" i="1"/>
  <c r="B1683" i="1"/>
  <c r="C1683" i="1"/>
  <c r="D1683" i="1"/>
  <c r="E1683" i="1" s="1"/>
  <c r="H1683" i="1" s="1"/>
  <c r="F1683" i="1"/>
  <c r="G1683" i="1"/>
  <c r="I1683" i="1"/>
  <c r="J1683" i="1"/>
  <c r="K1683" i="1"/>
  <c r="L1683" i="1"/>
  <c r="A1684" i="1"/>
  <c r="B1684" i="1"/>
  <c r="C1684" i="1"/>
  <c r="D1684" i="1"/>
  <c r="E1684" i="1" s="1"/>
  <c r="H1684" i="1" s="1"/>
  <c r="F1684" i="1"/>
  <c r="G1684" i="1"/>
  <c r="I1684" i="1"/>
  <c r="J1684" i="1"/>
  <c r="K1684" i="1"/>
  <c r="L1684" i="1"/>
  <c r="A1685" i="1"/>
  <c r="B1685" i="1"/>
  <c r="C1685" i="1"/>
  <c r="D1685" i="1"/>
  <c r="E1685" i="1" s="1"/>
  <c r="H1685" i="1" s="1"/>
  <c r="F1685" i="1"/>
  <c r="G1685" i="1"/>
  <c r="I1685" i="1"/>
  <c r="J1685" i="1"/>
  <c r="K1685" i="1"/>
  <c r="L1685" i="1"/>
  <c r="A1686" i="1"/>
  <c r="B1686" i="1"/>
  <c r="C1686" i="1"/>
  <c r="D1686" i="1"/>
  <c r="E1686" i="1" s="1"/>
  <c r="H1686" i="1" s="1"/>
  <c r="F1686" i="1"/>
  <c r="G1686" i="1"/>
  <c r="I1686" i="1"/>
  <c r="J1686" i="1"/>
  <c r="K1686" i="1"/>
  <c r="L1686" i="1"/>
  <c r="A1687" i="1"/>
  <c r="B1687" i="1"/>
  <c r="C1687" i="1"/>
  <c r="D1687" i="1"/>
  <c r="E1687" i="1" s="1"/>
  <c r="H1687" i="1" s="1"/>
  <c r="F1687" i="1"/>
  <c r="G1687" i="1"/>
  <c r="I1687" i="1"/>
  <c r="J1687" i="1"/>
  <c r="K1687" i="1"/>
  <c r="L1687" i="1"/>
  <c r="A1688" i="1"/>
  <c r="B1688" i="1"/>
  <c r="C1688" i="1"/>
  <c r="D1688" i="1"/>
  <c r="E1688" i="1" s="1"/>
  <c r="H1688" i="1" s="1"/>
  <c r="F1688" i="1"/>
  <c r="G1688" i="1"/>
  <c r="I1688" i="1"/>
  <c r="J1688" i="1"/>
  <c r="K1688" i="1"/>
  <c r="L1688" i="1"/>
  <c r="A1689" i="1"/>
  <c r="B1689" i="1"/>
  <c r="C1689" i="1"/>
  <c r="D1689" i="1"/>
  <c r="E1689" i="1" s="1"/>
  <c r="H1689" i="1" s="1"/>
  <c r="F1689" i="1"/>
  <c r="G1689" i="1"/>
  <c r="I1689" i="1"/>
  <c r="J1689" i="1"/>
  <c r="K1689" i="1"/>
  <c r="L1689" i="1"/>
  <c r="A1690" i="1"/>
  <c r="B1690" i="1"/>
  <c r="C1690" i="1"/>
  <c r="D1690" i="1"/>
  <c r="E1690" i="1" s="1"/>
  <c r="H1690" i="1" s="1"/>
  <c r="F1690" i="1"/>
  <c r="G1690" i="1"/>
  <c r="I1690" i="1"/>
  <c r="J1690" i="1"/>
  <c r="K1690" i="1"/>
  <c r="L1690" i="1"/>
  <c r="A1691" i="1"/>
  <c r="B1691" i="1"/>
  <c r="C1691" i="1"/>
  <c r="D1691" i="1"/>
  <c r="E1691" i="1" s="1"/>
  <c r="H1691" i="1" s="1"/>
  <c r="F1691" i="1"/>
  <c r="G1691" i="1"/>
  <c r="I1691" i="1"/>
  <c r="J1691" i="1"/>
  <c r="K1691" i="1"/>
  <c r="L1691" i="1"/>
  <c r="A1692" i="1"/>
  <c r="B1692" i="1"/>
  <c r="C1692" i="1"/>
  <c r="D1692" i="1"/>
  <c r="E1692" i="1" s="1"/>
  <c r="H1692" i="1" s="1"/>
  <c r="F1692" i="1"/>
  <c r="G1692" i="1"/>
  <c r="I1692" i="1"/>
  <c r="J1692" i="1"/>
  <c r="K1692" i="1"/>
  <c r="L1692" i="1"/>
  <c r="A1693" i="1"/>
  <c r="B1693" i="1"/>
  <c r="C1693" i="1"/>
  <c r="D1693" i="1"/>
  <c r="E1693" i="1" s="1"/>
  <c r="H1693" i="1" s="1"/>
  <c r="F1693" i="1"/>
  <c r="G1693" i="1"/>
  <c r="I1693" i="1"/>
  <c r="J1693" i="1"/>
  <c r="K1693" i="1"/>
  <c r="L1693" i="1"/>
  <c r="A1694" i="1"/>
  <c r="B1694" i="1"/>
  <c r="C1694" i="1"/>
  <c r="D1694" i="1"/>
  <c r="E1694" i="1" s="1"/>
  <c r="H1694" i="1" s="1"/>
  <c r="F1694" i="1"/>
  <c r="G1694" i="1"/>
  <c r="I1694" i="1"/>
  <c r="J1694" i="1"/>
  <c r="K1694" i="1"/>
  <c r="L1694" i="1"/>
  <c r="A1695" i="1"/>
  <c r="B1695" i="1"/>
  <c r="C1695" i="1"/>
  <c r="D1695" i="1"/>
  <c r="E1695" i="1" s="1"/>
  <c r="H1695" i="1" s="1"/>
  <c r="F1695" i="1"/>
  <c r="G1695" i="1"/>
  <c r="I1695" i="1"/>
  <c r="J1695" i="1"/>
  <c r="K1695" i="1"/>
  <c r="L1695" i="1"/>
  <c r="A1696" i="1"/>
  <c r="B1696" i="1"/>
  <c r="C1696" i="1"/>
  <c r="D1696" i="1"/>
  <c r="E1696" i="1" s="1"/>
  <c r="H1696" i="1" s="1"/>
  <c r="F1696" i="1"/>
  <c r="G1696" i="1"/>
  <c r="I1696" i="1"/>
  <c r="J1696" i="1"/>
  <c r="K1696" i="1"/>
  <c r="L1696" i="1"/>
  <c r="A1697" i="1"/>
  <c r="B1697" i="1"/>
  <c r="C1697" i="1"/>
  <c r="D1697" i="1"/>
  <c r="E1697" i="1" s="1"/>
  <c r="H1697" i="1" s="1"/>
  <c r="F1697" i="1"/>
  <c r="G1697" i="1"/>
  <c r="I1697" i="1"/>
  <c r="J1697" i="1"/>
  <c r="K1697" i="1"/>
  <c r="L1697" i="1"/>
  <c r="A1698" i="1"/>
  <c r="B1698" i="1"/>
  <c r="C1698" i="1"/>
  <c r="D1698" i="1"/>
  <c r="E1698" i="1" s="1"/>
  <c r="H1698" i="1" s="1"/>
  <c r="F1698" i="1"/>
  <c r="G1698" i="1"/>
  <c r="I1698" i="1"/>
  <c r="J1698" i="1"/>
  <c r="K1698" i="1"/>
  <c r="L1698" i="1"/>
  <c r="A1699" i="1"/>
  <c r="B1699" i="1"/>
  <c r="C1699" i="1"/>
  <c r="D1699" i="1"/>
  <c r="E1699" i="1" s="1"/>
  <c r="H1699" i="1" s="1"/>
  <c r="F1699" i="1"/>
  <c r="G1699" i="1"/>
  <c r="I1699" i="1"/>
  <c r="J1699" i="1"/>
  <c r="K1699" i="1"/>
  <c r="L1699" i="1"/>
  <c r="A1700" i="1"/>
  <c r="B1700" i="1"/>
  <c r="C1700" i="1"/>
  <c r="D1700" i="1"/>
  <c r="E1700" i="1" s="1"/>
  <c r="H1700" i="1" s="1"/>
  <c r="F1700" i="1"/>
  <c r="G1700" i="1"/>
  <c r="I1700" i="1"/>
  <c r="J1700" i="1"/>
  <c r="K1700" i="1"/>
  <c r="L1700" i="1"/>
  <c r="A1701" i="1"/>
  <c r="B1701" i="1"/>
  <c r="C1701" i="1"/>
  <c r="D1701" i="1"/>
  <c r="E1701" i="1" s="1"/>
  <c r="H1701" i="1" s="1"/>
  <c r="F1701" i="1"/>
  <c r="G1701" i="1"/>
  <c r="I1701" i="1"/>
  <c r="J1701" i="1"/>
  <c r="K1701" i="1"/>
  <c r="L1701" i="1"/>
  <c r="A1702" i="1"/>
  <c r="B1702" i="1"/>
  <c r="C1702" i="1"/>
  <c r="D1702" i="1"/>
  <c r="E1702" i="1" s="1"/>
  <c r="H1702" i="1" s="1"/>
  <c r="F1702" i="1"/>
  <c r="G1702" i="1"/>
  <c r="I1702" i="1"/>
  <c r="J1702" i="1"/>
  <c r="K1702" i="1"/>
  <c r="L1702" i="1"/>
  <c r="A1703" i="1"/>
  <c r="B1703" i="1"/>
  <c r="C1703" i="1"/>
  <c r="D1703" i="1"/>
  <c r="E1703" i="1" s="1"/>
  <c r="H1703" i="1" s="1"/>
  <c r="F1703" i="1"/>
  <c r="G1703" i="1"/>
  <c r="I1703" i="1"/>
  <c r="J1703" i="1"/>
  <c r="K1703" i="1"/>
  <c r="L1703" i="1"/>
  <c r="A1704" i="1"/>
  <c r="B1704" i="1"/>
  <c r="C1704" i="1"/>
  <c r="D1704" i="1"/>
  <c r="E1704" i="1" s="1"/>
  <c r="H1704" i="1" s="1"/>
  <c r="F1704" i="1"/>
  <c r="G1704" i="1"/>
  <c r="I1704" i="1"/>
  <c r="J1704" i="1"/>
  <c r="K1704" i="1"/>
  <c r="L1704" i="1"/>
  <c r="A1705" i="1"/>
  <c r="B1705" i="1"/>
  <c r="C1705" i="1"/>
  <c r="D1705" i="1"/>
  <c r="E1705" i="1" s="1"/>
  <c r="H1705" i="1" s="1"/>
  <c r="F1705" i="1"/>
  <c r="G1705" i="1"/>
  <c r="I1705" i="1"/>
  <c r="J1705" i="1"/>
  <c r="K1705" i="1"/>
  <c r="L1705" i="1"/>
  <c r="A1706" i="1"/>
  <c r="B1706" i="1"/>
  <c r="C1706" i="1"/>
  <c r="D1706" i="1"/>
  <c r="E1706" i="1" s="1"/>
  <c r="H1706" i="1" s="1"/>
  <c r="F1706" i="1"/>
  <c r="G1706" i="1"/>
  <c r="I1706" i="1"/>
  <c r="J1706" i="1"/>
  <c r="K1706" i="1"/>
  <c r="L1706" i="1"/>
  <c r="A1707" i="1"/>
  <c r="B1707" i="1"/>
  <c r="C1707" i="1"/>
  <c r="D1707" i="1"/>
  <c r="E1707" i="1" s="1"/>
  <c r="H1707" i="1" s="1"/>
  <c r="F1707" i="1"/>
  <c r="G1707" i="1"/>
  <c r="I1707" i="1"/>
  <c r="J1707" i="1"/>
  <c r="K1707" i="1"/>
  <c r="L1707" i="1"/>
  <c r="A1708" i="1"/>
  <c r="B1708" i="1"/>
  <c r="C1708" i="1"/>
  <c r="D1708" i="1"/>
  <c r="E1708" i="1" s="1"/>
  <c r="H1708" i="1" s="1"/>
  <c r="F1708" i="1"/>
  <c r="G1708" i="1"/>
  <c r="I1708" i="1"/>
  <c r="J1708" i="1"/>
  <c r="K1708" i="1"/>
  <c r="L1708" i="1"/>
  <c r="A1709" i="1"/>
  <c r="B1709" i="1"/>
  <c r="C1709" i="1"/>
  <c r="D1709" i="1"/>
  <c r="E1709" i="1" s="1"/>
  <c r="H1709" i="1" s="1"/>
  <c r="F1709" i="1"/>
  <c r="G1709" i="1"/>
  <c r="I1709" i="1"/>
  <c r="J1709" i="1"/>
  <c r="K1709" i="1"/>
  <c r="L1709" i="1"/>
  <c r="A1710" i="1"/>
  <c r="B1710" i="1"/>
  <c r="C1710" i="1"/>
  <c r="D1710" i="1"/>
  <c r="E1710" i="1" s="1"/>
  <c r="H1710" i="1" s="1"/>
  <c r="F1710" i="1"/>
  <c r="G1710" i="1"/>
  <c r="I1710" i="1"/>
  <c r="J1710" i="1"/>
  <c r="K1710" i="1"/>
  <c r="L1710" i="1"/>
  <c r="A1711" i="1"/>
  <c r="B1711" i="1"/>
  <c r="C1711" i="1"/>
  <c r="D1711" i="1"/>
  <c r="E1711" i="1" s="1"/>
  <c r="H1711" i="1" s="1"/>
  <c r="F1711" i="1"/>
  <c r="G1711" i="1"/>
  <c r="I1711" i="1"/>
  <c r="J1711" i="1"/>
  <c r="K1711" i="1"/>
  <c r="L1711" i="1"/>
  <c r="A1712" i="1"/>
  <c r="B1712" i="1"/>
  <c r="C1712" i="1"/>
  <c r="D1712" i="1"/>
  <c r="E1712" i="1" s="1"/>
  <c r="H1712" i="1" s="1"/>
  <c r="F1712" i="1"/>
  <c r="G1712" i="1"/>
  <c r="I1712" i="1"/>
  <c r="J1712" i="1"/>
  <c r="K1712" i="1"/>
  <c r="L1712" i="1"/>
  <c r="A1713" i="1"/>
  <c r="B1713" i="1"/>
  <c r="C1713" i="1"/>
  <c r="D1713" i="1"/>
  <c r="E1713" i="1" s="1"/>
  <c r="H1713" i="1" s="1"/>
  <c r="F1713" i="1"/>
  <c r="G1713" i="1"/>
  <c r="I1713" i="1"/>
  <c r="J1713" i="1"/>
  <c r="K1713" i="1"/>
  <c r="L1713" i="1"/>
  <c r="A1714" i="1"/>
  <c r="B1714" i="1"/>
  <c r="C1714" i="1"/>
  <c r="D1714" i="1"/>
  <c r="E1714" i="1" s="1"/>
  <c r="H1714" i="1" s="1"/>
  <c r="F1714" i="1"/>
  <c r="G1714" i="1"/>
  <c r="I1714" i="1"/>
  <c r="J1714" i="1"/>
  <c r="K1714" i="1"/>
  <c r="L1714" i="1"/>
  <c r="A1715" i="1"/>
  <c r="B1715" i="1"/>
  <c r="C1715" i="1"/>
  <c r="D1715" i="1"/>
  <c r="E1715" i="1" s="1"/>
  <c r="H1715" i="1" s="1"/>
  <c r="F1715" i="1"/>
  <c r="G1715" i="1"/>
  <c r="I1715" i="1"/>
  <c r="J1715" i="1"/>
  <c r="K1715" i="1"/>
  <c r="L1715" i="1"/>
  <c r="A1716" i="1"/>
  <c r="B1716" i="1"/>
  <c r="C1716" i="1"/>
  <c r="D1716" i="1"/>
  <c r="E1716" i="1" s="1"/>
  <c r="H1716" i="1" s="1"/>
  <c r="F1716" i="1"/>
  <c r="G1716" i="1"/>
  <c r="I1716" i="1"/>
  <c r="J1716" i="1"/>
  <c r="K1716" i="1"/>
  <c r="L1716" i="1"/>
  <c r="A1717" i="1"/>
  <c r="B1717" i="1"/>
  <c r="C1717" i="1"/>
  <c r="D1717" i="1"/>
  <c r="E1717" i="1" s="1"/>
  <c r="H1717" i="1" s="1"/>
  <c r="F1717" i="1"/>
  <c r="G1717" i="1"/>
  <c r="I1717" i="1"/>
  <c r="J1717" i="1"/>
  <c r="K1717" i="1"/>
  <c r="L1717" i="1"/>
  <c r="A1718" i="1"/>
  <c r="B1718" i="1"/>
  <c r="C1718" i="1"/>
  <c r="D1718" i="1"/>
  <c r="E1718" i="1" s="1"/>
  <c r="H1718" i="1" s="1"/>
  <c r="F1718" i="1"/>
  <c r="G1718" i="1"/>
  <c r="I1718" i="1"/>
  <c r="J1718" i="1"/>
  <c r="K1718" i="1"/>
  <c r="L1718" i="1"/>
  <c r="A1719" i="1"/>
  <c r="B1719" i="1"/>
  <c r="C1719" i="1"/>
  <c r="D1719" i="1"/>
  <c r="E1719" i="1" s="1"/>
  <c r="H1719" i="1" s="1"/>
  <c r="F1719" i="1"/>
  <c r="G1719" i="1"/>
  <c r="I1719" i="1"/>
  <c r="J1719" i="1"/>
  <c r="K1719" i="1"/>
  <c r="L1719" i="1"/>
  <c r="A1720" i="1"/>
  <c r="B1720" i="1"/>
  <c r="C1720" i="1"/>
  <c r="D1720" i="1"/>
  <c r="E1720" i="1" s="1"/>
  <c r="H1720" i="1" s="1"/>
  <c r="F1720" i="1"/>
  <c r="G1720" i="1"/>
  <c r="I1720" i="1"/>
  <c r="J1720" i="1"/>
  <c r="K1720" i="1"/>
  <c r="L1720" i="1"/>
  <c r="A1721" i="1"/>
  <c r="B1721" i="1"/>
  <c r="C1721" i="1"/>
  <c r="D1721" i="1"/>
  <c r="E1721" i="1" s="1"/>
  <c r="H1721" i="1" s="1"/>
  <c r="F1721" i="1"/>
  <c r="G1721" i="1"/>
  <c r="I1721" i="1"/>
  <c r="J1721" i="1"/>
  <c r="K1721" i="1"/>
  <c r="L1721" i="1"/>
  <c r="A1722" i="1"/>
  <c r="B1722" i="1"/>
  <c r="C1722" i="1"/>
  <c r="D1722" i="1"/>
  <c r="E1722" i="1" s="1"/>
  <c r="H1722" i="1" s="1"/>
  <c r="F1722" i="1"/>
  <c r="G1722" i="1"/>
  <c r="I1722" i="1"/>
  <c r="J1722" i="1"/>
  <c r="K1722" i="1"/>
  <c r="L1722" i="1"/>
  <c r="A1723" i="1"/>
  <c r="B1723" i="1"/>
  <c r="C1723" i="1"/>
  <c r="D1723" i="1"/>
  <c r="E1723" i="1" s="1"/>
  <c r="H1723" i="1" s="1"/>
  <c r="F1723" i="1"/>
  <c r="G1723" i="1"/>
  <c r="I1723" i="1"/>
  <c r="J1723" i="1"/>
  <c r="K1723" i="1"/>
  <c r="L1723" i="1"/>
  <c r="A1724" i="1"/>
  <c r="B1724" i="1"/>
  <c r="C1724" i="1"/>
  <c r="D1724" i="1"/>
  <c r="E1724" i="1" s="1"/>
  <c r="H1724" i="1" s="1"/>
  <c r="F1724" i="1"/>
  <c r="G1724" i="1"/>
  <c r="I1724" i="1"/>
  <c r="J1724" i="1"/>
  <c r="K1724" i="1"/>
  <c r="L1724" i="1"/>
  <c r="A1725" i="1"/>
  <c r="B1725" i="1"/>
  <c r="C1725" i="1"/>
  <c r="D1725" i="1"/>
  <c r="E1725" i="1" s="1"/>
  <c r="H1725" i="1" s="1"/>
  <c r="F1725" i="1"/>
  <c r="G1725" i="1"/>
  <c r="I1725" i="1"/>
  <c r="J1725" i="1"/>
  <c r="K1725" i="1"/>
  <c r="L1725" i="1"/>
  <c r="A1726" i="1"/>
  <c r="B1726" i="1"/>
  <c r="C1726" i="1"/>
  <c r="D1726" i="1"/>
  <c r="E1726" i="1" s="1"/>
  <c r="H1726" i="1" s="1"/>
  <c r="F1726" i="1"/>
  <c r="G1726" i="1"/>
  <c r="I1726" i="1"/>
  <c r="J1726" i="1"/>
  <c r="K1726" i="1"/>
  <c r="L1726" i="1"/>
  <c r="A1727" i="1"/>
  <c r="B1727" i="1"/>
  <c r="C1727" i="1"/>
  <c r="D1727" i="1"/>
  <c r="E1727" i="1" s="1"/>
  <c r="H1727" i="1" s="1"/>
  <c r="F1727" i="1"/>
  <c r="G1727" i="1"/>
  <c r="I1727" i="1"/>
  <c r="J1727" i="1"/>
  <c r="K1727" i="1"/>
  <c r="L1727" i="1"/>
  <c r="A1728" i="1"/>
  <c r="B1728" i="1"/>
  <c r="C1728" i="1"/>
  <c r="D1728" i="1"/>
  <c r="E1728" i="1" s="1"/>
  <c r="H1728" i="1" s="1"/>
  <c r="F1728" i="1"/>
  <c r="G1728" i="1"/>
  <c r="I1728" i="1"/>
  <c r="J1728" i="1"/>
  <c r="K1728" i="1"/>
  <c r="L1728" i="1"/>
  <c r="A1729" i="1"/>
  <c r="B1729" i="1"/>
  <c r="C1729" i="1"/>
  <c r="D1729" i="1"/>
  <c r="E1729" i="1" s="1"/>
  <c r="H1729" i="1" s="1"/>
  <c r="F1729" i="1"/>
  <c r="G1729" i="1"/>
  <c r="I1729" i="1"/>
  <c r="J1729" i="1"/>
  <c r="K1729" i="1"/>
  <c r="L1729" i="1"/>
  <c r="A1730" i="1"/>
  <c r="B1730" i="1"/>
  <c r="C1730" i="1"/>
  <c r="D1730" i="1"/>
  <c r="E1730" i="1" s="1"/>
  <c r="H1730" i="1" s="1"/>
  <c r="F1730" i="1"/>
  <c r="G1730" i="1"/>
  <c r="I1730" i="1"/>
  <c r="J1730" i="1"/>
  <c r="K1730" i="1"/>
  <c r="L1730" i="1"/>
  <c r="A1731" i="1"/>
  <c r="B1731" i="1"/>
  <c r="C1731" i="1"/>
  <c r="D1731" i="1"/>
  <c r="E1731" i="1" s="1"/>
  <c r="H1731" i="1" s="1"/>
  <c r="F1731" i="1"/>
  <c r="G1731" i="1"/>
  <c r="I1731" i="1"/>
  <c r="J1731" i="1"/>
  <c r="K1731" i="1"/>
  <c r="L1731" i="1"/>
  <c r="A1732" i="1"/>
  <c r="B1732" i="1"/>
  <c r="C1732" i="1"/>
  <c r="D1732" i="1"/>
  <c r="E1732" i="1" s="1"/>
  <c r="H1732" i="1" s="1"/>
  <c r="F1732" i="1"/>
  <c r="G1732" i="1"/>
  <c r="I1732" i="1"/>
  <c r="J1732" i="1"/>
  <c r="K1732" i="1"/>
  <c r="L1732" i="1"/>
  <c r="A1733" i="1"/>
  <c r="B1733" i="1"/>
  <c r="C1733" i="1"/>
  <c r="D1733" i="1"/>
  <c r="E1733" i="1" s="1"/>
  <c r="H1733" i="1" s="1"/>
  <c r="F1733" i="1"/>
  <c r="G1733" i="1"/>
  <c r="I1733" i="1"/>
  <c r="J1733" i="1"/>
  <c r="K1733" i="1"/>
  <c r="L1733" i="1"/>
  <c r="A1734" i="1"/>
  <c r="B1734" i="1"/>
  <c r="C1734" i="1"/>
  <c r="D1734" i="1"/>
  <c r="E1734" i="1" s="1"/>
  <c r="H1734" i="1" s="1"/>
  <c r="F1734" i="1"/>
  <c r="G1734" i="1"/>
  <c r="I1734" i="1"/>
  <c r="J1734" i="1"/>
  <c r="K1734" i="1"/>
  <c r="L1734" i="1"/>
  <c r="A1735" i="1"/>
  <c r="B1735" i="1"/>
  <c r="C1735" i="1"/>
  <c r="D1735" i="1"/>
  <c r="E1735" i="1" s="1"/>
  <c r="H1735" i="1" s="1"/>
  <c r="F1735" i="1"/>
  <c r="G1735" i="1"/>
  <c r="I1735" i="1"/>
  <c r="J1735" i="1"/>
  <c r="K1735" i="1"/>
  <c r="L1735" i="1"/>
  <c r="A1736" i="1"/>
  <c r="B1736" i="1"/>
  <c r="C1736" i="1"/>
  <c r="D1736" i="1"/>
  <c r="E1736" i="1" s="1"/>
  <c r="H1736" i="1" s="1"/>
  <c r="F1736" i="1"/>
  <c r="G1736" i="1"/>
  <c r="I1736" i="1"/>
  <c r="J1736" i="1"/>
  <c r="K1736" i="1"/>
  <c r="L1736" i="1"/>
  <c r="A1737" i="1"/>
  <c r="B1737" i="1"/>
  <c r="C1737" i="1"/>
  <c r="D1737" i="1"/>
  <c r="E1737" i="1" s="1"/>
  <c r="H1737" i="1" s="1"/>
  <c r="F1737" i="1"/>
  <c r="G1737" i="1"/>
  <c r="I1737" i="1"/>
  <c r="J1737" i="1"/>
  <c r="K1737" i="1"/>
  <c r="L1737" i="1"/>
  <c r="A1738" i="1"/>
  <c r="B1738" i="1"/>
  <c r="C1738" i="1"/>
  <c r="D1738" i="1"/>
  <c r="E1738" i="1" s="1"/>
  <c r="H1738" i="1" s="1"/>
  <c r="F1738" i="1"/>
  <c r="G1738" i="1"/>
  <c r="I1738" i="1"/>
  <c r="J1738" i="1"/>
  <c r="K1738" i="1"/>
  <c r="L1738" i="1"/>
  <c r="A1739" i="1"/>
  <c r="B1739" i="1"/>
  <c r="C1739" i="1"/>
  <c r="D1739" i="1"/>
  <c r="E1739" i="1" s="1"/>
  <c r="H1739" i="1" s="1"/>
  <c r="F1739" i="1"/>
  <c r="G1739" i="1"/>
  <c r="I1739" i="1"/>
  <c r="J1739" i="1"/>
  <c r="K1739" i="1"/>
  <c r="L1739" i="1"/>
  <c r="A1740" i="1"/>
  <c r="B1740" i="1"/>
  <c r="C1740" i="1"/>
  <c r="D1740" i="1"/>
  <c r="E1740" i="1" s="1"/>
  <c r="H1740" i="1" s="1"/>
  <c r="F1740" i="1"/>
  <c r="G1740" i="1"/>
  <c r="I1740" i="1"/>
  <c r="J1740" i="1"/>
  <c r="K1740" i="1"/>
  <c r="L1740" i="1"/>
  <c r="A1741" i="1"/>
  <c r="B1741" i="1"/>
  <c r="C1741" i="1"/>
  <c r="D1741" i="1"/>
  <c r="E1741" i="1" s="1"/>
  <c r="H1741" i="1" s="1"/>
  <c r="F1741" i="1"/>
  <c r="G1741" i="1"/>
  <c r="I1741" i="1"/>
  <c r="J1741" i="1"/>
  <c r="K1741" i="1"/>
  <c r="L1741" i="1"/>
  <c r="A1742" i="1"/>
  <c r="B1742" i="1"/>
  <c r="C1742" i="1"/>
  <c r="D1742" i="1"/>
  <c r="E1742" i="1" s="1"/>
  <c r="H1742" i="1" s="1"/>
  <c r="F1742" i="1"/>
  <c r="G1742" i="1"/>
  <c r="I1742" i="1"/>
  <c r="J1742" i="1"/>
  <c r="K1742" i="1"/>
  <c r="L1742" i="1"/>
  <c r="A1743" i="1"/>
  <c r="B1743" i="1"/>
  <c r="C1743" i="1"/>
  <c r="D1743" i="1"/>
  <c r="E1743" i="1" s="1"/>
  <c r="H1743" i="1" s="1"/>
  <c r="F1743" i="1"/>
  <c r="G1743" i="1"/>
  <c r="I1743" i="1"/>
  <c r="J1743" i="1"/>
  <c r="K1743" i="1"/>
  <c r="L1743" i="1"/>
  <c r="A1744" i="1"/>
  <c r="B1744" i="1"/>
  <c r="C1744" i="1"/>
  <c r="D1744" i="1"/>
  <c r="E1744" i="1" s="1"/>
  <c r="H1744" i="1" s="1"/>
  <c r="F1744" i="1"/>
  <c r="G1744" i="1"/>
  <c r="I1744" i="1"/>
  <c r="J1744" i="1"/>
  <c r="K1744" i="1"/>
  <c r="L1744" i="1"/>
  <c r="A1745" i="1"/>
  <c r="B1745" i="1"/>
  <c r="C1745" i="1"/>
  <c r="D1745" i="1"/>
  <c r="E1745" i="1" s="1"/>
  <c r="H1745" i="1" s="1"/>
  <c r="F1745" i="1"/>
  <c r="G1745" i="1"/>
  <c r="I1745" i="1"/>
  <c r="J1745" i="1"/>
  <c r="K1745" i="1"/>
  <c r="L1745" i="1"/>
  <c r="A1746" i="1"/>
  <c r="B1746" i="1"/>
  <c r="C1746" i="1"/>
  <c r="D1746" i="1"/>
  <c r="E1746" i="1" s="1"/>
  <c r="H1746" i="1" s="1"/>
  <c r="F1746" i="1"/>
  <c r="G1746" i="1"/>
  <c r="I1746" i="1"/>
  <c r="J1746" i="1"/>
  <c r="K1746" i="1"/>
  <c r="L1746" i="1"/>
  <c r="A1747" i="1"/>
  <c r="B1747" i="1"/>
  <c r="C1747" i="1"/>
  <c r="D1747" i="1"/>
  <c r="E1747" i="1" s="1"/>
  <c r="H1747" i="1" s="1"/>
  <c r="F1747" i="1"/>
  <c r="G1747" i="1"/>
  <c r="I1747" i="1"/>
  <c r="J1747" i="1"/>
  <c r="K1747" i="1"/>
  <c r="L1747" i="1"/>
  <c r="A1748" i="1"/>
  <c r="B1748" i="1"/>
  <c r="C1748" i="1"/>
  <c r="D1748" i="1"/>
  <c r="E1748" i="1" s="1"/>
  <c r="H1748" i="1" s="1"/>
  <c r="F1748" i="1"/>
  <c r="G1748" i="1"/>
  <c r="I1748" i="1"/>
  <c r="J1748" i="1"/>
  <c r="K1748" i="1"/>
  <c r="L1748" i="1"/>
  <c r="A1749" i="1"/>
  <c r="B1749" i="1"/>
  <c r="C1749" i="1"/>
  <c r="D1749" i="1"/>
  <c r="E1749" i="1" s="1"/>
  <c r="H1749" i="1" s="1"/>
  <c r="F1749" i="1"/>
  <c r="G1749" i="1"/>
  <c r="I1749" i="1"/>
  <c r="J1749" i="1"/>
  <c r="K1749" i="1"/>
  <c r="L1749" i="1"/>
  <c r="A1750" i="1"/>
  <c r="B1750" i="1"/>
  <c r="C1750" i="1"/>
  <c r="D1750" i="1"/>
  <c r="E1750" i="1" s="1"/>
  <c r="H1750" i="1" s="1"/>
  <c r="F1750" i="1"/>
  <c r="G1750" i="1"/>
  <c r="I1750" i="1"/>
  <c r="J1750" i="1"/>
  <c r="K1750" i="1"/>
  <c r="L1750" i="1"/>
  <c r="A1751" i="1"/>
  <c r="B1751" i="1"/>
  <c r="C1751" i="1"/>
  <c r="D1751" i="1"/>
  <c r="E1751" i="1" s="1"/>
  <c r="H1751" i="1" s="1"/>
  <c r="F1751" i="1"/>
  <c r="G1751" i="1"/>
  <c r="I1751" i="1"/>
  <c r="J1751" i="1"/>
  <c r="K1751" i="1"/>
  <c r="L1751" i="1"/>
  <c r="A1752" i="1"/>
  <c r="B1752" i="1"/>
  <c r="C1752" i="1"/>
  <c r="D1752" i="1"/>
  <c r="E1752" i="1" s="1"/>
  <c r="H1752" i="1" s="1"/>
  <c r="F1752" i="1"/>
  <c r="G1752" i="1"/>
  <c r="I1752" i="1"/>
  <c r="J1752" i="1"/>
  <c r="K1752" i="1"/>
  <c r="L1752" i="1"/>
  <c r="A1753" i="1"/>
  <c r="B1753" i="1"/>
  <c r="C1753" i="1"/>
  <c r="D1753" i="1"/>
  <c r="E1753" i="1" s="1"/>
  <c r="H1753" i="1" s="1"/>
  <c r="F1753" i="1"/>
  <c r="G1753" i="1"/>
  <c r="I1753" i="1"/>
  <c r="J1753" i="1"/>
  <c r="K1753" i="1"/>
  <c r="L1753" i="1"/>
  <c r="A1754" i="1"/>
  <c r="B1754" i="1"/>
  <c r="C1754" i="1"/>
  <c r="D1754" i="1"/>
  <c r="E1754" i="1" s="1"/>
  <c r="H1754" i="1" s="1"/>
  <c r="F1754" i="1"/>
  <c r="G1754" i="1"/>
  <c r="I1754" i="1"/>
  <c r="J1754" i="1"/>
  <c r="K1754" i="1"/>
  <c r="L1754" i="1"/>
  <c r="A1755" i="1"/>
  <c r="B1755" i="1"/>
  <c r="C1755" i="1"/>
  <c r="D1755" i="1"/>
  <c r="E1755" i="1" s="1"/>
  <c r="H1755" i="1" s="1"/>
  <c r="F1755" i="1"/>
  <c r="G1755" i="1"/>
  <c r="I1755" i="1"/>
  <c r="J1755" i="1"/>
  <c r="K1755" i="1"/>
  <c r="L1755" i="1"/>
  <c r="A1756" i="1"/>
  <c r="B1756" i="1"/>
  <c r="C1756" i="1"/>
  <c r="D1756" i="1"/>
  <c r="E1756" i="1" s="1"/>
  <c r="H1756" i="1" s="1"/>
  <c r="F1756" i="1"/>
  <c r="G1756" i="1"/>
  <c r="I1756" i="1"/>
  <c r="J1756" i="1"/>
  <c r="K1756" i="1"/>
  <c r="L1756" i="1"/>
  <c r="A1757" i="1"/>
  <c r="B1757" i="1"/>
  <c r="C1757" i="1"/>
  <c r="D1757" i="1"/>
  <c r="E1757" i="1" s="1"/>
  <c r="H1757" i="1" s="1"/>
  <c r="F1757" i="1"/>
  <c r="G1757" i="1"/>
  <c r="I1757" i="1"/>
  <c r="J1757" i="1"/>
  <c r="K1757" i="1"/>
  <c r="L1757" i="1"/>
  <c r="A1758" i="1"/>
  <c r="B1758" i="1"/>
  <c r="C1758" i="1"/>
  <c r="D1758" i="1"/>
  <c r="E1758" i="1" s="1"/>
  <c r="H1758" i="1" s="1"/>
  <c r="F1758" i="1"/>
  <c r="G1758" i="1"/>
  <c r="I1758" i="1"/>
  <c r="J1758" i="1"/>
  <c r="K1758" i="1"/>
  <c r="L1758" i="1"/>
  <c r="A1759" i="1"/>
  <c r="B1759" i="1"/>
  <c r="C1759" i="1"/>
  <c r="D1759" i="1"/>
  <c r="E1759" i="1" s="1"/>
  <c r="H1759" i="1" s="1"/>
  <c r="F1759" i="1"/>
  <c r="G1759" i="1"/>
  <c r="I1759" i="1"/>
  <c r="J1759" i="1"/>
  <c r="K1759" i="1"/>
  <c r="L1759" i="1"/>
  <c r="A1760" i="1"/>
  <c r="B1760" i="1"/>
  <c r="C1760" i="1"/>
  <c r="D1760" i="1"/>
  <c r="E1760" i="1" s="1"/>
  <c r="H1760" i="1" s="1"/>
  <c r="F1760" i="1"/>
  <c r="G1760" i="1"/>
  <c r="I1760" i="1"/>
  <c r="J1760" i="1"/>
  <c r="K1760" i="1"/>
  <c r="L1760" i="1"/>
  <c r="A1761" i="1"/>
  <c r="B1761" i="1"/>
  <c r="C1761" i="1"/>
  <c r="D1761" i="1"/>
  <c r="E1761" i="1" s="1"/>
  <c r="H1761" i="1" s="1"/>
  <c r="F1761" i="1"/>
  <c r="G1761" i="1"/>
  <c r="I1761" i="1"/>
  <c r="J1761" i="1"/>
  <c r="K1761" i="1"/>
  <c r="L1761" i="1"/>
  <c r="A1762" i="1"/>
  <c r="B1762" i="1"/>
  <c r="C1762" i="1"/>
  <c r="D1762" i="1"/>
  <c r="E1762" i="1" s="1"/>
  <c r="H1762" i="1" s="1"/>
  <c r="F1762" i="1"/>
  <c r="G1762" i="1"/>
  <c r="I1762" i="1"/>
  <c r="J1762" i="1"/>
  <c r="K1762" i="1"/>
  <c r="L1762" i="1"/>
  <c r="A1763" i="1"/>
  <c r="B1763" i="1"/>
  <c r="C1763" i="1"/>
  <c r="D1763" i="1"/>
  <c r="E1763" i="1" s="1"/>
  <c r="H1763" i="1" s="1"/>
  <c r="F1763" i="1"/>
  <c r="G1763" i="1"/>
  <c r="I1763" i="1"/>
  <c r="J1763" i="1"/>
  <c r="K1763" i="1"/>
  <c r="L1763" i="1"/>
  <c r="A1764" i="1"/>
  <c r="B1764" i="1"/>
  <c r="C1764" i="1"/>
  <c r="D1764" i="1"/>
  <c r="E1764" i="1" s="1"/>
  <c r="H1764" i="1" s="1"/>
  <c r="F1764" i="1"/>
  <c r="G1764" i="1"/>
  <c r="I1764" i="1"/>
  <c r="J1764" i="1"/>
  <c r="K1764" i="1"/>
  <c r="L1764" i="1"/>
  <c r="A1765" i="1"/>
  <c r="B1765" i="1"/>
  <c r="C1765" i="1"/>
  <c r="D1765" i="1"/>
  <c r="E1765" i="1" s="1"/>
  <c r="H1765" i="1" s="1"/>
  <c r="F1765" i="1"/>
  <c r="G1765" i="1"/>
  <c r="I1765" i="1"/>
  <c r="J1765" i="1"/>
  <c r="K1765" i="1"/>
  <c r="L1765" i="1"/>
  <c r="A1766" i="1"/>
  <c r="B1766" i="1"/>
  <c r="C1766" i="1"/>
  <c r="D1766" i="1"/>
  <c r="E1766" i="1" s="1"/>
  <c r="H1766" i="1" s="1"/>
  <c r="F1766" i="1"/>
  <c r="G1766" i="1"/>
  <c r="I1766" i="1"/>
  <c r="J1766" i="1"/>
  <c r="K1766" i="1"/>
  <c r="L1766" i="1"/>
  <c r="A1767" i="1"/>
  <c r="B1767" i="1"/>
  <c r="C1767" i="1"/>
  <c r="D1767" i="1"/>
  <c r="E1767" i="1" s="1"/>
  <c r="H1767" i="1" s="1"/>
  <c r="F1767" i="1"/>
  <c r="G1767" i="1"/>
  <c r="I1767" i="1"/>
  <c r="J1767" i="1"/>
  <c r="K1767" i="1"/>
  <c r="L1767" i="1"/>
  <c r="A1768" i="1"/>
  <c r="B1768" i="1"/>
  <c r="C1768" i="1"/>
  <c r="D1768" i="1"/>
  <c r="E1768" i="1" s="1"/>
  <c r="H1768" i="1" s="1"/>
  <c r="F1768" i="1"/>
  <c r="G1768" i="1"/>
  <c r="I1768" i="1"/>
  <c r="J1768" i="1"/>
  <c r="K1768" i="1"/>
  <c r="L1768" i="1"/>
  <c r="A1769" i="1"/>
  <c r="B1769" i="1"/>
  <c r="C1769" i="1"/>
  <c r="D1769" i="1"/>
  <c r="E1769" i="1" s="1"/>
  <c r="H1769" i="1" s="1"/>
  <c r="F1769" i="1"/>
  <c r="G1769" i="1"/>
  <c r="I1769" i="1"/>
  <c r="J1769" i="1"/>
  <c r="K1769" i="1"/>
  <c r="L1769" i="1"/>
  <c r="A1770" i="1"/>
  <c r="B1770" i="1"/>
  <c r="C1770" i="1"/>
  <c r="D1770" i="1"/>
  <c r="E1770" i="1" s="1"/>
  <c r="H1770" i="1" s="1"/>
  <c r="F1770" i="1"/>
  <c r="G1770" i="1"/>
  <c r="I1770" i="1"/>
  <c r="J1770" i="1"/>
  <c r="K1770" i="1"/>
  <c r="L1770" i="1"/>
  <c r="A1771" i="1"/>
  <c r="B1771" i="1"/>
  <c r="C1771" i="1"/>
  <c r="D1771" i="1"/>
  <c r="E1771" i="1" s="1"/>
  <c r="H1771" i="1" s="1"/>
  <c r="F1771" i="1"/>
  <c r="G1771" i="1"/>
  <c r="I1771" i="1"/>
  <c r="J1771" i="1"/>
  <c r="K1771" i="1"/>
  <c r="L1771" i="1"/>
  <c r="A1772" i="1"/>
  <c r="B1772" i="1"/>
  <c r="C1772" i="1"/>
  <c r="D1772" i="1"/>
  <c r="E1772" i="1" s="1"/>
  <c r="H1772" i="1" s="1"/>
  <c r="F1772" i="1"/>
  <c r="G1772" i="1"/>
  <c r="I1772" i="1"/>
  <c r="J1772" i="1"/>
  <c r="K1772" i="1"/>
  <c r="L1772" i="1"/>
  <c r="A1773" i="1"/>
  <c r="B1773" i="1"/>
  <c r="C1773" i="1"/>
  <c r="D1773" i="1"/>
  <c r="E1773" i="1" s="1"/>
  <c r="H1773" i="1" s="1"/>
  <c r="F1773" i="1"/>
  <c r="G1773" i="1"/>
  <c r="I1773" i="1"/>
  <c r="J1773" i="1"/>
  <c r="K1773" i="1"/>
  <c r="L1773" i="1"/>
  <c r="A1774" i="1"/>
  <c r="B1774" i="1"/>
  <c r="C1774" i="1"/>
  <c r="D1774" i="1"/>
  <c r="E1774" i="1" s="1"/>
  <c r="H1774" i="1" s="1"/>
  <c r="F1774" i="1"/>
  <c r="G1774" i="1"/>
  <c r="I1774" i="1"/>
  <c r="J1774" i="1"/>
  <c r="K1774" i="1"/>
  <c r="L1774" i="1"/>
  <c r="A1775" i="1"/>
  <c r="B1775" i="1"/>
  <c r="C1775" i="1"/>
  <c r="D1775" i="1"/>
  <c r="E1775" i="1" s="1"/>
  <c r="H1775" i="1" s="1"/>
  <c r="F1775" i="1"/>
  <c r="G1775" i="1"/>
  <c r="I1775" i="1"/>
  <c r="J1775" i="1"/>
  <c r="K1775" i="1"/>
  <c r="L1775" i="1"/>
  <c r="A1776" i="1"/>
  <c r="B1776" i="1"/>
  <c r="C1776" i="1"/>
  <c r="D1776" i="1"/>
  <c r="E1776" i="1" s="1"/>
  <c r="H1776" i="1" s="1"/>
  <c r="F1776" i="1"/>
  <c r="G1776" i="1"/>
  <c r="I1776" i="1"/>
  <c r="J1776" i="1"/>
  <c r="K1776" i="1"/>
  <c r="L1776" i="1"/>
  <c r="A1777" i="1"/>
  <c r="B1777" i="1"/>
  <c r="C1777" i="1"/>
  <c r="D1777" i="1"/>
  <c r="E1777" i="1" s="1"/>
  <c r="H1777" i="1" s="1"/>
  <c r="F1777" i="1"/>
  <c r="G1777" i="1"/>
  <c r="I1777" i="1"/>
  <c r="J1777" i="1"/>
  <c r="K1777" i="1"/>
  <c r="L1777" i="1"/>
  <c r="A1778" i="1"/>
  <c r="B1778" i="1"/>
  <c r="C1778" i="1"/>
  <c r="D1778" i="1"/>
  <c r="E1778" i="1" s="1"/>
  <c r="H1778" i="1" s="1"/>
  <c r="F1778" i="1"/>
  <c r="G1778" i="1"/>
  <c r="I1778" i="1"/>
  <c r="J1778" i="1"/>
  <c r="K1778" i="1"/>
  <c r="L1778" i="1"/>
  <c r="A1779" i="1"/>
  <c r="B1779" i="1"/>
  <c r="C1779" i="1"/>
  <c r="D1779" i="1"/>
  <c r="E1779" i="1" s="1"/>
  <c r="H1779" i="1" s="1"/>
  <c r="F1779" i="1"/>
  <c r="G1779" i="1"/>
  <c r="I1779" i="1"/>
  <c r="J1779" i="1"/>
  <c r="K1779" i="1"/>
  <c r="L1779" i="1"/>
  <c r="A1780" i="1"/>
  <c r="B1780" i="1"/>
  <c r="C1780" i="1"/>
  <c r="D1780" i="1"/>
  <c r="E1780" i="1" s="1"/>
  <c r="H1780" i="1" s="1"/>
  <c r="F1780" i="1"/>
  <c r="G1780" i="1"/>
  <c r="I1780" i="1"/>
  <c r="J1780" i="1"/>
  <c r="K1780" i="1"/>
  <c r="L1780" i="1"/>
  <c r="A1781" i="1"/>
  <c r="B1781" i="1"/>
  <c r="C1781" i="1"/>
  <c r="D1781" i="1"/>
  <c r="E1781" i="1" s="1"/>
  <c r="H1781" i="1" s="1"/>
  <c r="F1781" i="1"/>
  <c r="G1781" i="1"/>
  <c r="I1781" i="1"/>
  <c r="J1781" i="1"/>
  <c r="K1781" i="1"/>
  <c r="L1781" i="1"/>
  <c r="A1782" i="1"/>
  <c r="B1782" i="1"/>
  <c r="C1782" i="1"/>
  <c r="D1782" i="1"/>
  <c r="E1782" i="1" s="1"/>
  <c r="H1782" i="1" s="1"/>
  <c r="F1782" i="1"/>
  <c r="G1782" i="1"/>
  <c r="I1782" i="1"/>
  <c r="J1782" i="1"/>
  <c r="K1782" i="1"/>
  <c r="L1782" i="1"/>
  <c r="A1783" i="1"/>
  <c r="B1783" i="1"/>
  <c r="C1783" i="1"/>
  <c r="D1783" i="1"/>
  <c r="E1783" i="1" s="1"/>
  <c r="H1783" i="1" s="1"/>
  <c r="F1783" i="1"/>
  <c r="G1783" i="1"/>
  <c r="I1783" i="1"/>
  <c r="J1783" i="1"/>
  <c r="K1783" i="1"/>
  <c r="L1783" i="1"/>
  <c r="A1784" i="1"/>
  <c r="B1784" i="1"/>
  <c r="C1784" i="1"/>
  <c r="D1784" i="1"/>
  <c r="E1784" i="1" s="1"/>
  <c r="H1784" i="1" s="1"/>
  <c r="F1784" i="1"/>
  <c r="G1784" i="1"/>
  <c r="I1784" i="1"/>
  <c r="J1784" i="1"/>
  <c r="K1784" i="1"/>
  <c r="L1784" i="1"/>
  <c r="A1785" i="1"/>
  <c r="B1785" i="1"/>
  <c r="C1785" i="1"/>
  <c r="D1785" i="1"/>
  <c r="E1785" i="1" s="1"/>
  <c r="H1785" i="1" s="1"/>
  <c r="F1785" i="1"/>
  <c r="G1785" i="1"/>
  <c r="I1785" i="1"/>
  <c r="J1785" i="1"/>
  <c r="K1785" i="1"/>
  <c r="L1785" i="1"/>
  <c r="A1786" i="1"/>
  <c r="B1786" i="1"/>
  <c r="C1786" i="1"/>
  <c r="D1786" i="1"/>
  <c r="E1786" i="1" s="1"/>
  <c r="H1786" i="1" s="1"/>
  <c r="F1786" i="1"/>
  <c r="G1786" i="1"/>
  <c r="I1786" i="1"/>
  <c r="J1786" i="1"/>
  <c r="K1786" i="1"/>
  <c r="L1786" i="1"/>
  <c r="A1787" i="1"/>
  <c r="B1787" i="1"/>
  <c r="C1787" i="1"/>
  <c r="D1787" i="1"/>
  <c r="E1787" i="1" s="1"/>
  <c r="H1787" i="1" s="1"/>
  <c r="F1787" i="1"/>
  <c r="G1787" i="1"/>
  <c r="I1787" i="1"/>
  <c r="J1787" i="1"/>
  <c r="K1787" i="1"/>
  <c r="L1787" i="1"/>
  <c r="A1788" i="1"/>
  <c r="B1788" i="1"/>
  <c r="C1788" i="1"/>
  <c r="D1788" i="1"/>
  <c r="E1788" i="1" s="1"/>
  <c r="H1788" i="1" s="1"/>
  <c r="F1788" i="1"/>
  <c r="G1788" i="1"/>
  <c r="I1788" i="1"/>
  <c r="J1788" i="1"/>
  <c r="K1788" i="1"/>
  <c r="L1788" i="1"/>
  <c r="A1789" i="1"/>
  <c r="B1789" i="1"/>
  <c r="C1789" i="1"/>
  <c r="D1789" i="1"/>
  <c r="E1789" i="1" s="1"/>
  <c r="H1789" i="1" s="1"/>
  <c r="F1789" i="1"/>
  <c r="G1789" i="1"/>
  <c r="I1789" i="1"/>
  <c r="J1789" i="1"/>
  <c r="K1789" i="1"/>
  <c r="L1789" i="1"/>
  <c r="A1790" i="1"/>
  <c r="B1790" i="1"/>
  <c r="C1790" i="1"/>
  <c r="D1790" i="1"/>
  <c r="E1790" i="1" s="1"/>
  <c r="H1790" i="1" s="1"/>
  <c r="F1790" i="1"/>
  <c r="G1790" i="1"/>
  <c r="I1790" i="1"/>
  <c r="J1790" i="1"/>
  <c r="K1790" i="1"/>
  <c r="L1790" i="1"/>
  <c r="A1791" i="1"/>
  <c r="B1791" i="1"/>
  <c r="C1791" i="1"/>
  <c r="D1791" i="1"/>
  <c r="E1791" i="1" s="1"/>
  <c r="H1791" i="1" s="1"/>
  <c r="F1791" i="1"/>
  <c r="G1791" i="1"/>
  <c r="I1791" i="1"/>
  <c r="J1791" i="1"/>
  <c r="K1791" i="1"/>
  <c r="L1791" i="1"/>
  <c r="A1792" i="1"/>
  <c r="B1792" i="1"/>
  <c r="C1792" i="1"/>
  <c r="D1792" i="1"/>
  <c r="E1792" i="1" s="1"/>
  <c r="H1792" i="1" s="1"/>
  <c r="F1792" i="1"/>
  <c r="G1792" i="1"/>
  <c r="I1792" i="1"/>
  <c r="J1792" i="1"/>
  <c r="K1792" i="1"/>
  <c r="L1792" i="1"/>
  <c r="A1793" i="1"/>
  <c r="B1793" i="1"/>
  <c r="C1793" i="1"/>
  <c r="D1793" i="1"/>
  <c r="E1793" i="1" s="1"/>
  <c r="H1793" i="1" s="1"/>
  <c r="F1793" i="1"/>
  <c r="G1793" i="1"/>
  <c r="I1793" i="1"/>
  <c r="J1793" i="1"/>
  <c r="K1793" i="1"/>
  <c r="L1793" i="1"/>
  <c r="A1794" i="1"/>
  <c r="B1794" i="1"/>
  <c r="C1794" i="1"/>
  <c r="D1794" i="1"/>
  <c r="E1794" i="1" s="1"/>
  <c r="H1794" i="1" s="1"/>
  <c r="F1794" i="1"/>
  <c r="G1794" i="1"/>
  <c r="I1794" i="1"/>
  <c r="J1794" i="1"/>
  <c r="K1794" i="1"/>
  <c r="L1794" i="1"/>
  <c r="A1795" i="1"/>
  <c r="B1795" i="1"/>
  <c r="C1795" i="1"/>
  <c r="D1795" i="1"/>
  <c r="E1795" i="1" s="1"/>
  <c r="H1795" i="1" s="1"/>
  <c r="F1795" i="1"/>
  <c r="G1795" i="1"/>
  <c r="I1795" i="1"/>
  <c r="J1795" i="1"/>
  <c r="K1795" i="1"/>
  <c r="L1795" i="1"/>
  <c r="A1796" i="1"/>
  <c r="B1796" i="1"/>
  <c r="C1796" i="1"/>
  <c r="D1796" i="1"/>
  <c r="E1796" i="1" s="1"/>
  <c r="H1796" i="1" s="1"/>
  <c r="F1796" i="1"/>
  <c r="G1796" i="1"/>
  <c r="I1796" i="1"/>
  <c r="J1796" i="1"/>
  <c r="K1796" i="1"/>
  <c r="L1796" i="1"/>
  <c r="A1797" i="1"/>
  <c r="B1797" i="1"/>
  <c r="C1797" i="1"/>
  <c r="D1797" i="1"/>
  <c r="E1797" i="1" s="1"/>
  <c r="H1797" i="1" s="1"/>
  <c r="F1797" i="1"/>
  <c r="G1797" i="1"/>
  <c r="I1797" i="1"/>
  <c r="J1797" i="1"/>
  <c r="K1797" i="1"/>
  <c r="L1797" i="1"/>
  <c r="A1798" i="1"/>
  <c r="B1798" i="1"/>
  <c r="C1798" i="1"/>
  <c r="D1798" i="1"/>
  <c r="E1798" i="1" s="1"/>
  <c r="H1798" i="1" s="1"/>
  <c r="F1798" i="1"/>
  <c r="G1798" i="1"/>
  <c r="I1798" i="1"/>
  <c r="J1798" i="1"/>
  <c r="K1798" i="1"/>
  <c r="L1798" i="1"/>
  <c r="A1799" i="1"/>
  <c r="B1799" i="1"/>
  <c r="C1799" i="1"/>
  <c r="D1799" i="1"/>
  <c r="E1799" i="1" s="1"/>
  <c r="H1799" i="1" s="1"/>
  <c r="F1799" i="1"/>
  <c r="G1799" i="1"/>
  <c r="I1799" i="1"/>
  <c r="J1799" i="1"/>
  <c r="K1799" i="1"/>
  <c r="L1799" i="1"/>
  <c r="A1800" i="1"/>
  <c r="B1800" i="1"/>
  <c r="C1800" i="1"/>
  <c r="D1800" i="1"/>
  <c r="E1800" i="1" s="1"/>
  <c r="H1800" i="1" s="1"/>
  <c r="F1800" i="1"/>
  <c r="G1800" i="1"/>
  <c r="I1800" i="1"/>
  <c r="J1800" i="1"/>
  <c r="K1800" i="1"/>
  <c r="L1800" i="1"/>
  <c r="A1801" i="1"/>
  <c r="B1801" i="1"/>
  <c r="C1801" i="1"/>
  <c r="D1801" i="1"/>
  <c r="E1801" i="1" s="1"/>
  <c r="H1801" i="1" s="1"/>
  <c r="F1801" i="1"/>
  <c r="G1801" i="1"/>
  <c r="I1801" i="1"/>
  <c r="J1801" i="1"/>
  <c r="K1801" i="1"/>
  <c r="L1801" i="1"/>
  <c r="A1802" i="1"/>
  <c r="B1802" i="1"/>
  <c r="C1802" i="1"/>
  <c r="D1802" i="1"/>
  <c r="E1802" i="1" s="1"/>
  <c r="H1802" i="1" s="1"/>
  <c r="F1802" i="1"/>
  <c r="G1802" i="1"/>
  <c r="I1802" i="1"/>
  <c r="J1802" i="1"/>
  <c r="K1802" i="1"/>
  <c r="L1802" i="1"/>
  <c r="A1803" i="1"/>
  <c r="B1803" i="1"/>
  <c r="C1803" i="1"/>
  <c r="D1803" i="1"/>
  <c r="E1803" i="1" s="1"/>
  <c r="H1803" i="1" s="1"/>
  <c r="F1803" i="1"/>
  <c r="G1803" i="1"/>
  <c r="I1803" i="1"/>
  <c r="J1803" i="1"/>
  <c r="K1803" i="1"/>
  <c r="L1803" i="1"/>
  <c r="A1804" i="1"/>
  <c r="B1804" i="1"/>
  <c r="C1804" i="1"/>
  <c r="D1804" i="1"/>
  <c r="E1804" i="1" s="1"/>
  <c r="H1804" i="1" s="1"/>
  <c r="F1804" i="1"/>
  <c r="G1804" i="1"/>
  <c r="I1804" i="1"/>
  <c r="J1804" i="1"/>
  <c r="K1804" i="1"/>
  <c r="L1804" i="1"/>
  <c r="A1805" i="1"/>
  <c r="B1805" i="1"/>
  <c r="C1805" i="1"/>
  <c r="D1805" i="1"/>
  <c r="E1805" i="1" s="1"/>
  <c r="H1805" i="1" s="1"/>
  <c r="F1805" i="1"/>
  <c r="G1805" i="1"/>
  <c r="I1805" i="1"/>
  <c r="J1805" i="1"/>
  <c r="K1805" i="1"/>
  <c r="L1805" i="1"/>
  <c r="A1806" i="1"/>
  <c r="B1806" i="1"/>
  <c r="C1806" i="1"/>
  <c r="D1806" i="1"/>
  <c r="E1806" i="1" s="1"/>
  <c r="H1806" i="1" s="1"/>
  <c r="F1806" i="1"/>
  <c r="G1806" i="1"/>
  <c r="I1806" i="1"/>
  <c r="J1806" i="1"/>
  <c r="K1806" i="1"/>
  <c r="L1806" i="1"/>
  <c r="A1807" i="1"/>
  <c r="B1807" i="1"/>
  <c r="C1807" i="1"/>
  <c r="D1807" i="1"/>
  <c r="E1807" i="1" s="1"/>
  <c r="H1807" i="1" s="1"/>
  <c r="F1807" i="1"/>
  <c r="G1807" i="1"/>
  <c r="I1807" i="1"/>
  <c r="J1807" i="1"/>
  <c r="K1807" i="1"/>
  <c r="L1807" i="1"/>
  <c r="A1808" i="1"/>
  <c r="B1808" i="1"/>
  <c r="C1808" i="1"/>
  <c r="D1808" i="1"/>
  <c r="E1808" i="1" s="1"/>
  <c r="H1808" i="1" s="1"/>
  <c r="F1808" i="1"/>
  <c r="G1808" i="1"/>
  <c r="I1808" i="1"/>
  <c r="J1808" i="1"/>
  <c r="K1808" i="1"/>
  <c r="L1808" i="1"/>
  <c r="A1809" i="1"/>
  <c r="B1809" i="1"/>
  <c r="C1809" i="1"/>
  <c r="D1809" i="1"/>
  <c r="E1809" i="1" s="1"/>
  <c r="H1809" i="1" s="1"/>
  <c r="F1809" i="1"/>
  <c r="G1809" i="1"/>
  <c r="I1809" i="1"/>
  <c r="J1809" i="1"/>
  <c r="K1809" i="1"/>
  <c r="L1809" i="1"/>
  <c r="A1810" i="1"/>
  <c r="B1810" i="1"/>
  <c r="C1810" i="1"/>
  <c r="D1810" i="1"/>
  <c r="E1810" i="1" s="1"/>
  <c r="H1810" i="1" s="1"/>
  <c r="F1810" i="1"/>
  <c r="G1810" i="1"/>
  <c r="I1810" i="1"/>
  <c r="J1810" i="1"/>
  <c r="K1810" i="1"/>
  <c r="L1810" i="1"/>
  <c r="A1811" i="1"/>
  <c r="B1811" i="1"/>
  <c r="C1811" i="1"/>
  <c r="D1811" i="1"/>
  <c r="E1811" i="1" s="1"/>
  <c r="H1811" i="1" s="1"/>
  <c r="F1811" i="1"/>
  <c r="G1811" i="1"/>
  <c r="I1811" i="1"/>
  <c r="J1811" i="1"/>
  <c r="K1811" i="1"/>
  <c r="L1811" i="1"/>
  <c r="A1812" i="1"/>
  <c r="B1812" i="1"/>
  <c r="C1812" i="1"/>
  <c r="D1812" i="1"/>
  <c r="E1812" i="1" s="1"/>
  <c r="H1812" i="1" s="1"/>
  <c r="F1812" i="1"/>
  <c r="G1812" i="1"/>
  <c r="I1812" i="1"/>
  <c r="J1812" i="1"/>
  <c r="K1812" i="1"/>
  <c r="L1812" i="1"/>
  <c r="A1813" i="1"/>
  <c r="B1813" i="1"/>
  <c r="C1813" i="1"/>
  <c r="D1813" i="1"/>
  <c r="E1813" i="1" s="1"/>
  <c r="H1813" i="1" s="1"/>
  <c r="F1813" i="1"/>
  <c r="G1813" i="1"/>
  <c r="I1813" i="1"/>
  <c r="J1813" i="1"/>
  <c r="K1813" i="1"/>
  <c r="L1813" i="1"/>
  <c r="A1814" i="1"/>
  <c r="B1814" i="1"/>
  <c r="C1814" i="1"/>
  <c r="D1814" i="1"/>
  <c r="E1814" i="1" s="1"/>
  <c r="H1814" i="1" s="1"/>
  <c r="F1814" i="1"/>
  <c r="G1814" i="1"/>
  <c r="I1814" i="1"/>
  <c r="J1814" i="1"/>
  <c r="K1814" i="1"/>
  <c r="L1814" i="1"/>
  <c r="A1815" i="1"/>
  <c r="B1815" i="1"/>
  <c r="C1815" i="1"/>
  <c r="D1815" i="1"/>
  <c r="E1815" i="1" s="1"/>
  <c r="H1815" i="1" s="1"/>
  <c r="F1815" i="1"/>
  <c r="G1815" i="1"/>
  <c r="I1815" i="1"/>
  <c r="J1815" i="1"/>
  <c r="K1815" i="1"/>
  <c r="L1815" i="1"/>
  <c r="A1816" i="1"/>
  <c r="B1816" i="1"/>
  <c r="C1816" i="1"/>
  <c r="D1816" i="1"/>
  <c r="E1816" i="1" s="1"/>
  <c r="H1816" i="1" s="1"/>
  <c r="F1816" i="1"/>
  <c r="G1816" i="1"/>
  <c r="I1816" i="1"/>
  <c r="J1816" i="1"/>
  <c r="K1816" i="1"/>
  <c r="L1816" i="1"/>
  <c r="A1817" i="1"/>
  <c r="B1817" i="1"/>
  <c r="C1817" i="1"/>
  <c r="D1817" i="1"/>
  <c r="E1817" i="1" s="1"/>
  <c r="H1817" i="1" s="1"/>
  <c r="F1817" i="1"/>
  <c r="G1817" i="1"/>
  <c r="I1817" i="1"/>
  <c r="J1817" i="1"/>
  <c r="K1817" i="1"/>
  <c r="L1817" i="1"/>
  <c r="A1818" i="1"/>
  <c r="B1818" i="1"/>
  <c r="C1818" i="1"/>
  <c r="D1818" i="1"/>
  <c r="E1818" i="1" s="1"/>
  <c r="H1818" i="1" s="1"/>
  <c r="F1818" i="1"/>
  <c r="G1818" i="1"/>
  <c r="I1818" i="1"/>
  <c r="J1818" i="1"/>
  <c r="K1818" i="1"/>
  <c r="L1818" i="1"/>
  <c r="A1819" i="1"/>
  <c r="B1819" i="1"/>
  <c r="C1819" i="1"/>
  <c r="D1819" i="1"/>
  <c r="E1819" i="1" s="1"/>
  <c r="H1819" i="1" s="1"/>
  <c r="F1819" i="1"/>
  <c r="G1819" i="1"/>
  <c r="I1819" i="1"/>
  <c r="J1819" i="1"/>
  <c r="K1819" i="1"/>
  <c r="L1819" i="1"/>
  <c r="A1820" i="1"/>
  <c r="B1820" i="1"/>
  <c r="C1820" i="1"/>
  <c r="D1820" i="1"/>
  <c r="E1820" i="1" s="1"/>
  <c r="H1820" i="1" s="1"/>
  <c r="F1820" i="1"/>
  <c r="G1820" i="1"/>
  <c r="I1820" i="1"/>
  <c r="J1820" i="1"/>
  <c r="K1820" i="1"/>
  <c r="L1820" i="1"/>
  <c r="A1821" i="1"/>
  <c r="B1821" i="1"/>
  <c r="C1821" i="1"/>
  <c r="D1821" i="1"/>
  <c r="E1821" i="1" s="1"/>
  <c r="H1821" i="1" s="1"/>
  <c r="F1821" i="1"/>
  <c r="G1821" i="1"/>
  <c r="I1821" i="1"/>
  <c r="J1821" i="1"/>
  <c r="K1821" i="1"/>
  <c r="L1821" i="1"/>
  <c r="A1822" i="1"/>
  <c r="B1822" i="1"/>
  <c r="C1822" i="1"/>
  <c r="D1822" i="1"/>
  <c r="E1822" i="1" s="1"/>
  <c r="H1822" i="1" s="1"/>
  <c r="F1822" i="1"/>
  <c r="G1822" i="1"/>
  <c r="I1822" i="1"/>
  <c r="J1822" i="1"/>
  <c r="K1822" i="1"/>
  <c r="L1822" i="1"/>
  <c r="A1823" i="1"/>
  <c r="B1823" i="1"/>
  <c r="C1823" i="1"/>
  <c r="D1823" i="1"/>
  <c r="E1823" i="1" s="1"/>
  <c r="H1823" i="1" s="1"/>
  <c r="F1823" i="1"/>
  <c r="G1823" i="1"/>
  <c r="I1823" i="1"/>
  <c r="J1823" i="1"/>
  <c r="K1823" i="1"/>
  <c r="L1823" i="1"/>
  <c r="A1824" i="1"/>
  <c r="B1824" i="1"/>
  <c r="C1824" i="1"/>
  <c r="D1824" i="1"/>
  <c r="E1824" i="1" s="1"/>
  <c r="H1824" i="1" s="1"/>
  <c r="F1824" i="1"/>
  <c r="G1824" i="1"/>
  <c r="I1824" i="1"/>
  <c r="J1824" i="1"/>
  <c r="K1824" i="1"/>
  <c r="L1824" i="1"/>
  <c r="A1825" i="1"/>
  <c r="B1825" i="1"/>
  <c r="C1825" i="1"/>
  <c r="D1825" i="1"/>
  <c r="E1825" i="1" s="1"/>
  <c r="H1825" i="1" s="1"/>
  <c r="F1825" i="1"/>
  <c r="G1825" i="1"/>
  <c r="I1825" i="1"/>
  <c r="J1825" i="1"/>
  <c r="K1825" i="1"/>
  <c r="L1825" i="1"/>
  <c r="A1826" i="1"/>
  <c r="B1826" i="1"/>
  <c r="C1826" i="1"/>
  <c r="D1826" i="1"/>
  <c r="E1826" i="1" s="1"/>
  <c r="H1826" i="1" s="1"/>
  <c r="F1826" i="1"/>
  <c r="G1826" i="1"/>
  <c r="I1826" i="1"/>
  <c r="J1826" i="1"/>
  <c r="K1826" i="1"/>
  <c r="L1826" i="1"/>
  <c r="A1827" i="1"/>
  <c r="B1827" i="1"/>
  <c r="C1827" i="1"/>
  <c r="D1827" i="1"/>
  <c r="E1827" i="1" s="1"/>
  <c r="H1827" i="1" s="1"/>
  <c r="F1827" i="1"/>
  <c r="G1827" i="1"/>
  <c r="I1827" i="1"/>
  <c r="J1827" i="1"/>
  <c r="K1827" i="1"/>
  <c r="L1827" i="1"/>
  <c r="A1828" i="1"/>
  <c r="B1828" i="1"/>
  <c r="C1828" i="1"/>
  <c r="D1828" i="1"/>
  <c r="E1828" i="1" s="1"/>
  <c r="H1828" i="1" s="1"/>
  <c r="F1828" i="1"/>
  <c r="G1828" i="1"/>
  <c r="I1828" i="1"/>
  <c r="J1828" i="1"/>
  <c r="K1828" i="1"/>
  <c r="L1828" i="1"/>
  <c r="A1829" i="1"/>
  <c r="B1829" i="1"/>
  <c r="C1829" i="1"/>
  <c r="D1829" i="1"/>
  <c r="E1829" i="1" s="1"/>
  <c r="H1829" i="1" s="1"/>
  <c r="F1829" i="1"/>
  <c r="G1829" i="1"/>
  <c r="I1829" i="1"/>
  <c r="J1829" i="1"/>
  <c r="K1829" i="1"/>
  <c r="L1829" i="1"/>
  <c r="A1830" i="1"/>
  <c r="B1830" i="1"/>
  <c r="C1830" i="1"/>
  <c r="D1830" i="1"/>
  <c r="E1830" i="1" s="1"/>
  <c r="H1830" i="1" s="1"/>
  <c r="F1830" i="1"/>
  <c r="G1830" i="1"/>
  <c r="I1830" i="1"/>
  <c r="J1830" i="1"/>
  <c r="K1830" i="1"/>
  <c r="L1830" i="1"/>
  <c r="A1831" i="1"/>
  <c r="B1831" i="1"/>
  <c r="C1831" i="1"/>
  <c r="D1831" i="1"/>
  <c r="E1831" i="1" s="1"/>
  <c r="H1831" i="1" s="1"/>
  <c r="F1831" i="1"/>
  <c r="G1831" i="1"/>
  <c r="I1831" i="1"/>
  <c r="J1831" i="1"/>
  <c r="K1831" i="1"/>
  <c r="L1831" i="1"/>
  <c r="A1832" i="1"/>
  <c r="B1832" i="1"/>
  <c r="C1832" i="1"/>
  <c r="D1832" i="1"/>
  <c r="E1832" i="1" s="1"/>
  <c r="H1832" i="1" s="1"/>
  <c r="F1832" i="1"/>
  <c r="G1832" i="1"/>
  <c r="I1832" i="1"/>
  <c r="J1832" i="1"/>
  <c r="K1832" i="1"/>
  <c r="L1832" i="1"/>
  <c r="A1833" i="1"/>
  <c r="B1833" i="1"/>
  <c r="C1833" i="1"/>
  <c r="D1833" i="1"/>
  <c r="E1833" i="1" s="1"/>
  <c r="H1833" i="1" s="1"/>
  <c r="F1833" i="1"/>
  <c r="G1833" i="1"/>
  <c r="I1833" i="1"/>
  <c r="J1833" i="1"/>
  <c r="K1833" i="1"/>
  <c r="L1833" i="1"/>
  <c r="A1834" i="1"/>
  <c r="B1834" i="1"/>
  <c r="C1834" i="1"/>
  <c r="D1834" i="1"/>
  <c r="E1834" i="1" s="1"/>
  <c r="H1834" i="1" s="1"/>
  <c r="F1834" i="1"/>
  <c r="G1834" i="1"/>
  <c r="I1834" i="1"/>
  <c r="J1834" i="1"/>
  <c r="K1834" i="1"/>
  <c r="L1834" i="1"/>
  <c r="A1835" i="1"/>
  <c r="B1835" i="1"/>
  <c r="C1835" i="1"/>
  <c r="D1835" i="1"/>
  <c r="E1835" i="1" s="1"/>
  <c r="H1835" i="1" s="1"/>
  <c r="F1835" i="1"/>
  <c r="G1835" i="1"/>
  <c r="I1835" i="1"/>
  <c r="J1835" i="1"/>
  <c r="K1835" i="1"/>
  <c r="L1835" i="1"/>
  <c r="A1836" i="1"/>
  <c r="B1836" i="1"/>
  <c r="C1836" i="1"/>
  <c r="D1836" i="1"/>
  <c r="E1836" i="1" s="1"/>
  <c r="H1836" i="1" s="1"/>
  <c r="F1836" i="1"/>
  <c r="G1836" i="1"/>
  <c r="I1836" i="1"/>
  <c r="J1836" i="1"/>
  <c r="K1836" i="1"/>
  <c r="L1836" i="1"/>
  <c r="A1837" i="1"/>
  <c r="B1837" i="1"/>
  <c r="C1837" i="1"/>
  <c r="D1837" i="1"/>
  <c r="E1837" i="1" s="1"/>
  <c r="H1837" i="1" s="1"/>
  <c r="F1837" i="1"/>
  <c r="G1837" i="1"/>
  <c r="I1837" i="1"/>
  <c r="J1837" i="1"/>
  <c r="K1837" i="1"/>
  <c r="L1837" i="1"/>
  <c r="A1838" i="1"/>
  <c r="B1838" i="1"/>
  <c r="C1838" i="1"/>
  <c r="D1838" i="1"/>
  <c r="E1838" i="1" s="1"/>
  <c r="H1838" i="1" s="1"/>
  <c r="F1838" i="1"/>
  <c r="G1838" i="1"/>
  <c r="I1838" i="1"/>
  <c r="J1838" i="1"/>
  <c r="K1838" i="1"/>
  <c r="L1838" i="1"/>
  <c r="A1839" i="1"/>
  <c r="B1839" i="1"/>
  <c r="C1839" i="1"/>
  <c r="D1839" i="1"/>
  <c r="E1839" i="1" s="1"/>
  <c r="H1839" i="1" s="1"/>
  <c r="F1839" i="1"/>
  <c r="G1839" i="1"/>
  <c r="I1839" i="1"/>
  <c r="J1839" i="1"/>
  <c r="K1839" i="1"/>
  <c r="L1839" i="1"/>
  <c r="A1840" i="1"/>
  <c r="B1840" i="1"/>
  <c r="C1840" i="1"/>
  <c r="D1840" i="1"/>
  <c r="E1840" i="1" s="1"/>
  <c r="H1840" i="1" s="1"/>
  <c r="F1840" i="1"/>
  <c r="G1840" i="1"/>
  <c r="I1840" i="1"/>
  <c r="J1840" i="1"/>
  <c r="K1840" i="1"/>
  <c r="L1840" i="1"/>
  <c r="A1841" i="1"/>
  <c r="B1841" i="1"/>
  <c r="C1841" i="1"/>
  <c r="D1841" i="1"/>
  <c r="E1841" i="1" s="1"/>
  <c r="H1841" i="1" s="1"/>
  <c r="F1841" i="1"/>
  <c r="G1841" i="1"/>
  <c r="I1841" i="1"/>
  <c r="J1841" i="1"/>
  <c r="K1841" i="1"/>
  <c r="L1841" i="1"/>
  <c r="A1842" i="1"/>
  <c r="B1842" i="1"/>
  <c r="C1842" i="1"/>
  <c r="D1842" i="1"/>
  <c r="E1842" i="1" s="1"/>
  <c r="H1842" i="1" s="1"/>
  <c r="F1842" i="1"/>
  <c r="G1842" i="1"/>
  <c r="I1842" i="1"/>
  <c r="J1842" i="1"/>
  <c r="K1842" i="1"/>
  <c r="L1842" i="1"/>
  <c r="A1843" i="1"/>
  <c r="B1843" i="1"/>
  <c r="C1843" i="1"/>
  <c r="D1843" i="1"/>
  <c r="E1843" i="1" s="1"/>
  <c r="H1843" i="1" s="1"/>
  <c r="F1843" i="1"/>
  <c r="G1843" i="1"/>
  <c r="I1843" i="1"/>
  <c r="J1843" i="1"/>
  <c r="K1843" i="1"/>
  <c r="L1843" i="1"/>
  <c r="A1844" i="1"/>
  <c r="B1844" i="1"/>
  <c r="C1844" i="1"/>
  <c r="D1844" i="1"/>
  <c r="E1844" i="1" s="1"/>
  <c r="H1844" i="1" s="1"/>
  <c r="F1844" i="1"/>
  <c r="G1844" i="1"/>
  <c r="I1844" i="1"/>
  <c r="J1844" i="1"/>
  <c r="K1844" i="1"/>
  <c r="L1844" i="1"/>
  <c r="A1845" i="1"/>
  <c r="B1845" i="1"/>
  <c r="C1845" i="1"/>
  <c r="D1845" i="1"/>
  <c r="E1845" i="1" s="1"/>
  <c r="H1845" i="1" s="1"/>
  <c r="F1845" i="1"/>
  <c r="G1845" i="1"/>
  <c r="I1845" i="1"/>
  <c r="J1845" i="1"/>
  <c r="K1845" i="1"/>
  <c r="L1845" i="1"/>
  <c r="A1846" i="1"/>
  <c r="B1846" i="1"/>
  <c r="C1846" i="1"/>
  <c r="D1846" i="1"/>
  <c r="E1846" i="1" s="1"/>
  <c r="H1846" i="1" s="1"/>
  <c r="F1846" i="1"/>
  <c r="G1846" i="1"/>
  <c r="I1846" i="1"/>
  <c r="J1846" i="1"/>
  <c r="K1846" i="1"/>
  <c r="L1846" i="1"/>
  <c r="A1847" i="1"/>
  <c r="B1847" i="1"/>
  <c r="C1847" i="1"/>
  <c r="D1847" i="1"/>
  <c r="E1847" i="1" s="1"/>
  <c r="H1847" i="1" s="1"/>
  <c r="F1847" i="1"/>
  <c r="G1847" i="1"/>
  <c r="I1847" i="1"/>
  <c r="J1847" i="1"/>
  <c r="K1847" i="1"/>
  <c r="L1847" i="1"/>
  <c r="A1848" i="1"/>
  <c r="B1848" i="1"/>
  <c r="C1848" i="1"/>
  <c r="D1848" i="1"/>
  <c r="E1848" i="1" s="1"/>
  <c r="H1848" i="1" s="1"/>
  <c r="F1848" i="1"/>
  <c r="G1848" i="1"/>
  <c r="I1848" i="1"/>
  <c r="J1848" i="1"/>
  <c r="K1848" i="1"/>
  <c r="L1848" i="1"/>
  <c r="A1849" i="1"/>
  <c r="B1849" i="1"/>
  <c r="C1849" i="1"/>
  <c r="D1849" i="1"/>
  <c r="E1849" i="1" s="1"/>
  <c r="H1849" i="1" s="1"/>
  <c r="F1849" i="1"/>
  <c r="G1849" i="1"/>
  <c r="I1849" i="1"/>
  <c r="J1849" i="1"/>
  <c r="K1849" i="1"/>
  <c r="L1849" i="1"/>
  <c r="A1850" i="1"/>
  <c r="B1850" i="1"/>
  <c r="C1850" i="1"/>
  <c r="D1850" i="1"/>
  <c r="E1850" i="1" s="1"/>
  <c r="H1850" i="1" s="1"/>
  <c r="F1850" i="1"/>
  <c r="G1850" i="1"/>
  <c r="I1850" i="1"/>
  <c r="J1850" i="1"/>
  <c r="K1850" i="1"/>
  <c r="L1850" i="1"/>
  <c r="A1851" i="1"/>
  <c r="B1851" i="1"/>
  <c r="C1851" i="1"/>
  <c r="D1851" i="1"/>
  <c r="E1851" i="1" s="1"/>
  <c r="H1851" i="1" s="1"/>
  <c r="F1851" i="1"/>
  <c r="G1851" i="1"/>
  <c r="I1851" i="1"/>
  <c r="J1851" i="1"/>
  <c r="K1851" i="1"/>
  <c r="L1851" i="1"/>
  <c r="A1852" i="1"/>
  <c r="B1852" i="1"/>
  <c r="C1852" i="1"/>
  <c r="D1852" i="1"/>
  <c r="E1852" i="1" s="1"/>
  <c r="H1852" i="1" s="1"/>
  <c r="F1852" i="1"/>
  <c r="G1852" i="1"/>
  <c r="I1852" i="1"/>
  <c r="J1852" i="1"/>
  <c r="K1852" i="1"/>
  <c r="L1852" i="1"/>
  <c r="A1853" i="1"/>
  <c r="B1853" i="1"/>
  <c r="C1853" i="1"/>
  <c r="D1853" i="1"/>
  <c r="E1853" i="1" s="1"/>
  <c r="H1853" i="1" s="1"/>
  <c r="F1853" i="1"/>
  <c r="G1853" i="1"/>
  <c r="I1853" i="1"/>
  <c r="J1853" i="1"/>
  <c r="K1853" i="1"/>
  <c r="L1853" i="1"/>
  <c r="A1854" i="1"/>
  <c r="B1854" i="1"/>
  <c r="C1854" i="1"/>
  <c r="D1854" i="1"/>
  <c r="E1854" i="1" s="1"/>
  <c r="H1854" i="1" s="1"/>
  <c r="F1854" i="1"/>
  <c r="G1854" i="1"/>
  <c r="I1854" i="1"/>
  <c r="J1854" i="1"/>
  <c r="K1854" i="1"/>
  <c r="L1854" i="1"/>
  <c r="A1855" i="1"/>
  <c r="B1855" i="1"/>
  <c r="C1855" i="1"/>
  <c r="D1855" i="1"/>
  <c r="E1855" i="1" s="1"/>
  <c r="H1855" i="1" s="1"/>
  <c r="F1855" i="1"/>
  <c r="G1855" i="1"/>
  <c r="I1855" i="1"/>
  <c r="J1855" i="1"/>
  <c r="K1855" i="1"/>
  <c r="L1855" i="1"/>
  <c r="A1856" i="1"/>
  <c r="B1856" i="1"/>
  <c r="C1856" i="1"/>
  <c r="D1856" i="1"/>
  <c r="E1856" i="1" s="1"/>
  <c r="H1856" i="1" s="1"/>
  <c r="F1856" i="1"/>
  <c r="G1856" i="1"/>
  <c r="I1856" i="1"/>
  <c r="J1856" i="1"/>
  <c r="K1856" i="1"/>
  <c r="L1856" i="1"/>
  <c r="A1857" i="1"/>
  <c r="B1857" i="1"/>
  <c r="C1857" i="1"/>
  <c r="D1857" i="1"/>
  <c r="E1857" i="1" s="1"/>
  <c r="H1857" i="1" s="1"/>
  <c r="F1857" i="1"/>
  <c r="G1857" i="1"/>
  <c r="I1857" i="1"/>
  <c r="J1857" i="1"/>
  <c r="K1857" i="1"/>
  <c r="L1857" i="1"/>
  <c r="A1858" i="1"/>
  <c r="B1858" i="1"/>
  <c r="C1858" i="1"/>
  <c r="D1858" i="1"/>
  <c r="E1858" i="1" s="1"/>
  <c r="H1858" i="1" s="1"/>
  <c r="F1858" i="1"/>
  <c r="G1858" i="1"/>
  <c r="I1858" i="1"/>
  <c r="J1858" i="1"/>
  <c r="K1858" i="1"/>
  <c r="L1858" i="1"/>
  <c r="A1859" i="1"/>
  <c r="B1859" i="1"/>
  <c r="C1859" i="1"/>
  <c r="D1859" i="1"/>
  <c r="E1859" i="1" s="1"/>
  <c r="H1859" i="1" s="1"/>
  <c r="F1859" i="1"/>
  <c r="G1859" i="1"/>
  <c r="I1859" i="1"/>
  <c r="J1859" i="1"/>
  <c r="K1859" i="1"/>
  <c r="L1859" i="1"/>
  <c r="A1860" i="1"/>
  <c r="B1860" i="1"/>
  <c r="C1860" i="1"/>
  <c r="D1860" i="1"/>
  <c r="E1860" i="1" s="1"/>
  <c r="H1860" i="1" s="1"/>
  <c r="F1860" i="1"/>
  <c r="G1860" i="1"/>
  <c r="I1860" i="1"/>
  <c r="J1860" i="1"/>
  <c r="K1860" i="1"/>
  <c r="L1860" i="1"/>
  <c r="A1861" i="1"/>
  <c r="B1861" i="1"/>
  <c r="C1861" i="1"/>
  <c r="D1861" i="1"/>
  <c r="E1861" i="1" s="1"/>
  <c r="H1861" i="1" s="1"/>
  <c r="F1861" i="1"/>
  <c r="G1861" i="1"/>
  <c r="I1861" i="1"/>
  <c r="J1861" i="1"/>
  <c r="K1861" i="1"/>
  <c r="L1861" i="1"/>
  <c r="A1862" i="1"/>
  <c r="B1862" i="1"/>
  <c r="C1862" i="1"/>
  <c r="D1862" i="1"/>
  <c r="E1862" i="1" s="1"/>
  <c r="H1862" i="1" s="1"/>
  <c r="F1862" i="1"/>
  <c r="G1862" i="1"/>
  <c r="I1862" i="1"/>
  <c r="J1862" i="1"/>
  <c r="K1862" i="1"/>
  <c r="L1862" i="1"/>
  <c r="A1863" i="1"/>
  <c r="B1863" i="1"/>
  <c r="C1863" i="1"/>
  <c r="D1863" i="1"/>
  <c r="E1863" i="1" s="1"/>
  <c r="H1863" i="1" s="1"/>
  <c r="F1863" i="1"/>
  <c r="G1863" i="1"/>
  <c r="I1863" i="1"/>
  <c r="J1863" i="1"/>
  <c r="K1863" i="1"/>
  <c r="L1863" i="1"/>
  <c r="A1864" i="1"/>
  <c r="B1864" i="1"/>
  <c r="C1864" i="1"/>
  <c r="D1864" i="1"/>
  <c r="E1864" i="1" s="1"/>
  <c r="H1864" i="1" s="1"/>
  <c r="F1864" i="1"/>
  <c r="G1864" i="1"/>
  <c r="I1864" i="1"/>
  <c r="J1864" i="1"/>
  <c r="K1864" i="1"/>
  <c r="L1864" i="1"/>
  <c r="A1865" i="1"/>
  <c r="B1865" i="1"/>
  <c r="C1865" i="1"/>
  <c r="D1865" i="1"/>
  <c r="E1865" i="1" s="1"/>
  <c r="H1865" i="1" s="1"/>
  <c r="F1865" i="1"/>
  <c r="G1865" i="1"/>
  <c r="I1865" i="1"/>
  <c r="J1865" i="1"/>
  <c r="K1865" i="1"/>
  <c r="L1865" i="1"/>
  <c r="A1866" i="1"/>
  <c r="B1866" i="1"/>
  <c r="C1866" i="1"/>
  <c r="D1866" i="1"/>
  <c r="E1866" i="1" s="1"/>
  <c r="H1866" i="1" s="1"/>
  <c r="F1866" i="1"/>
  <c r="G1866" i="1"/>
  <c r="I1866" i="1"/>
  <c r="J1866" i="1"/>
  <c r="K1866" i="1"/>
  <c r="L1866" i="1"/>
  <c r="A1867" i="1"/>
  <c r="B1867" i="1"/>
  <c r="C1867" i="1"/>
  <c r="D1867" i="1"/>
  <c r="E1867" i="1" s="1"/>
  <c r="H1867" i="1" s="1"/>
  <c r="F1867" i="1"/>
  <c r="G1867" i="1"/>
  <c r="I1867" i="1"/>
  <c r="J1867" i="1"/>
  <c r="K1867" i="1"/>
  <c r="L1867" i="1"/>
  <c r="A1868" i="1"/>
  <c r="B1868" i="1"/>
  <c r="C1868" i="1"/>
  <c r="D1868" i="1"/>
  <c r="E1868" i="1" s="1"/>
  <c r="H1868" i="1" s="1"/>
  <c r="F1868" i="1"/>
  <c r="G1868" i="1"/>
  <c r="I1868" i="1"/>
  <c r="J1868" i="1"/>
  <c r="K1868" i="1"/>
  <c r="L1868" i="1"/>
  <c r="A1869" i="1"/>
  <c r="B1869" i="1"/>
  <c r="C1869" i="1"/>
  <c r="D1869" i="1"/>
  <c r="E1869" i="1" s="1"/>
  <c r="H1869" i="1" s="1"/>
  <c r="F1869" i="1"/>
  <c r="G1869" i="1"/>
  <c r="I1869" i="1"/>
  <c r="J1869" i="1"/>
  <c r="K1869" i="1"/>
  <c r="L1869" i="1"/>
  <c r="A1870" i="1"/>
  <c r="B1870" i="1"/>
  <c r="C1870" i="1"/>
  <c r="D1870" i="1"/>
  <c r="E1870" i="1" s="1"/>
  <c r="H1870" i="1" s="1"/>
  <c r="F1870" i="1"/>
  <c r="G1870" i="1"/>
  <c r="I1870" i="1"/>
  <c r="J1870" i="1"/>
  <c r="K1870" i="1"/>
  <c r="L1870" i="1"/>
  <c r="A1871" i="1"/>
  <c r="B1871" i="1"/>
  <c r="C1871" i="1"/>
  <c r="D1871" i="1"/>
  <c r="E1871" i="1" s="1"/>
  <c r="H1871" i="1" s="1"/>
  <c r="F1871" i="1"/>
  <c r="G1871" i="1"/>
  <c r="I1871" i="1"/>
  <c r="J1871" i="1"/>
  <c r="K1871" i="1"/>
  <c r="L1871" i="1"/>
  <c r="A1872" i="1"/>
  <c r="B1872" i="1"/>
  <c r="C1872" i="1"/>
  <c r="D1872" i="1"/>
  <c r="E1872" i="1" s="1"/>
  <c r="H1872" i="1" s="1"/>
  <c r="F1872" i="1"/>
  <c r="G1872" i="1"/>
  <c r="I1872" i="1"/>
  <c r="J1872" i="1"/>
  <c r="K1872" i="1"/>
  <c r="L1872" i="1"/>
  <c r="A1873" i="1"/>
  <c r="B1873" i="1"/>
  <c r="C1873" i="1"/>
  <c r="D1873" i="1"/>
  <c r="E1873" i="1" s="1"/>
  <c r="H1873" i="1" s="1"/>
  <c r="F1873" i="1"/>
  <c r="G1873" i="1"/>
  <c r="I1873" i="1"/>
  <c r="J1873" i="1"/>
  <c r="K1873" i="1"/>
  <c r="L1873" i="1"/>
  <c r="A1874" i="1"/>
  <c r="B1874" i="1"/>
  <c r="C1874" i="1"/>
  <c r="D1874" i="1"/>
  <c r="E1874" i="1" s="1"/>
  <c r="H1874" i="1" s="1"/>
  <c r="F1874" i="1"/>
  <c r="G1874" i="1"/>
  <c r="I1874" i="1"/>
  <c r="J1874" i="1"/>
  <c r="K1874" i="1"/>
  <c r="L1874" i="1"/>
  <c r="A1875" i="1"/>
  <c r="B1875" i="1"/>
  <c r="C1875" i="1"/>
  <c r="D1875" i="1"/>
  <c r="E1875" i="1" s="1"/>
  <c r="H1875" i="1" s="1"/>
  <c r="F1875" i="1"/>
  <c r="G1875" i="1"/>
  <c r="I1875" i="1"/>
  <c r="J1875" i="1"/>
  <c r="K1875" i="1"/>
  <c r="L1875" i="1"/>
  <c r="A1876" i="1"/>
  <c r="B1876" i="1"/>
  <c r="C1876" i="1"/>
  <c r="D1876" i="1"/>
  <c r="E1876" i="1" s="1"/>
  <c r="H1876" i="1" s="1"/>
  <c r="F1876" i="1"/>
  <c r="G1876" i="1"/>
  <c r="I1876" i="1"/>
  <c r="J1876" i="1"/>
  <c r="K1876" i="1"/>
  <c r="L1876" i="1"/>
  <c r="A1877" i="1"/>
  <c r="B1877" i="1"/>
  <c r="C1877" i="1"/>
  <c r="D1877" i="1"/>
  <c r="E1877" i="1" s="1"/>
  <c r="H1877" i="1" s="1"/>
  <c r="F1877" i="1"/>
  <c r="G1877" i="1"/>
  <c r="I1877" i="1"/>
  <c r="J1877" i="1"/>
  <c r="K1877" i="1"/>
  <c r="L1877" i="1"/>
  <c r="A1878" i="1"/>
  <c r="B1878" i="1"/>
  <c r="C1878" i="1"/>
  <c r="D1878" i="1"/>
  <c r="E1878" i="1" s="1"/>
  <c r="H1878" i="1" s="1"/>
  <c r="F1878" i="1"/>
  <c r="G1878" i="1"/>
  <c r="I1878" i="1"/>
  <c r="J1878" i="1"/>
  <c r="K1878" i="1"/>
  <c r="L1878" i="1"/>
  <c r="A1879" i="1"/>
  <c r="B1879" i="1"/>
  <c r="C1879" i="1"/>
  <c r="D1879" i="1"/>
  <c r="E1879" i="1" s="1"/>
  <c r="H1879" i="1" s="1"/>
  <c r="F1879" i="1"/>
  <c r="G1879" i="1"/>
  <c r="I1879" i="1"/>
  <c r="J1879" i="1"/>
  <c r="K1879" i="1"/>
  <c r="L1879" i="1"/>
  <c r="A1880" i="1"/>
  <c r="B1880" i="1"/>
  <c r="C1880" i="1"/>
  <c r="D1880" i="1"/>
  <c r="E1880" i="1" s="1"/>
  <c r="H1880" i="1" s="1"/>
  <c r="F1880" i="1"/>
  <c r="G1880" i="1"/>
  <c r="I1880" i="1"/>
  <c r="J1880" i="1"/>
  <c r="K1880" i="1"/>
  <c r="L1880" i="1"/>
  <c r="A1881" i="1"/>
  <c r="B1881" i="1"/>
  <c r="C1881" i="1"/>
  <c r="D1881" i="1"/>
  <c r="E1881" i="1" s="1"/>
  <c r="H1881" i="1" s="1"/>
  <c r="F1881" i="1"/>
  <c r="G1881" i="1"/>
  <c r="I1881" i="1"/>
  <c r="J1881" i="1"/>
  <c r="K1881" i="1"/>
  <c r="L1881" i="1"/>
  <c r="A1882" i="1"/>
  <c r="B1882" i="1"/>
  <c r="C1882" i="1"/>
  <c r="D1882" i="1"/>
  <c r="E1882" i="1" s="1"/>
  <c r="H1882" i="1" s="1"/>
  <c r="F1882" i="1"/>
  <c r="G1882" i="1"/>
  <c r="I1882" i="1"/>
  <c r="J1882" i="1"/>
  <c r="K1882" i="1"/>
  <c r="L1882" i="1"/>
  <c r="A1883" i="1"/>
  <c r="B1883" i="1"/>
  <c r="C1883" i="1"/>
  <c r="D1883" i="1"/>
  <c r="E1883" i="1" s="1"/>
  <c r="H1883" i="1" s="1"/>
  <c r="F1883" i="1"/>
  <c r="G1883" i="1"/>
  <c r="I1883" i="1"/>
  <c r="J1883" i="1"/>
  <c r="K1883" i="1"/>
  <c r="L1883" i="1"/>
  <c r="A1884" i="1"/>
  <c r="B1884" i="1"/>
  <c r="C1884" i="1"/>
  <c r="D1884" i="1"/>
  <c r="E1884" i="1" s="1"/>
  <c r="H1884" i="1" s="1"/>
  <c r="F1884" i="1"/>
  <c r="G1884" i="1"/>
  <c r="I1884" i="1"/>
  <c r="J1884" i="1"/>
  <c r="K1884" i="1"/>
  <c r="L1884" i="1"/>
  <c r="A1885" i="1"/>
  <c r="B1885" i="1"/>
  <c r="C1885" i="1"/>
  <c r="D1885" i="1"/>
  <c r="E1885" i="1" s="1"/>
  <c r="H1885" i="1" s="1"/>
  <c r="F1885" i="1"/>
  <c r="G1885" i="1"/>
  <c r="I1885" i="1"/>
  <c r="J1885" i="1"/>
  <c r="K1885" i="1"/>
  <c r="L1885" i="1"/>
  <c r="A1886" i="1"/>
  <c r="B1886" i="1"/>
  <c r="C1886" i="1"/>
  <c r="D1886" i="1"/>
  <c r="E1886" i="1" s="1"/>
  <c r="H1886" i="1" s="1"/>
  <c r="F1886" i="1"/>
  <c r="G1886" i="1"/>
  <c r="I1886" i="1"/>
  <c r="J1886" i="1"/>
  <c r="K1886" i="1"/>
  <c r="L1886" i="1"/>
  <c r="A1887" i="1"/>
  <c r="B1887" i="1"/>
  <c r="C1887" i="1"/>
  <c r="D1887" i="1"/>
  <c r="E1887" i="1" s="1"/>
  <c r="H1887" i="1" s="1"/>
  <c r="F1887" i="1"/>
  <c r="G1887" i="1"/>
  <c r="I1887" i="1"/>
  <c r="J1887" i="1"/>
  <c r="K1887" i="1"/>
  <c r="L1887" i="1"/>
  <c r="A1888" i="1"/>
  <c r="B1888" i="1"/>
  <c r="C1888" i="1"/>
  <c r="D1888" i="1"/>
  <c r="E1888" i="1" s="1"/>
  <c r="H1888" i="1" s="1"/>
  <c r="F1888" i="1"/>
  <c r="G1888" i="1"/>
  <c r="I1888" i="1"/>
  <c r="J1888" i="1"/>
  <c r="K1888" i="1"/>
  <c r="L1888" i="1"/>
  <c r="A1889" i="1"/>
  <c r="B1889" i="1"/>
  <c r="C1889" i="1"/>
  <c r="D1889" i="1"/>
  <c r="E1889" i="1" s="1"/>
  <c r="H1889" i="1" s="1"/>
  <c r="F1889" i="1"/>
  <c r="G1889" i="1"/>
  <c r="I1889" i="1"/>
  <c r="J1889" i="1"/>
  <c r="K1889" i="1"/>
  <c r="L1889" i="1"/>
  <c r="A1890" i="1"/>
  <c r="B1890" i="1"/>
  <c r="C1890" i="1"/>
  <c r="D1890" i="1"/>
  <c r="E1890" i="1" s="1"/>
  <c r="H1890" i="1" s="1"/>
  <c r="F1890" i="1"/>
  <c r="G1890" i="1"/>
  <c r="I1890" i="1"/>
  <c r="J1890" i="1"/>
  <c r="K1890" i="1"/>
  <c r="L1890" i="1"/>
  <c r="A1891" i="1"/>
  <c r="B1891" i="1"/>
  <c r="C1891" i="1"/>
  <c r="D1891" i="1"/>
  <c r="E1891" i="1" s="1"/>
  <c r="H1891" i="1" s="1"/>
  <c r="F1891" i="1"/>
  <c r="G1891" i="1"/>
  <c r="I1891" i="1"/>
  <c r="J1891" i="1"/>
  <c r="K1891" i="1"/>
  <c r="L1891" i="1"/>
  <c r="A1892" i="1"/>
  <c r="B1892" i="1"/>
  <c r="C1892" i="1"/>
  <c r="D1892" i="1"/>
  <c r="E1892" i="1" s="1"/>
  <c r="H1892" i="1" s="1"/>
  <c r="F1892" i="1"/>
  <c r="G1892" i="1"/>
  <c r="I1892" i="1"/>
  <c r="J1892" i="1"/>
  <c r="K1892" i="1"/>
  <c r="L1892" i="1"/>
  <c r="A1893" i="1"/>
  <c r="B1893" i="1"/>
  <c r="C1893" i="1"/>
  <c r="D1893" i="1"/>
  <c r="E1893" i="1" s="1"/>
  <c r="H1893" i="1" s="1"/>
  <c r="F1893" i="1"/>
  <c r="G1893" i="1"/>
  <c r="I1893" i="1"/>
  <c r="J1893" i="1"/>
  <c r="K1893" i="1"/>
  <c r="L1893" i="1"/>
  <c r="A1894" i="1"/>
  <c r="B1894" i="1"/>
  <c r="C1894" i="1"/>
  <c r="D1894" i="1"/>
  <c r="E1894" i="1" s="1"/>
  <c r="H1894" i="1" s="1"/>
  <c r="F1894" i="1"/>
  <c r="G1894" i="1"/>
  <c r="I1894" i="1"/>
  <c r="J1894" i="1"/>
  <c r="K1894" i="1"/>
  <c r="L1894" i="1"/>
  <c r="A1895" i="1"/>
  <c r="B1895" i="1"/>
  <c r="C1895" i="1"/>
  <c r="D1895" i="1"/>
  <c r="E1895" i="1" s="1"/>
  <c r="H1895" i="1" s="1"/>
  <c r="F1895" i="1"/>
  <c r="G1895" i="1"/>
  <c r="I1895" i="1"/>
  <c r="J1895" i="1"/>
  <c r="K1895" i="1"/>
  <c r="L1895" i="1"/>
  <c r="A1896" i="1"/>
  <c r="B1896" i="1"/>
  <c r="C1896" i="1"/>
  <c r="D1896" i="1"/>
  <c r="E1896" i="1" s="1"/>
  <c r="H1896" i="1" s="1"/>
  <c r="F1896" i="1"/>
  <c r="G1896" i="1"/>
  <c r="I1896" i="1"/>
  <c r="J1896" i="1"/>
  <c r="K1896" i="1"/>
  <c r="L1896" i="1"/>
  <c r="A1897" i="1"/>
  <c r="B1897" i="1"/>
  <c r="C1897" i="1"/>
  <c r="D1897" i="1"/>
  <c r="E1897" i="1" s="1"/>
  <c r="H1897" i="1" s="1"/>
  <c r="F1897" i="1"/>
  <c r="G1897" i="1"/>
  <c r="I1897" i="1"/>
  <c r="J1897" i="1"/>
  <c r="K1897" i="1"/>
  <c r="L1897" i="1"/>
  <c r="A1898" i="1"/>
  <c r="B1898" i="1"/>
  <c r="C1898" i="1"/>
  <c r="D1898" i="1"/>
  <c r="E1898" i="1" s="1"/>
  <c r="H1898" i="1" s="1"/>
  <c r="F1898" i="1"/>
  <c r="G1898" i="1"/>
  <c r="I1898" i="1"/>
  <c r="J1898" i="1"/>
  <c r="K1898" i="1"/>
  <c r="L1898" i="1"/>
  <c r="A1899" i="1"/>
  <c r="B1899" i="1"/>
  <c r="C1899" i="1"/>
  <c r="D1899" i="1"/>
  <c r="E1899" i="1" s="1"/>
  <c r="H1899" i="1" s="1"/>
  <c r="F1899" i="1"/>
  <c r="G1899" i="1"/>
  <c r="I1899" i="1"/>
  <c r="J1899" i="1"/>
  <c r="K1899" i="1"/>
  <c r="L1899" i="1"/>
  <c r="A1900" i="1"/>
  <c r="B1900" i="1"/>
  <c r="C1900" i="1"/>
  <c r="D1900" i="1"/>
  <c r="E1900" i="1" s="1"/>
  <c r="H1900" i="1" s="1"/>
  <c r="F1900" i="1"/>
  <c r="G1900" i="1"/>
  <c r="I1900" i="1"/>
  <c r="J1900" i="1"/>
  <c r="K1900" i="1"/>
  <c r="L1900" i="1"/>
  <c r="A1901" i="1"/>
  <c r="B1901" i="1"/>
  <c r="C1901" i="1"/>
  <c r="D1901" i="1"/>
  <c r="E1901" i="1" s="1"/>
  <c r="H1901" i="1" s="1"/>
  <c r="F1901" i="1"/>
  <c r="G1901" i="1"/>
  <c r="I1901" i="1"/>
  <c r="J1901" i="1"/>
  <c r="K1901" i="1"/>
  <c r="L1901" i="1"/>
  <c r="A1902" i="1"/>
  <c r="B1902" i="1"/>
  <c r="C1902" i="1"/>
  <c r="D1902" i="1"/>
  <c r="E1902" i="1" s="1"/>
  <c r="H1902" i="1" s="1"/>
  <c r="F1902" i="1"/>
  <c r="G1902" i="1"/>
  <c r="I1902" i="1"/>
  <c r="J1902" i="1"/>
  <c r="K1902" i="1"/>
  <c r="L1902" i="1"/>
  <c r="A1903" i="1"/>
  <c r="B1903" i="1"/>
  <c r="C1903" i="1"/>
  <c r="D1903" i="1"/>
  <c r="E1903" i="1" s="1"/>
  <c r="H1903" i="1" s="1"/>
  <c r="F1903" i="1"/>
  <c r="G1903" i="1"/>
  <c r="I1903" i="1"/>
  <c r="J1903" i="1"/>
  <c r="K1903" i="1"/>
  <c r="L1903" i="1"/>
  <c r="A1904" i="1"/>
  <c r="B1904" i="1"/>
  <c r="C1904" i="1"/>
  <c r="D1904" i="1"/>
  <c r="E1904" i="1" s="1"/>
  <c r="H1904" i="1" s="1"/>
  <c r="F1904" i="1"/>
  <c r="G1904" i="1"/>
  <c r="I1904" i="1"/>
  <c r="J1904" i="1"/>
  <c r="K1904" i="1"/>
  <c r="L1904" i="1"/>
  <c r="A1905" i="1"/>
  <c r="B1905" i="1"/>
  <c r="C1905" i="1"/>
  <c r="D1905" i="1"/>
  <c r="E1905" i="1" s="1"/>
  <c r="H1905" i="1" s="1"/>
  <c r="F1905" i="1"/>
  <c r="G1905" i="1"/>
  <c r="I1905" i="1"/>
  <c r="J1905" i="1"/>
  <c r="K1905" i="1"/>
  <c r="L1905" i="1"/>
  <c r="A1906" i="1"/>
  <c r="B1906" i="1"/>
  <c r="C1906" i="1"/>
  <c r="D1906" i="1"/>
  <c r="E1906" i="1" s="1"/>
  <c r="H1906" i="1" s="1"/>
  <c r="F1906" i="1"/>
  <c r="G1906" i="1"/>
  <c r="I1906" i="1"/>
  <c r="J1906" i="1"/>
  <c r="K1906" i="1"/>
  <c r="L1906" i="1"/>
  <c r="A1907" i="1"/>
  <c r="B1907" i="1"/>
  <c r="C1907" i="1"/>
  <c r="D1907" i="1"/>
  <c r="E1907" i="1" s="1"/>
  <c r="H1907" i="1" s="1"/>
  <c r="F1907" i="1"/>
  <c r="G1907" i="1"/>
  <c r="I1907" i="1"/>
  <c r="J1907" i="1"/>
  <c r="K1907" i="1"/>
  <c r="L1907" i="1"/>
  <c r="A1908" i="1"/>
  <c r="B1908" i="1"/>
  <c r="C1908" i="1"/>
  <c r="D1908" i="1"/>
  <c r="E1908" i="1" s="1"/>
  <c r="H1908" i="1" s="1"/>
  <c r="F1908" i="1"/>
  <c r="G1908" i="1"/>
  <c r="I1908" i="1"/>
  <c r="J1908" i="1"/>
  <c r="K1908" i="1"/>
  <c r="L1908" i="1"/>
  <c r="A1909" i="1"/>
  <c r="B1909" i="1"/>
  <c r="C1909" i="1"/>
  <c r="D1909" i="1"/>
  <c r="E1909" i="1" s="1"/>
  <c r="H1909" i="1" s="1"/>
  <c r="F1909" i="1"/>
  <c r="G1909" i="1"/>
  <c r="I1909" i="1"/>
  <c r="J1909" i="1"/>
  <c r="K1909" i="1"/>
  <c r="L1909" i="1"/>
  <c r="A1910" i="1"/>
  <c r="B1910" i="1"/>
  <c r="C1910" i="1"/>
  <c r="D1910" i="1"/>
  <c r="E1910" i="1" s="1"/>
  <c r="H1910" i="1" s="1"/>
  <c r="F1910" i="1"/>
  <c r="G1910" i="1"/>
  <c r="I1910" i="1"/>
  <c r="J1910" i="1"/>
  <c r="K1910" i="1"/>
  <c r="L1910" i="1"/>
  <c r="A1911" i="1"/>
  <c r="B1911" i="1"/>
  <c r="C1911" i="1"/>
  <c r="D1911" i="1"/>
  <c r="E1911" i="1" s="1"/>
  <c r="H1911" i="1" s="1"/>
  <c r="F1911" i="1"/>
  <c r="G1911" i="1"/>
  <c r="I1911" i="1"/>
  <c r="J1911" i="1"/>
  <c r="K1911" i="1"/>
  <c r="L1911" i="1"/>
  <c r="A1912" i="1"/>
  <c r="B1912" i="1"/>
  <c r="C1912" i="1"/>
  <c r="D1912" i="1"/>
  <c r="E1912" i="1" s="1"/>
  <c r="H1912" i="1" s="1"/>
  <c r="F1912" i="1"/>
  <c r="G1912" i="1"/>
  <c r="I1912" i="1"/>
  <c r="J1912" i="1"/>
  <c r="K1912" i="1"/>
  <c r="L1912" i="1"/>
  <c r="A1913" i="1"/>
  <c r="B1913" i="1"/>
  <c r="C1913" i="1"/>
  <c r="D1913" i="1"/>
  <c r="E1913" i="1" s="1"/>
  <c r="H1913" i="1" s="1"/>
  <c r="F1913" i="1"/>
  <c r="G1913" i="1"/>
  <c r="I1913" i="1"/>
  <c r="J1913" i="1"/>
  <c r="K1913" i="1"/>
  <c r="L1913" i="1"/>
  <c r="A1914" i="1"/>
  <c r="B1914" i="1"/>
  <c r="C1914" i="1"/>
  <c r="D1914" i="1"/>
  <c r="E1914" i="1" s="1"/>
  <c r="H1914" i="1" s="1"/>
  <c r="F1914" i="1"/>
  <c r="G1914" i="1"/>
  <c r="I1914" i="1"/>
  <c r="J1914" i="1"/>
  <c r="K1914" i="1"/>
  <c r="L1914" i="1"/>
  <c r="A1915" i="1"/>
  <c r="B1915" i="1"/>
  <c r="C1915" i="1"/>
  <c r="D1915" i="1"/>
  <c r="E1915" i="1" s="1"/>
  <c r="H1915" i="1" s="1"/>
  <c r="F1915" i="1"/>
  <c r="G1915" i="1"/>
  <c r="I1915" i="1"/>
  <c r="J1915" i="1"/>
  <c r="K1915" i="1"/>
  <c r="L1915" i="1"/>
  <c r="A1916" i="1"/>
  <c r="B1916" i="1"/>
  <c r="C1916" i="1"/>
  <c r="D1916" i="1"/>
  <c r="E1916" i="1" s="1"/>
  <c r="H1916" i="1" s="1"/>
  <c r="F1916" i="1"/>
  <c r="G1916" i="1"/>
  <c r="I1916" i="1"/>
  <c r="J1916" i="1"/>
  <c r="K1916" i="1"/>
  <c r="L1916" i="1"/>
  <c r="A1917" i="1"/>
  <c r="B1917" i="1"/>
  <c r="C1917" i="1"/>
  <c r="D1917" i="1"/>
  <c r="E1917" i="1" s="1"/>
  <c r="H1917" i="1" s="1"/>
  <c r="F1917" i="1"/>
  <c r="G1917" i="1"/>
  <c r="I1917" i="1"/>
  <c r="J1917" i="1"/>
  <c r="K1917" i="1"/>
  <c r="L1917" i="1"/>
  <c r="A1918" i="1"/>
  <c r="B1918" i="1"/>
  <c r="C1918" i="1"/>
  <c r="D1918" i="1"/>
  <c r="E1918" i="1" s="1"/>
  <c r="H1918" i="1" s="1"/>
  <c r="F1918" i="1"/>
  <c r="G1918" i="1"/>
  <c r="I1918" i="1"/>
  <c r="J1918" i="1"/>
  <c r="K1918" i="1"/>
  <c r="L1918" i="1"/>
  <c r="A1919" i="1"/>
  <c r="B1919" i="1"/>
  <c r="C1919" i="1"/>
  <c r="D1919" i="1"/>
  <c r="E1919" i="1" s="1"/>
  <c r="H1919" i="1" s="1"/>
  <c r="F1919" i="1"/>
  <c r="G1919" i="1"/>
  <c r="I1919" i="1"/>
  <c r="J1919" i="1"/>
  <c r="K1919" i="1"/>
  <c r="L1919" i="1"/>
  <c r="A1920" i="1"/>
  <c r="B1920" i="1"/>
  <c r="C1920" i="1"/>
  <c r="D1920" i="1"/>
  <c r="E1920" i="1" s="1"/>
  <c r="H1920" i="1" s="1"/>
  <c r="F1920" i="1"/>
  <c r="G1920" i="1"/>
  <c r="I1920" i="1"/>
  <c r="J1920" i="1"/>
  <c r="K1920" i="1"/>
  <c r="L1920" i="1"/>
  <c r="A1921" i="1"/>
  <c r="B1921" i="1"/>
  <c r="C1921" i="1"/>
  <c r="D1921" i="1"/>
  <c r="E1921" i="1" s="1"/>
  <c r="H1921" i="1" s="1"/>
  <c r="F1921" i="1"/>
  <c r="G1921" i="1"/>
  <c r="I1921" i="1"/>
  <c r="J1921" i="1"/>
  <c r="K1921" i="1"/>
  <c r="L1921" i="1"/>
  <c r="A1922" i="1"/>
  <c r="B1922" i="1"/>
  <c r="C1922" i="1"/>
  <c r="D1922" i="1"/>
  <c r="E1922" i="1" s="1"/>
  <c r="H1922" i="1" s="1"/>
  <c r="F1922" i="1"/>
  <c r="G1922" i="1"/>
  <c r="I1922" i="1"/>
  <c r="J1922" i="1"/>
  <c r="K1922" i="1"/>
  <c r="L1922" i="1"/>
  <c r="A1923" i="1"/>
  <c r="B1923" i="1"/>
  <c r="C1923" i="1"/>
  <c r="D1923" i="1"/>
  <c r="E1923" i="1" s="1"/>
  <c r="H1923" i="1" s="1"/>
  <c r="F1923" i="1"/>
  <c r="G1923" i="1"/>
  <c r="I1923" i="1"/>
  <c r="J1923" i="1"/>
  <c r="K1923" i="1"/>
  <c r="L1923" i="1"/>
  <c r="A1924" i="1"/>
  <c r="B1924" i="1"/>
  <c r="C1924" i="1"/>
  <c r="D1924" i="1"/>
  <c r="E1924" i="1" s="1"/>
  <c r="H1924" i="1" s="1"/>
  <c r="F1924" i="1"/>
  <c r="G1924" i="1"/>
  <c r="I1924" i="1"/>
  <c r="J1924" i="1"/>
  <c r="K1924" i="1"/>
  <c r="L1924" i="1"/>
  <c r="A1925" i="1"/>
  <c r="B1925" i="1"/>
  <c r="C1925" i="1"/>
  <c r="D1925" i="1"/>
  <c r="E1925" i="1" s="1"/>
  <c r="H1925" i="1" s="1"/>
  <c r="F1925" i="1"/>
  <c r="G1925" i="1"/>
  <c r="I1925" i="1"/>
  <c r="J1925" i="1"/>
  <c r="K1925" i="1"/>
  <c r="L1925" i="1"/>
  <c r="A1926" i="1"/>
  <c r="B1926" i="1"/>
  <c r="C1926" i="1"/>
  <c r="D1926" i="1"/>
  <c r="E1926" i="1" s="1"/>
  <c r="H1926" i="1" s="1"/>
  <c r="F1926" i="1"/>
  <c r="G1926" i="1"/>
  <c r="I1926" i="1"/>
  <c r="J1926" i="1"/>
  <c r="K1926" i="1"/>
  <c r="L1926" i="1"/>
  <c r="A1927" i="1"/>
  <c r="B1927" i="1"/>
  <c r="C1927" i="1"/>
  <c r="D1927" i="1"/>
  <c r="E1927" i="1" s="1"/>
  <c r="H1927" i="1" s="1"/>
  <c r="F1927" i="1"/>
  <c r="G1927" i="1"/>
  <c r="I1927" i="1"/>
  <c r="J1927" i="1"/>
  <c r="K1927" i="1"/>
  <c r="L1927" i="1"/>
  <c r="A1928" i="1"/>
  <c r="B1928" i="1"/>
  <c r="C1928" i="1"/>
  <c r="D1928" i="1"/>
  <c r="E1928" i="1" s="1"/>
  <c r="H1928" i="1" s="1"/>
  <c r="F1928" i="1"/>
  <c r="G1928" i="1"/>
  <c r="I1928" i="1"/>
  <c r="J1928" i="1"/>
  <c r="K1928" i="1"/>
  <c r="L1928" i="1"/>
  <c r="A1929" i="1"/>
  <c r="B1929" i="1"/>
  <c r="C1929" i="1"/>
  <c r="D1929" i="1"/>
  <c r="E1929" i="1" s="1"/>
  <c r="H1929" i="1" s="1"/>
  <c r="F1929" i="1"/>
  <c r="G1929" i="1"/>
  <c r="I1929" i="1"/>
  <c r="J1929" i="1"/>
  <c r="K1929" i="1"/>
  <c r="L1929" i="1"/>
  <c r="A1930" i="1"/>
  <c r="B1930" i="1"/>
  <c r="C1930" i="1"/>
  <c r="D1930" i="1"/>
  <c r="E1930" i="1" s="1"/>
  <c r="H1930" i="1" s="1"/>
  <c r="F1930" i="1"/>
  <c r="G1930" i="1"/>
  <c r="I1930" i="1"/>
  <c r="J1930" i="1"/>
  <c r="K1930" i="1"/>
  <c r="L1930" i="1"/>
  <c r="A1931" i="1"/>
  <c r="B1931" i="1"/>
  <c r="C1931" i="1"/>
  <c r="D1931" i="1"/>
  <c r="E1931" i="1" s="1"/>
  <c r="H1931" i="1" s="1"/>
  <c r="F1931" i="1"/>
  <c r="G1931" i="1"/>
  <c r="I1931" i="1"/>
  <c r="J1931" i="1"/>
  <c r="K1931" i="1"/>
  <c r="L1931" i="1"/>
  <c r="A1932" i="1"/>
  <c r="B1932" i="1"/>
  <c r="C1932" i="1"/>
  <c r="D1932" i="1"/>
  <c r="E1932" i="1" s="1"/>
  <c r="H1932" i="1" s="1"/>
  <c r="F1932" i="1"/>
  <c r="G1932" i="1"/>
  <c r="I1932" i="1"/>
  <c r="J1932" i="1"/>
  <c r="K1932" i="1"/>
  <c r="L1932" i="1"/>
  <c r="A1933" i="1"/>
  <c r="B1933" i="1"/>
  <c r="C1933" i="1"/>
  <c r="D1933" i="1"/>
  <c r="E1933" i="1" s="1"/>
  <c r="H1933" i="1" s="1"/>
  <c r="F1933" i="1"/>
  <c r="G1933" i="1"/>
  <c r="I1933" i="1"/>
  <c r="J1933" i="1"/>
  <c r="K1933" i="1"/>
  <c r="L1933" i="1"/>
  <c r="A1934" i="1"/>
  <c r="B1934" i="1"/>
  <c r="C1934" i="1"/>
  <c r="D1934" i="1"/>
  <c r="E1934" i="1" s="1"/>
  <c r="H1934" i="1" s="1"/>
  <c r="F1934" i="1"/>
  <c r="G1934" i="1"/>
  <c r="I1934" i="1"/>
  <c r="J1934" i="1"/>
  <c r="K1934" i="1"/>
  <c r="L1934" i="1"/>
  <c r="A1935" i="1"/>
  <c r="B1935" i="1"/>
  <c r="C1935" i="1"/>
  <c r="D1935" i="1"/>
  <c r="E1935" i="1" s="1"/>
  <c r="H1935" i="1" s="1"/>
  <c r="F1935" i="1"/>
  <c r="G1935" i="1"/>
  <c r="I1935" i="1"/>
  <c r="J1935" i="1"/>
  <c r="K1935" i="1"/>
  <c r="L1935" i="1"/>
  <c r="A1936" i="1"/>
  <c r="B1936" i="1"/>
  <c r="C1936" i="1"/>
  <c r="D1936" i="1"/>
  <c r="E1936" i="1" s="1"/>
  <c r="H1936" i="1" s="1"/>
  <c r="F1936" i="1"/>
  <c r="G1936" i="1"/>
  <c r="I1936" i="1"/>
  <c r="J1936" i="1"/>
  <c r="K1936" i="1"/>
  <c r="L1936" i="1"/>
  <c r="A1937" i="1"/>
  <c r="B1937" i="1"/>
  <c r="C1937" i="1"/>
  <c r="D1937" i="1"/>
  <c r="E1937" i="1" s="1"/>
  <c r="H1937" i="1" s="1"/>
  <c r="F1937" i="1"/>
  <c r="G1937" i="1"/>
  <c r="I1937" i="1"/>
  <c r="J1937" i="1"/>
  <c r="K1937" i="1"/>
  <c r="L1937" i="1"/>
  <c r="A1938" i="1"/>
  <c r="B1938" i="1"/>
  <c r="C1938" i="1"/>
  <c r="D1938" i="1"/>
  <c r="E1938" i="1" s="1"/>
  <c r="H1938" i="1" s="1"/>
  <c r="F1938" i="1"/>
  <c r="G1938" i="1"/>
  <c r="I1938" i="1"/>
  <c r="J1938" i="1"/>
  <c r="K1938" i="1"/>
  <c r="L1938" i="1"/>
  <c r="A1939" i="1"/>
  <c r="B1939" i="1"/>
  <c r="C1939" i="1"/>
  <c r="D1939" i="1"/>
  <c r="E1939" i="1" s="1"/>
  <c r="H1939" i="1" s="1"/>
  <c r="F1939" i="1"/>
  <c r="G1939" i="1"/>
  <c r="I1939" i="1"/>
  <c r="J1939" i="1"/>
  <c r="K1939" i="1"/>
  <c r="L1939" i="1"/>
  <c r="A1940" i="1"/>
  <c r="B1940" i="1"/>
  <c r="C1940" i="1"/>
  <c r="D1940" i="1"/>
  <c r="E1940" i="1" s="1"/>
  <c r="H1940" i="1" s="1"/>
  <c r="F1940" i="1"/>
  <c r="G1940" i="1"/>
  <c r="I1940" i="1"/>
  <c r="J1940" i="1"/>
  <c r="K1940" i="1"/>
  <c r="L1940" i="1"/>
  <c r="A1941" i="1"/>
  <c r="B1941" i="1"/>
  <c r="C1941" i="1"/>
  <c r="D1941" i="1"/>
  <c r="E1941" i="1" s="1"/>
  <c r="H1941" i="1" s="1"/>
  <c r="F1941" i="1"/>
  <c r="G1941" i="1"/>
  <c r="I1941" i="1"/>
  <c r="J1941" i="1"/>
  <c r="K1941" i="1"/>
  <c r="L1941" i="1"/>
  <c r="A1942" i="1"/>
  <c r="B1942" i="1"/>
  <c r="C1942" i="1"/>
  <c r="D1942" i="1"/>
  <c r="E1942" i="1" s="1"/>
  <c r="H1942" i="1" s="1"/>
  <c r="F1942" i="1"/>
  <c r="G1942" i="1"/>
  <c r="I1942" i="1"/>
  <c r="J1942" i="1"/>
  <c r="K1942" i="1"/>
  <c r="L1942" i="1"/>
  <c r="A1943" i="1"/>
  <c r="B1943" i="1"/>
  <c r="C1943" i="1"/>
  <c r="D1943" i="1"/>
  <c r="E1943" i="1" s="1"/>
  <c r="H1943" i="1" s="1"/>
  <c r="F1943" i="1"/>
  <c r="G1943" i="1"/>
  <c r="I1943" i="1"/>
  <c r="J1943" i="1"/>
  <c r="K1943" i="1"/>
  <c r="L1943" i="1"/>
  <c r="A1944" i="1"/>
  <c r="B1944" i="1"/>
  <c r="C1944" i="1"/>
  <c r="D1944" i="1"/>
  <c r="E1944" i="1" s="1"/>
  <c r="H1944" i="1" s="1"/>
  <c r="F1944" i="1"/>
  <c r="G1944" i="1"/>
  <c r="I1944" i="1"/>
  <c r="J1944" i="1"/>
  <c r="K1944" i="1"/>
  <c r="L1944" i="1"/>
  <c r="A1945" i="1"/>
  <c r="B1945" i="1"/>
  <c r="C1945" i="1"/>
  <c r="D1945" i="1"/>
  <c r="E1945" i="1" s="1"/>
  <c r="H1945" i="1" s="1"/>
  <c r="F1945" i="1"/>
  <c r="G1945" i="1"/>
  <c r="I1945" i="1"/>
  <c r="J1945" i="1"/>
  <c r="K1945" i="1"/>
  <c r="L1945" i="1"/>
  <c r="A1946" i="1"/>
  <c r="B1946" i="1"/>
  <c r="C1946" i="1"/>
  <c r="D1946" i="1"/>
  <c r="E1946" i="1" s="1"/>
  <c r="H1946" i="1" s="1"/>
  <c r="F1946" i="1"/>
  <c r="G1946" i="1"/>
  <c r="I1946" i="1"/>
  <c r="J1946" i="1"/>
  <c r="K1946" i="1"/>
  <c r="L1946" i="1"/>
  <c r="A1947" i="1"/>
  <c r="B1947" i="1"/>
  <c r="C1947" i="1"/>
  <c r="D1947" i="1"/>
  <c r="E1947" i="1" s="1"/>
  <c r="H1947" i="1" s="1"/>
  <c r="F1947" i="1"/>
  <c r="G1947" i="1"/>
  <c r="I1947" i="1"/>
  <c r="J1947" i="1"/>
  <c r="K1947" i="1"/>
  <c r="L1947" i="1"/>
  <c r="A1948" i="1"/>
  <c r="B1948" i="1"/>
  <c r="C1948" i="1"/>
  <c r="D1948" i="1"/>
  <c r="E1948" i="1" s="1"/>
  <c r="H1948" i="1" s="1"/>
  <c r="F1948" i="1"/>
  <c r="G1948" i="1"/>
  <c r="I1948" i="1"/>
  <c r="J1948" i="1"/>
  <c r="K1948" i="1"/>
  <c r="L1948" i="1"/>
  <c r="A1949" i="1"/>
  <c r="B1949" i="1"/>
  <c r="C1949" i="1"/>
  <c r="D1949" i="1"/>
  <c r="E1949" i="1" s="1"/>
  <c r="H1949" i="1" s="1"/>
  <c r="F1949" i="1"/>
  <c r="G1949" i="1"/>
  <c r="I1949" i="1"/>
  <c r="J1949" i="1"/>
  <c r="K1949" i="1"/>
  <c r="L1949" i="1"/>
  <c r="A1950" i="1"/>
  <c r="B1950" i="1"/>
  <c r="C1950" i="1"/>
  <c r="D1950" i="1"/>
  <c r="E1950" i="1" s="1"/>
  <c r="H1950" i="1" s="1"/>
  <c r="F1950" i="1"/>
  <c r="G1950" i="1"/>
  <c r="I1950" i="1"/>
  <c r="J1950" i="1"/>
  <c r="K1950" i="1"/>
  <c r="L1950" i="1"/>
  <c r="A1951" i="1"/>
  <c r="B1951" i="1"/>
  <c r="C1951" i="1"/>
  <c r="D1951" i="1"/>
  <c r="E1951" i="1" s="1"/>
  <c r="H1951" i="1" s="1"/>
  <c r="F1951" i="1"/>
  <c r="G1951" i="1"/>
  <c r="I1951" i="1"/>
  <c r="J1951" i="1"/>
  <c r="K1951" i="1"/>
  <c r="L1951" i="1"/>
  <c r="A1952" i="1"/>
  <c r="B1952" i="1"/>
  <c r="C1952" i="1"/>
  <c r="D1952" i="1"/>
  <c r="E1952" i="1" s="1"/>
  <c r="H1952" i="1" s="1"/>
  <c r="F1952" i="1"/>
  <c r="G1952" i="1"/>
  <c r="I1952" i="1"/>
  <c r="J1952" i="1"/>
  <c r="K1952" i="1"/>
  <c r="L1952" i="1"/>
  <c r="A1953" i="1"/>
  <c r="B1953" i="1"/>
  <c r="C1953" i="1"/>
  <c r="D1953" i="1"/>
  <c r="E1953" i="1" s="1"/>
  <c r="H1953" i="1" s="1"/>
  <c r="F1953" i="1"/>
  <c r="G1953" i="1"/>
  <c r="I1953" i="1"/>
  <c r="J1953" i="1"/>
  <c r="K1953" i="1"/>
  <c r="L1953" i="1"/>
  <c r="A1954" i="1"/>
  <c r="B1954" i="1"/>
  <c r="C1954" i="1"/>
  <c r="D1954" i="1"/>
  <c r="E1954" i="1" s="1"/>
  <c r="H1954" i="1" s="1"/>
  <c r="F1954" i="1"/>
  <c r="G1954" i="1"/>
  <c r="I1954" i="1"/>
  <c r="J1954" i="1"/>
  <c r="K1954" i="1"/>
  <c r="L1954" i="1"/>
  <c r="A1955" i="1"/>
  <c r="B1955" i="1"/>
  <c r="C1955" i="1"/>
  <c r="D1955" i="1"/>
  <c r="E1955" i="1" s="1"/>
  <c r="H1955" i="1" s="1"/>
  <c r="F1955" i="1"/>
  <c r="G1955" i="1"/>
  <c r="I1955" i="1"/>
  <c r="J1955" i="1"/>
  <c r="K1955" i="1"/>
  <c r="L1955" i="1"/>
  <c r="A1956" i="1"/>
  <c r="B1956" i="1"/>
  <c r="C1956" i="1"/>
  <c r="D1956" i="1"/>
  <c r="E1956" i="1" s="1"/>
  <c r="H1956" i="1" s="1"/>
  <c r="F1956" i="1"/>
  <c r="G1956" i="1"/>
  <c r="I1956" i="1"/>
  <c r="J1956" i="1"/>
  <c r="K1956" i="1"/>
  <c r="L1956" i="1"/>
  <c r="A1957" i="1"/>
  <c r="B1957" i="1"/>
  <c r="C1957" i="1"/>
  <c r="D1957" i="1"/>
  <c r="E1957" i="1" s="1"/>
  <c r="H1957" i="1" s="1"/>
  <c r="F1957" i="1"/>
  <c r="G1957" i="1"/>
  <c r="I1957" i="1"/>
  <c r="J1957" i="1"/>
  <c r="K1957" i="1"/>
  <c r="L1957" i="1"/>
  <c r="A1958" i="1"/>
  <c r="B1958" i="1"/>
  <c r="C1958" i="1"/>
  <c r="D1958" i="1"/>
  <c r="E1958" i="1" s="1"/>
  <c r="H1958" i="1" s="1"/>
  <c r="F1958" i="1"/>
  <c r="G1958" i="1"/>
  <c r="I1958" i="1"/>
  <c r="J1958" i="1"/>
  <c r="K1958" i="1"/>
  <c r="L1958" i="1"/>
  <c r="A1959" i="1"/>
  <c r="B1959" i="1"/>
  <c r="C1959" i="1"/>
  <c r="D1959" i="1"/>
  <c r="E1959" i="1" s="1"/>
  <c r="H1959" i="1" s="1"/>
  <c r="F1959" i="1"/>
  <c r="G1959" i="1"/>
  <c r="I1959" i="1"/>
  <c r="J1959" i="1"/>
  <c r="K1959" i="1"/>
  <c r="L1959" i="1"/>
  <c r="A1960" i="1"/>
  <c r="B1960" i="1"/>
  <c r="C1960" i="1"/>
  <c r="D1960" i="1"/>
  <c r="E1960" i="1" s="1"/>
  <c r="H1960" i="1" s="1"/>
  <c r="F1960" i="1"/>
  <c r="G1960" i="1"/>
  <c r="I1960" i="1"/>
  <c r="J1960" i="1"/>
  <c r="K1960" i="1"/>
  <c r="L1960" i="1"/>
  <c r="A1961" i="1"/>
  <c r="B1961" i="1"/>
  <c r="C1961" i="1"/>
  <c r="D1961" i="1"/>
  <c r="E1961" i="1" s="1"/>
  <c r="H1961" i="1" s="1"/>
  <c r="F1961" i="1"/>
  <c r="G1961" i="1"/>
  <c r="I1961" i="1"/>
  <c r="J1961" i="1"/>
  <c r="K1961" i="1"/>
  <c r="L1961" i="1"/>
  <c r="A1962" i="1"/>
  <c r="B1962" i="1"/>
  <c r="C1962" i="1"/>
  <c r="D1962" i="1"/>
  <c r="E1962" i="1" s="1"/>
  <c r="H1962" i="1" s="1"/>
  <c r="F1962" i="1"/>
  <c r="G1962" i="1"/>
  <c r="I1962" i="1"/>
  <c r="J1962" i="1"/>
  <c r="K1962" i="1"/>
  <c r="L1962" i="1"/>
  <c r="A1963" i="1"/>
  <c r="B1963" i="1"/>
  <c r="C1963" i="1"/>
  <c r="D1963" i="1"/>
  <c r="E1963" i="1" s="1"/>
  <c r="H1963" i="1" s="1"/>
  <c r="F1963" i="1"/>
  <c r="G1963" i="1"/>
  <c r="I1963" i="1"/>
  <c r="J1963" i="1"/>
  <c r="K1963" i="1"/>
  <c r="L1963" i="1"/>
  <c r="A1964" i="1"/>
  <c r="B1964" i="1"/>
  <c r="C1964" i="1"/>
  <c r="D1964" i="1"/>
  <c r="E1964" i="1" s="1"/>
  <c r="H1964" i="1" s="1"/>
  <c r="F1964" i="1"/>
  <c r="G1964" i="1"/>
  <c r="I1964" i="1"/>
  <c r="J1964" i="1"/>
  <c r="K1964" i="1"/>
  <c r="L1964" i="1"/>
  <c r="A1965" i="1"/>
  <c r="B1965" i="1"/>
  <c r="C1965" i="1"/>
  <c r="D1965" i="1"/>
  <c r="E1965" i="1" s="1"/>
  <c r="H1965" i="1" s="1"/>
  <c r="F1965" i="1"/>
  <c r="G1965" i="1"/>
  <c r="I1965" i="1"/>
  <c r="J1965" i="1"/>
  <c r="K1965" i="1"/>
  <c r="L1965" i="1"/>
  <c r="A1966" i="1"/>
  <c r="B1966" i="1"/>
  <c r="C1966" i="1"/>
  <c r="D1966" i="1"/>
  <c r="E1966" i="1" s="1"/>
  <c r="H1966" i="1" s="1"/>
  <c r="F1966" i="1"/>
  <c r="G1966" i="1"/>
  <c r="I1966" i="1"/>
  <c r="J1966" i="1"/>
  <c r="K1966" i="1"/>
  <c r="L1966" i="1"/>
  <c r="A1967" i="1"/>
  <c r="B1967" i="1"/>
  <c r="C1967" i="1"/>
  <c r="D1967" i="1"/>
  <c r="E1967" i="1" s="1"/>
  <c r="H1967" i="1" s="1"/>
  <c r="F1967" i="1"/>
  <c r="G1967" i="1"/>
  <c r="I1967" i="1"/>
  <c r="J1967" i="1"/>
  <c r="K1967" i="1"/>
  <c r="L1967" i="1"/>
  <c r="A1968" i="1"/>
  <c r="B1968" i="1"/>
  <c r="C1968" i="1"/>
  <c r="D1968" i="1"/>
  <c r="E1968" i="1" s="1"/>
  <c r="H1968" i="1" s="1"/>
  <c r="F1968" i="1"/>
  <c r="G1968" i="1"/>
  <c r="I1968" i="1"/>
  <c r="J1968" i="1"/>
  <c r="K1968" i="1"/>
  <c r="L1968" i="1"/>
  <c r="A1969" i="1"/>
  <c r="B1969" i="1"/>
  <c r="C1969" i="1"/>
  <c r="D1969" i="1"/>
  <c r="E1969" i="1" s="1"/>
  <c r="H1969" i="1" s="1"/>
  <c r="F1969" i="1"/>
  <c r="G1969" i="1"/>
  <c r="I1969" i="1"/>
  <c r="J1969" i="1"/>
  <c r="K1969" i="1"/>
  <c r="L1969" i="1"/>
  <c r="A1970" i="1"/>
  <c r="B1970" i="1"/>
  <c r="C1970" i="1"/>
  <c r="D1970" i="1"/>
  <c r="E1970" i="1"/>
  <c r="H1970" i="1" s="1"/>
  <c r="F1970" i="1"/>
  <c r="G1970" i="1"/>
  <c r="I1970" i="1"/>
  <c r="J1970" i="1"/>
  <c r="K1970" i="1"/>
  <c r="L1970" i="1"/>
  <c r="A1971" i="1"/>
  <c r="B1971" i="1"/>
  <c r="C1971" i="1"/>
  <c r="D1971" i="1"/>
  <c r="E1971" i="1" s="1"/>
  <c r="H1971" i="1" s="1"/>
  <c r="F1971" i="1"/>
  <c r="G1971" i="1"/>
  <c r="I1971" i="1"/>
  <c r="J1971" i="1"/>
  <c r="K1971" i="1"/>
  <c r="L1971" i="1"/>
  <c r="A1972" i="1"/>
  <c r="B1972" i="1"/>
  <c r="C1972" i="1"/>
  <c r="D1972" i="1"/>
  <c r="E1972" i="1" s="1"/>
  <c r="H1972" i="1" s="1"/>
  <c r="F1972" i="1"/>
  <c r="G1972" i="1"/>
  <c r="I1972" i="1"/>
  <c r="J1972" i="1"/>
  <c r="K1972" i="1"/>
  <c r="L1972" i="1"/>
  <c r="A1973" i="1"/>
  <c r="B1973" i="1"/>
  <c r="C1973" i="1"/>
  <c r="D1973" i="1"/>
  <c r="E1973" i="1" s="1"/>
  <c r="H1973" i="1" s="1"/>
  <c r="F1973" i="1"/>
  <c r="G1973" i="1"/>
  <c r="I1973" i="1"/>
  <c r="J1973" i="1"/>
  <c r="K1973" i="1"/>
  <c r="L1973" i="1"/>
  <c r="A1974" i="1"/>
  <c r="B1974" i="1"/>
  <c r="C1974" i="1"/>
  <c r="D1974" i="1"/>
  <c r="E1974" i="1" s="1"/>
  <c r="H1974" i="1" s="1"/>
  <c r="F1974" i="1"/>
  <c r="G1974" i="1"/>
  <c r="I1974" i="1"/>
  <c r="J1974" i="1"/>
  <c r="K1974" i="1"/>
  <c r="L1974" i="1"/>
  <c r="A1975" i="1"/>
  <c r="B1975" i="1"/>
  <c r="C1975" i="1"/>
  <c r="D1975" i="1"/>
  <c r="E1975" i="1" s="1"/>
  <c r="H1975" i="1" s="1"/>
  <c r="F1975" i="1"/>
  <c r="G1975" i="1"/>
  <c r="I1975" i="1"/>
  <c r="J1975" i="1"/>
  <c r="K1975" i="1"/>
  <c r="L1975" i="1"/>
  <c r="A1976" i="1"/>
  <c r="B1976" i="1"/>
  <c r="C1976" i="1"/>
  <c r="D1976" i="1"/>
  <c r="E1976" i="1" s="1"/>
  <c r="H1976" i="1" s="1"/>
  <c r="F1976" i="1"/>
  <c r="G1976" i="1"/>
  <c r="I1976" i="1"/>
  <c r="J1976" i="1"/>
  <c r="K1976" i="1"/>
  <c r="L1976" i="1"/>
  <c r="A1977" i="1"/>
  <c r="B1977" i="1"/>
  <c r="C1977" i="1"/>
  <c r="D1977" i="1"/>
  <c r="E1977" i="1" s="1"/>
  <c r="H1977" i="1" s="1"/>
  <c r="F1977" i="1"/>
  <c r="G1977" i="1"/>
  <c r="I1977" i="1"/>
  <c r="J1977" i="1"/>
  <c r="K1977" i="1"/>
  <c r="L1977" i="1"/>
  <c r="A1978" i="1"/>
  <c r="B1978" i="1"/>
  <c r="C1978" i="1"/>
  <c r="D1978" i="1"/>
  <c r="E1978" i="1" s="1"/>
  <c r="H1978" i="1" s="1"/>
  <c r="F1978" i="1"/>
  <c r="G1978" i="1"/>
  <c r="I1978" i="1"/>
  <c r="J1978" i="1"/>
  <c r="K1978" i="1"/>
  <c r="L1978" i="1"/>
  <c r="A1979" i="1"/>
  <c r="B1979" i="1"/>
  <c r="C1979" i="1"/>
  <c r="D1979" i="1"/>
  <c r="E1979" i="1" s="1"/>
  <c r="H1979" i="1" s="1"/>
  <c r="F1979" i="1"/>
  <c r="G1979" i="1"/>
  <c r="I1979" i="1"/>
  <c r="J1979" i="1"/>
  <c r="K1979" i="1"/>
  <c r="L1979" i="1"/>
  <c r="A1980" i="1"/>
  <c r="B1980" i="1"/>
  <c r="C1980" i="1"/>
  <c r="D1980" i="1"/>
  <c r="E1980" i="1" s="1"/>
  <c r="H1980" i="1" s="1"/>
  <c r="F1980" i="1"/>
  <c r="G1980" i="1"/>
  <c r="I1980" i="1"/>
  <c r="J1980" i="1"/>
  <c r="K1980" i="1"/>
  <c r="L1980" i="1"/>
  <c r="A1981" i="1"/>
  <c r="B1981" i="1"/>
  <c r="C1981" i="1"/>
  <c r="D1981" i="1"/>
  <c r="E1981" i="1" s="1"/>
  <c r="H1981" i="1" s="1"/>
  <c r="F1981" i="1"/>
  <c r="G1981" i="1"/>
  <c r="I1981" i="1"/>
  <c r="J1981" i="1"/>
  <c r="K1981" i="1"/>
  <c r="L1981" i="1"/>
  <c r="A1982" i="1"/>
  <c r="B1982" i="1"/>
  <c r="C1982" i="1"/>
  <c r="D1982" i="1"/>
  <c r="E1982" i="1" s="1"/>
  <c r="H1982" i="1" s="1"/>
  <c r="F1982" i="1"/>
  <c r="G1982" i="1"/>
  <c r="I1982" i="1"/>
  <c r="J1982" i="1"/>
  <c r="K1982" i="1"/>
  <c r="L1982" i="1"/>
  <c r="A1983" i="1"/>
  <c r="B1983" i="1"/>
  <c r="C1983" i="1"/>
  <c r="D1983" i="1"/>
  <c r="E1983" i="1" s="1"/>
  <c r="H1983" i="1" s="1"/>
  <c r="F1983" i="1"/>
  <c r="G1983" i="1"/>
  <c r="I1983" i="1"/>
  <c r="J1983" i="1"/>
  <c r="K1983" i="1"/>
  <c r="L1983" i="1"/>
  <c r="A1984" i="1"/>
  <c r="B1984" i="1"/>
  <c r="C1984" i="1"/>
  <c r="D1984" i="1"/>
  <c r="E1984" i="1" s="1"/>
  <c r="H1984" i="1" s="1"/>
  <c r="F1984" i="1"/>
  <c r="G1984" i="1"/>
  <c r="I1984" i="1"/>
  <c r="J1984" i="1"/>
  <c r="K1984" i="1"/>
  <c r="L1984" i="1"/>
  <c r="A1985" i="1"/>
  <c r="B1985" i="1"/>
  <c r="C1985" i="1"/>
  <c r="D1985" i="1"/>
  <c r="E1985" i="1" s="1"/>
  <c r="H1985" i="1" s="1"/>
  <c r="F1985" i="1"/>
  <c r="G1985" i="1"/>
  <c r="I1985" i="1"/>
  <c r="J1985" i="1"/>
  <c r="K1985" i="1"/>
  <c r="L1985" i="1"/>
  <c r="A1986" i="1"/>
  <c r="B1986" i="1"/>
  <c r="C1986" i="1"/>
  <c r="D1986" i="1"/>
  <c r="E1986" i="1" s="1"/>
  <c r="H1986" i="1" s="1"/>
  <c r="F1986" i="1"/>
  <c r="G1986" i="1"/>
  <c r="I1986" i="1"/>
  <c r="J1986" i="1"/>
  <c r="K1986" i="1"/>
  <c r="L1986" i="1"/>
  <c r="A1987" i="1"/>
  <c r="B1987" i="1"/>
  <c r="C1987" i="1"/>
  <c r="D1987" i="1"/>
  <c r="E1987" i="1" s="1"/>
  <c r="H1987" i="1" s="1"/>
  <c r="F1987" i="1"/>
  <c r="G1987" i="1"/>
  <c r="I1987" i="1"/>
  <c r="J1987" i="1"/>
  <c r="K1987" i="1"/>
  <c r="L1987" i="1"/>
  <c r="A1988" i="1"/>
  <c r="B1988" i="1"/>
  <c r="C1988" i="1"/>
  <c r="D1988" i="1"/>
  <c r="E1988" i="1" s="1"/>
  <c r="H1988" i="1" s="1"/>
  <c r="F1988" i="1"/>
  <c r="G1988" i="1"/>
  <c r="I1988" i="1"/>
  <c r="J1988" i="1"/>
  <c r="K1988" i="1"/>
  <c r="L1988" i="1"/>
  <c r="A1989" i="1"/>
  <c r="B1989" i="1"/>
  <c r="C1989" i="1"/>
  <c r="D1989" i="1"/>
  <c r="E1989" i="1" s="1"/>
  <c r="H1989" i="1" s="1"/>
  <c r="F1989" i="1"/>
  <c r="G1989" i="1"/>
  <c r="I1989" i="1"/>
  <c r="J1989" i="1"/>
  <c r="K1989" i="1"/>
  <c r="L1989" i="1"/>
  <c r="A1990" i="1"/>
  <c r="B1990" i="1"/>
  <c r="C1990" i="1"/>
  <c r="D1990" i="1"/>
  <c r="E1990" i="1" s="1"/>
  <c r="H1990" i="1" s="1"/>
  <c r="F1990" i="1"/>
  <c r="G1990" i="1"/>
  <c r="I1990" i="1"/>
  <c r="J1990" i="1"/>
  <c r="K1990" i="1"/>
  <c r="L1990" i="1"/>
  <c r="A1991" i="1"/>
  <c r="B1991" i="1"/>
  <c r="C1991" i="1"/>
  <c r="D1991" i="1"/>
  <c r="E1991" i="1" s="1"/>
  <c r="H1991" i="1" s="1"/>
  <c r="F1991" i="1"/>
  <c r="G1991" i="1"/>
  <c r="I1991" i="1"/>
  <c r="J1991" i="1"/>
  <c r="K1991" i="1"/>
  <c r="L1991" i="1"/>
  <c r="A1992" i="1"/>
  <c r="B1992" i="1"/>
  <c r="C1992" i="1"/>
  <c r="D1992" i="1"/>
  <c r="E1992" i="1" s="1"/>
  <c r="H1992" i="1" s="1"/>
  <c r="F1992" i="1"/>
  <c r="G1992" i="1"/>
  <c r="I1992" i="1"/>
  <c r="J1992" i="1"/>
  <c r="K1992" i="1"/>
  <c r="L1992" i="1"/>
  <c r="A1993" i="1"/>
  <c r="B1993" i="1"/>
  <c r="C1993" i="1"/>
  <c r="D1993" i="1"/>
  <c r="E1993" i="1" s="1"/>
  <c r="H1993" i="1" s="1"/>
  <c r="F1993" i="1"/>
  <c r="G1993" i="1"/>
  <c r="I1993" i="1"/>
  <c r="J1993" i="1"/>
  <c r="K1993" i="1"/>
  <c r="L1993" i="1"/>
  <c r="A1994" i="1"/>
  <c r="B1994" i="1"/>
  <c r="C1994" i="1"/>
  <c r="D1994" i="1"/>
  <c r="E1994" i="1" s="1"/>
  <c r="H1994" i="1" s="1"/>
  <c r="F1994" i="1"/>
  <c r="G1994" i="1"/>
  <c r="I1994" i="1"/>
  <c r="J1994" i="1"/>
  <c r="K1994" i="1"/>
  <c r="L1994" i="1"/>
  <c r="A1995" i="1"/>
  <c r="B1995" i="1"/>
  <c r="C1995" i="1"/>
  <c r="D1995" i="1"/>
  <c r="E1995" i="1" s="1"/>
  <c r="H1995" i="1" s="1"/>
  <c r="F1995" i="1"/>
  <c r="G1995" i="1"/>
  <c r="I1995" i="1"/>
  <c r="J1995" i="1"/>
  <c r="K1995" i="1"/>
  <c r="L1995" i="1"/>
  <c r="A1996" i="1"/>
  <c r="B1996" i="1"/>
  <c r="C1996" i="1"/>
  <c r="D1996" i="1"/>
  <c r="E1996" i="1" s="1"/>
  <c r="H1996" i="1" s="1"/>
  <c r="F1996" i="1"/>
  <c r="G1996" i="1"/>
  <c r="I1996" i="1"/>
  <c r="J1996" i="1"/>
  <c r="K1996" i="1"/>
  <c r="L1996" i="1"/>
  <c r="A1997" i="1"/>
  <c r="B1997" i="1"/>
  <c r="C1997" i="1"/>
  <c r="D1997" i="1"/>
  <c r="E1997" i="1" s="1"/>
  <c r="H1997" i="1" s="1"/>
  <c r="F1997" i="1"/>
  <c r="G1997" i="1"/>
  <c r="I1997" i="1"/>
  <c r="J1997" i="1"/>
  <c r="K1997" i="1"/>
  <c r="L1997" i="1"/>
  <c r="A1998" i="1"/>
  <c r="B1998" i="1"/>
  <c r="C1998" i="1"/>
  <c r="D1998" i="1"/>
  <c r="E1998" i="1" s="1"/>
  <c r="H1998" i="1" s="1"/>
  <c r="F1998" i="1"/>
  <c r="G1998" i="1"/>
  <c r="I1998" i="1"/>
  <c r="J1998" i="1"/>
  <c r="K1998" i="1"/>
  <c r="L1998" i="1"/>
  <c r="A1999" i="1"/>
  <c r="B1999" i="1"/>
  <c r="C1999" i="1"/>
  <c r="D1999" i="1"/>
  <c r="E1999" i="1" s="1"/>
  <c r="H1999" i="1" s="1"/>
  <c r="F1999" i="1"/>
  <c r="G1999" i="1"/>
  <c r="I1999" i="1"/>
  <c r="J1999" i="1"/>
  <c r="K1999" i="1"/>
  <c r="L1999" i="1"/>
  <c r="A2000" i="1"/>
  <c r="B2000" i="1"/>
  <c r="C2000" i="1"/>
  <c r="D2000" i="1"/>
  <c r="E2000" i="1" s="1"/>
  <c r="H2000" i="1" s="1"/>
  <c r="F2000" i="1"/>
  <c r="G2000" i="1"/>
  <c r="I2000" i="1"/>
  <c r="J2000" i="1"/>
  <c r="K2000" i="1"/>
  <c r="L2000" i="1"/>
  <c r="A2001" i="1"/>
  <c r="B2001" i="1"/>
  <c r="C2001" i="1"/>
  <c r="D2001" i="1"/>
  <c r="E2001" i="1" s="1"/>
  <c r="H2001" i="1" s="1"/>
  <c r="F2001" i="1"/>
  <c r="G2001" i="1"/>
  <c r="I2001" i="1"/>
  <c r="J2001" i="1"/>
  <c r="K2001" i="1"/>
  <c r="L2001" i="1"/>
  <c r="L2" i="1"/>
  <c r="K2" i="1"/>
  <c r="J2" i="1"/>
  <c r="I2" i="1"/>
  <c r="G2" i="1"/>
  <c r="F2" i="1"/>
  <c r="D2" i="1"/>
  <c r="E2" i="1" s="1"/>
  <c r="C2" i="1"/>
  <c r="B2" i="1"/>
  <c r="A2" i="1"/>
  <c r="H288" i="1" l="1"/>
  <c r="H1077" i="1"/>
  <c r="H206" i="1"/>
  <c r="H1603" i="1"/>
  <c r="H1571" i="1"/>
  <c r="H1141" i="1"/>
  <c r="H238" i="1"/>
  <c r="H1117" i="1"/>
  <c r="H986" i="1"/>
  <c r="H1635" i="1"/>
  <c r="H312" i="1"/>
  <c r="H192" i="1"/>
  <c r="H52" i="1"/>
  <c r="H248" i="1"/>
  <c r="H160" i="1"/>
  <c r="H1587" i="1"/>
  <c r="H1109" i="1"/>
  <c r="H1619" i="1"/>
  <c r="H1555" i="1"/>
  <c r="H1139" i="1"/>
  <c r="H1061" i="1"/>
  <c r="H954" i="1"/>
  <c r="H696" i="1"/>
  <c r="H280" i="1"/>
  <c r="H1611" i="1"/>
  <c r="H1579" i="1"/>
  <c r="H1547" i="1"/>
  <c r="H1133" i="1"/>
  <c r="H1093" i="1"/>
  <c r="H1059" i="1"/>
  <c r="H980" i="1"/>
  <c r="H304" i="1"/>
  <c r="H270" i="1"/>
  <c r="H224" i="1"/>
  <c r="H184" i="1"/>
  <c r="H38" i="1"/>
  <c r="H1125" i="1"/>
  <c r="H1091" i="1"/>
  <c r="H970" i="1"/>
  <c r="H302" i="1"/>
  <c r="H256" i="1"/>
  <c r="H216" i="1"/>
  <c r="H174" i="1"/>
  <c r="H84" i="1"/>
  <c r="H30" i="1"/>
  <c r="H1627" i="1"/>
  <c r="H1595" i="1"/>
  <c r="H1563" i="1"/>
  <c r="H68" i="1"/>
  <c r="H22" i="1"/>
  <c r="H1625" i="1"/>
  <c r="H1609" i="1"/>
  <c r="H1593" i="1"/>
  <c r="H1577" i="1"/>
  <c r="H1561" i="1"/>
  <c r="H1545" i="1"/>
  <c r="E1131" i="1"/>
  <c r="H1131" i="1" s="1"/>
  <c r="E1085" i="1"/>
  <c r="H1085" i="1" s="1"/>
  <c r="E1053" i="1"/>
  <c r="H1053" i="1" s="1"/>
  <c r="E978" i="1"/>
  <c r="H978" i="1" s="1"/>
  <c r="H692" i="1"/>
  <c r="E1147" i="1"/>
  <c r="H1147" i="1" s="1"/>
  <c r="E296" i="1"/>
  <c r="H296" i="1" s="1"/>
  <c r="E254" i="1"/>
  <c r="H254" i="1" s="1"/>
  <c r="E208" i="1"/>
  <c r="H208" i="1" s="1"/>
  <c r="E168" i="1"/>
  <c r="H168" i="1" s="1"/>
  <c r="E76" i="1"/>
  <c r="H76" i="1" s="1"/>
  <c r="E28" i="1"/>
  <c r="H28" i="1" s="1"/>
  <c r="H1633" i="1"/>
  <c r="H1617" i="1"/>
  <c r="H1601" i="1"/>
  <c r="H1585" i="1"/>
  <c r="H1569" i="1"/>
  <c r="H1553" i="1"/>
  <c r="H1149" i="1"/>
  <c r="H1107" i="1"/>
  <c r="E1099" i="1"/>
  <c r="H1099" i="1" s="1"/>
  <c r="E1069" i="1"/>
  <c r="H1069" i="1" s="1"/>
  <c r="E994" i="1"/>
  <c r="H994" i="1" s="1"/>
  <c r="E962" i="1"/>
  <c r="H962" i="1" s="1"/>
  <c r="H1123" i="1"/>
  <c r="E1115" i="1"/>
  <c r="H1115" i="1" s="1"/>
  <c r="H1101" i="1"/>
  <c r="H1075" i="1"/>
  <c r="H964" i="1"/>
  <c r="E688" i="1"/>
  <c r="H688" i="1" s="1"/>
  <c r="E272" i="1"/>
  <c r="H272" i="1" s="1"/>
  <c r="E232" i="1"/>
  <c r="H232" i="1" s="1"/>
  <c r="E190" i="1"/>
  <c r="H190" i="1" s="1"/>
  <c r="E44" i="1"/>
  <c r="H44" i="1" s="1"/>
  <c r="H1083" i="1"/>
  <c r="H1067" i="1"/>
  <c r="H1051" i="1"/>
  <c r="H988" i="1"/>
  <c r="H972" i="1"/>
  <c r="H956" i="1"/>
  <c r="H680" i="1"/>
  <c r="H286" i="1"/>
  <c r="H264" i="1"/>
  <c r="H240" i="1"/>
  <c r="H222" i="1"/>
  <c r="H200" i="1"/>
  <c r="H176" i="1"/>
  <c r="H158" i="1"/>
  <c r="H60" i="1"/>
  <c r="H36" i="1"/>
  <c r="H18" i="1"/>
  <c r="E698" i="1"/>
  <c r="H698" i="1" s="1"/>
  <c r="E292" i="1"/>
  <c r="H292" i="1" s="1"/>
  <c r="E230" i="1"/>
  <c r="H230" i="1" s="1"/>
  <c r="E228" i="1"/>
  <c r="H228" i="1" s="1"/>
  <c r="E166" i="1"/>
  <c r="H166" i="1" s="1"/>
  <c r="E164" i="1"/>
  <c r="H164" i="1" s="1"/>
  <c r="H1615" i="1"/>
  <c r="H1607" i="1"/>
  <c r="H1583" i="1"/>
  <c r="H1575" i="1"/>
  <c r="H1145" i="1"/>
  <c r="H1137" i="1"/>
  <c r="H1129" i="1"/>
  <c r="H1121" i="1"/>
  <c r="H1113" i="1"/>
  <c r="H1105" i="1"/>
  <c r="H1097" i="1"/>
  <c r="H1089" i="1"/>
  <c r="H1081" i="1"/>
  <c r="H1073" i="1"/>
  <c r="H1065" i="1"/>
  <c r="H1057" i="1"/>
  <c r="H1049" i="1"/>
  <c r="H992" i="1"/>
  <c r="H984" i="1"/>
  <c r="H976" i="1"/>
  <c r="H968" i="1"/>
  <c r="H960" i="1"/>
  <c r="H952" i="1"/>
  <c r="H700" i="1"/>
  <c r="H678" i="1"/>
  <c r="E674" i="1"/>
  <c r="H674" i="1" s="1"/>
  <c r="E310" i="1"/>
  <c r="H310" i="1" s="1"/>
  <c r="E308" i="1"/>
  <c r="H308" i="1" s="1"/>
  <c r="E246" i="1"/>
  <c r="H246" i="1" s="1"/>
  <c r="E244" i="1"/>
  <c r="H244" i="1" s="1"/>
  <c r="E182" i="1"/>
  <c r="H182" i="1" s="1"/>
  <c r="E180" i="1"/>
  <c r="H180" i="1" s="1"/>
  <c r="E294" i="1"/>
  <c r="H294" i="1" s="1"/>
  <c r="E74" i="1"/>
  <c r="H74" i="1" s="1"/>
  <c r="H1631" i="1"/>
  <c r="H1599" i="1"/>
  <c r="H1591" i="1"/>
  <c r="H1551" i="1"/>
  <c r="H1543" i="1"/>
  <c r="H1629" i="1"/>
  <c r="H1621" i="1"/>
  <c r="H1613" i="1"/>
  <c r="H1605" i="1"/>
  <c r="H1597" i="1"/>
  <c r="H1589" i="1"/>
  <c r="H1581" i="1"/>
  <c r="H1573" i="1"/>
  <c r="H1565" i="1"/>
  <c r="H1557" i="1"/>
  <c r="H1549" i="1"/>
  <c r="H1541" i="1"/>
  <c r="H1151" i="1"/>
  <c r="H1143" i="1"/>
  <c r="H1135" i="1"/>
  <c r="H1127" i="1"/>
  <c r="H1119" i="1"/>
  <c r="H1111" i="1"/>
  <c r="H1103" i="1"/>
  <c r="H1095" i="1"/>
  <c r="H1087" i="1"/>
  <c r="H1079" i="1"/>
  <c r="H1071" i="1"/>
  <c r="H1063" i="1"/>
  <c r="H1055" i="1"/>
  <c r="H990" i="1"/>
  <c r="H982" i="1"/>
  <c r="H974" i="1"/>
  <c r="H966" i="1"/>
  <c r="H958" i="1"/>
  <c r="H950" i="1"/>
  <c r="H686" i="1"/>
  <c r="E682" i="1"/>
  <c r="H682" i="1" s="1"/>
  <c r="H676" i="1"/>
  <c r="E262" i="1"/>
  <c r="H262" i="1" s="1"/>
  <c r="E260" i="1"/>
  <c r="H260" i="1" s="1"/>
  <c r="E198" i="1"/>
  <c r="H198" i="1" s="1"/>
  <c r="E196" i="1"/>
  <c r="H196" i="1" s="1"/>
  <c r="E42" i="1"/>
  <c r="H42" i="1" s="1"/>
  <c r="E26" i="1"/>
  <c r="H26" i="1" s="1"/>
  <c r="H1623" i="1"/>
  <c r="H1567" i="1"/>
  <c r="H1559" i="1"/>
  <c r="H694" i="1"/>
  <c r="E690" i="1"/>
  <c r="H690" i="1" s="1"/>
  <c r="H684" i="1"/>
  <c r="E278" i="1"/>
  <c r="H278" i="1" s="1"/>
  <c r="E276" i="1"/>
  <c r="H276" i="1" s="1"/>
  <c r="E214" i="1"/>
  <c r="H214" i="1" s="1"/>
  <c r="E212" i="1"/>
  <c r="H212" i="1" s="1"/>
  <c r="E66" i="1"/>
  <c r="H66" i="1" s="1"/>
  <c r="E316" i="1"/>
  <c r="H316" i="1" s="1"/>
  <c r="E300" i="1"/>
  <c r="H300" i="1" s="1"/>
  <c r="E284" i="1"/>
  <c r="H284" i="1" s="1"/>
  <c r="E268" i="1"/>
  <c r="H268" i="1" s="1"/>
  <c r="E252" i="1"/>
  <c r="H252" i="1" s="1"/>
  <c r="E236" i="1"/>
  <c r="H236" i="1" s="1"/>
  <c r="E220" i="1"/>
  <c r="H220" i="1" s="1"/>
  <c r="E204" i="1"/>
  <c r="H204" i="1" s="1"/>
  <c r="E188" i="1"/>
  <c r="H188" i="1" s="1"/>
  <c r="E172" i="1"/>
  <c r="H172" i="1" s="1"/>
  <c r="E156" i="1"/>
  <c r="H156" i="1" s="1"/>
  <c r="E58" i="1"/>
  <c r="H58" i="1" s="1"/>
  <c r="E34" i="1"/>
  <c r="H34" i="1" s="1"/>
  <c r="E14" i="1"/>
  <c r="H14" i="1" s="1"/>
  <c r="E82" i="1"/>
  <c r="H82" i="1" s="1"/>
  <c r="E50" i="1"/>
  <c r="H50" i="1" s="1"/>
  <c r="H80" i="1"/>
  <c r="H72" i="1"/>
  <c r="H64" i="1"/>
  <c r="H56" i="1"/>
  <c r="H48" i="1"/>
  <c r="H40" i="1"/>
  <c r="H32" i="1"/>
  <c r="H24" i="1"/>
  <c r="H10" i="1"/>
  <c r="H314" i="1"/>
  <c r="H306" i="1"/>
  <c r="H298" i="1"/>
  <c r="H290" i="1"/>
  <c r="H282" i="1"/>
  <c r="H274" i="1"/>
  <c r="H266" i="1"/>
  <c r="H258" i="1"/>
  <c r="H250" i="1"/>
  <c r="H242" i="1"/>
  <c r="H234" i="1"/>
  <c r="H226" i="1"/>
  <c r="H218" i="1"/>
  <c r="H210" i="1"/>
  <c r="H202" i="1"/>
  <c r="H194" i="1"/>
  <c r="H186" i="1"/>
  <c r="H178" i="1"/>
  <c r="H170" i="1"/>
  <c r="H162" i="1"/>
  <c r="H154" i="1"/>
  <c r="H86" i="1"/>
  <c r="H78" i="1"/>
  <c r="H70" i="1"/>
  <c r="H62" i="1"/>
  <c r="H54" i="1"/>
  <c r="H46" i="1"/>
  <c r="H6" i="1"/>
  <c r="H1634" i="1"/>
  <c r="H1630" i="1"/>
  <c r="H1626" i="1"/>
  <c r="H1622" i="1"/>
  <c r="H1618" i="1"/>
  <c r="H1614" i="1"/>
  <c r="H1610" i="1"/>
  <c r="H1606" i="1"/>
  <c r="H1602" i="1"/>
  <c r="H1598" i="1"/>
  <c r="H1594" i="1"/>
  <c r="H1590" i="1"/>
  <c r="H1586" i="1"/>
  <c r="H1582" i="1"/>
  <c r="H1578" i="1"/>
  <c r="H1574" i="1"/>
  <c r="H1570" i="1"/>
  <c r="H1566" i="1"/>
  <c r="H1562" i="1"/>
  <c r="H1558" i="1"/>
  <c r="H1554" i="1"/>
  <c r="H1550" i="1"/>
  <c r="H1546" i="1"/>
  <c r="H1542" i="1"/>
  <c r="H1636" i="1"/>
  <c r="H1632" i="1"/>
  <c r="H1628" i="1"/>
  <c r="H1624" i="1"/>
  <c r="H1620" i="1"/>
  <c r="H1616" i="1"/>
  <c r="H1612" i="1"/>
  <c r="H1608" i="1"/>
  <c r="H1604" i="1"/>
  <c r="H1600" i="1"/>
  <c r="H1596" i="1"/>
  <c r="H1592" i="1"/>
  <c r="H1588" i="1"/>
  <c r="H1584" i="1"/>
  <c r="H1580" i="1"/>
  <c r="H1576" i="1"/>
  <c r="H1572" i="1"/>
  <c r="H1568" i="1"/>
  <c r="H1564" i="1"/>
  <c r="H1560" i="1"/>
  <c r="H1556" i="1"/>
  <c r="H1552" i="1"/>
  <c r="H1548" i="1"/>
  <c r="H1544" i="1"/>
  <c r="H1540" i="1"/>
  <c r="H1152" i="1"/>
  <c r="H1148" i="1"/>
  <c r="H1144" i="1"/>
  <c r="H1140" i="1"/>
  <c r="H1136" i="1"/>
  <c r="H1132" i="1"/>
  <c r="H1128" i="1"/>
  <c r="H1124" i="1"/>
  <c r="H1120" i="1"/>
  <c r="H1116" i="1"/>
  <c r="H1112" i="1"/>
  <c r="H1108" i="1"/>
  <c r="H1104" i="1"/>
  <c r="H1100" i="1"/>
  <c r="H1096" i="1"/>
  <c r="H1092" i="1"/>
  <c r="H1088" i="1"/>
  <c r="H1084" i="1"/>
  <c r="H1080" i="1"/>
  <c r="H1076" i="1"/>
  <c r="H1072" i="1"/>
  <c r="H1068" i="1"/>
  <c r="H1064" i="1"/>
  <c r="H1060" i="1"/>
  <c r="H1056" i="1"/>
  <c r="H1052" i="1"/>
  <c r="H1150" i="1"/>
  <c r="H1146" i="1"/>
  <c r="H1142" i="1"/>
  <c r="H1138" i="1"/>
  <c r="H1134" i="1"/>
  <c r="H1130" i="1"/>
  <c r="H1126" i="1"/>
  <c r="H1122" i="1"/>
  <c r="H1118" i="1"/>
  <c r="H1114" i="1"/>
  <c r="H1110" i="1"/>
  <c r="H1106" i="1"/>
  <c r="H1102" i="1"/>
  <c r="H1098" i="1"/>
  <c r="H1094" i="1"/>
  <c r="H1090" i="1"/>
  <c r="H1086" i="1"/>
  <c r="H1082" i="1"/>
  <c r="H1078" i="1"/>
  <c r="H1074" i="1"/>
  <c r="H1070" i="1"/>
  <c r="H1066" i="1"/>
  <c r="H1062" i="1"/>
  <c r="H1058" i="1"/>
  <c r="H1054" i="1"/>
  <c r="H1050" i="1"/>
  <c r="H991" i="1"/>
  <c r="H987" i="1"/>
  <c r="H983" i="1"/>
  <c r="H979" i="1"/>
  <c r="H975" i="1"/>
  <c r="H971" i="1"/>
  <c r="H967" i="1"/>
  <c r="H963" i="1"/>
  <c r="H959" i="1"/>
  <c r="H955" i="1"/>
  <c r="H951" i="1"/>
  <c r="H993" i="1"/>
  <c r="H989" i="1"/>
  <c r="H985" i="1"/>
  <c r="H981" i="1"/>
  <c r="H977" i="1"/>
  <c r="H973" i="1"/>
  <c r="H969" i="1"/>
  <c r="H965" i="1"/>
  <c r="H961" i="1"/>
  <c r="H957" i="1"/>
  <c r="H953" i="1"/>
  <c r="H949" i="1"/>
  <c r="H701" i="1"/>
  <c r="H697" i="1"/>
  <c r="H693" i="1"/>
  <c r="H689" i="1"/>
  <c r="H685" i="1"/>
  <c r="H681" i="1"/>
  <c r="H677" i="1"/>
  <c r="H699" i="1"/>
  <c r="H695" i="1"/>
  <c r="H691" i="1"/>
  <c r="H687" i="1"/>
  <c r="H683" i="1"/>
  <c r="H679" i="1"/>
  <c r="H675" i="1"/>
  <c r="E19" i="1"/>
  <c r="H19" i="1" s="1"/>
  <c r="E3" i="1"/>
  <c r="H3" i="1" s="1"/>
  <c r="H315" i="1"/>
  <c r="H311" i="1"/>
  <c r="H307" i="1"/>
  <c r="H303" i="1"/>
  <c r="H299" i="1"/>
  <c r="H295" i="1"/>
  <c r="H291" i="1"/>
  <c r="H287" i="1"/>
  <c r="H283" i="1"/>
  <c r="H279" i="1"/>
  <c r="H275" i="1"/>
  <c r="H271" i="1"/>
  <c r="H267" i="1"/>
  <c r="H263" i="1"/>
  <c r="H259" i="1"/>
  <c r="H255" i="1"/>
  <c r="H251" i="1"/>
  <c r="H247" i="1"/>
  <c r="H243" i="1"/>
  <c r="H239" i="1"/>
  <c r="H235" i="1"/>
  <c r="H231" i="1"/>
  <c r="H227" i="1"/>
  <c r="H223" i="1"/>
  <c r="H219" i="1"/>
  <c r="H215" i="1"/>
  <c r="H211" i="1"/>
  <c r="H207" i="1"/>
  <c r="H203" i="1"/>
  <c r="H199" i="1"/>
  <c r="H195" i="1"/>
  <c r="H191" i="1"/>
  <c r="H187" i="1"/>
  <c r="H183" i="1"/>
  <c r="H179" i="1"/>
  <c r="H175" i="1"/>
  <c r="H171" i="1"/>
  <c r="H167" i="1"/>
  <c r="H163" i="1"/>
  <c r="H159" i="1"/>
  <c r="H155" i="1"/>
  <c r="H151" i="1"/>
  <c r="H152" i="1"/>
  <c r="H317" i="1"/>
  <c r="H313" i="1"/>
  <c r="H309" i="1"/>
  <c r="H305" i="1"/>
  <c r="H301" i="1"/>
  <c r="H297" i="1"/>
  <c r="H293" i="1"/>
  <c r="H289" i="1"/>
  <c r="H285" i="1"/>
  <c r="H281" i="1"/>
  <c r="H277" i="1"/>
  <c r="H273" i="1"/>
  <c r="H269" i="1"/>
  <c r="H265" i="1"/>
  <c r="H261" i="1"/>
  <c r="H257" i="1"/>
  <c r="H253" i="1"/>
  <c r="H249" i="1"/>
  <c r="H245" i="1"/>
  <c r="H241" i="1"/>
  <c r="H237" i="1"/>
  <c r="H233" i="1"/>
  <c r="H229" i="1"/>
  <c r="H225" i="1"/>
  <c r="H221" i="1"/>
  <c r="H217" i="1"/>
  <c r="H213" i="1"/>
  <c r="H209" i="1"/>
  <c r="H205" i="1"/>
  <c r="H201" i="1"/>
  <c r="H197" i="1"/>
  <c r="H193" i="1"/>
  <c r="H189" i="1"/>
  <c r="H185" i="1"/>
  <c r="H181" i="1"/>
  <c r="H177" i="1"/>
  <c r="H173" i="1"/>
  <c r="H169" i="1"/>
  <c r="H165" i="1"/>
  <c r="H161" i="1"/>
  <c r="H157" i="1"/>
  <c r="H153" i="1"/>
  <c r="E83" i="1"/>
  <c r="H83" i="1" s="1"/>
  <c r="E75" i="1"/>
  <c r="H75" i="1" s="1"/>
  <c r="E67" i="1"/>
  <c r="H67" i="1" s="1"/>
  <c r="E59" i="1"/>
  <c r="H59" i="1" s="1"/>
  <c r="E51" i="1"/>
  <c r="H51" i="1" s="1"/>
  <c r="E43" i="1"/>
  <c r="H43" i="1" s="1"/>
  <c r="E35" i="1"/>
  <c r="H35" i="1" s="1"/>
  <c r="E27" i="1"/>
  <c r="H27" i="1" s="1"/>
  <c r="E15" i="1"/>
  <c r="H15" i="1" s="1"/>
  <c r="E11" i="1"/>
  <c r="H11" i="1" s="1"/>
  <c r="E87" i="1"/>
  <c r="H87" i="1" s="1"/>
  <c r="E79" i="1"/>
  <c r="H79" i="1" s="1"/>
  <c r="E71" i="1"/>
  <c r="H71" i="1" s="1"/>
  <c r="E63" i="1"/>
  <c r="H63" i="1" s="1"/>
  <c r="E55" i="1"/>
  <c r="H55" i="1" s="1"/>
  <c r="E47" i="1"/>
  <c r="H47" i="1" s="1"/>
  <c r="E39" i="1"/>
  <c r="H39" i="1" s="1"/>
  <c r="E31" i="1"/>
  <c r="H31" i="1" s="1"/>
  <c r="E23" i="1"/>
  <c r="H23" i="1" s="1"/>
  <c r="E7" i="1"/>
  <c r="H7" i="1" s="1"/>
  <c r="H20" i="1"/>
  <c r="H16" i="1"/>
  <c r="H12" i="1"/>
  <c r="H8" i="1"/>
  <c r="H4" i="1"/>
  <c r="H85" i="1"/>
  <c r="H81" i="1"/>
  <c r="H77" i="1"/>
  <c r="H73" i="1"/>
  <c r="H69" i="1"/>
  <c r="H65" i="1"/>
  <c r="H61" i="1"/>
  <c r="H57" i="1"/>
  <c r="H53" i="1"/>
  <c r="H49" i="1"/>
  <c r="H45" i="1"/>
  <c r="H41" i="1"/>
  <c r="H37" i="1"/>
  <c r="H33" i="1"/>
  <c r="H29" i="1"/>
  <c r="H25" i="1"/>
  <c r="H21" i="1"/>
  <c r="H17" i="1"/>
  <c r="H13" i="1"/>
  <c r="H9" i="1"/>
  <c r="H5" i="1"/>
  <c r="H2" i="1"/>
</calcChain>
</file>

<file path=xl/sharedStrings.xml><?xml version="1.0" encoding="utf-8"?>
<sst xmlns="http://schemas.openxmlformats.org/spreadsheetml/2006/main" count="12024" uniqueCount="32">
  <si>
    <t>Patient_ID</t>
  </si>
  <si>
    <t>Age</t>
  </si>
  <si>
    <t>Gender</t>
  </si>
  <si>
    <t>Admission_Date</t>
  </si>
  <si>
    <t>Discharge_Date</t>
  </si>
  <si>
    <t>Diagnosis</t>
  </si>
  <si>
    <t>Treatment_Type</t>
  </si>
  <si>
    <t>Length_of_stay</t>
  </si>
  <si>
    <t>Readmitted</t>
  </si>
  <si>
    <t>Comorbidities</t>
  </si>
  <si>
    <t>Insurance_Type</t>
  </si>
  <si>
    <t>Hospital_dept</t>
  </si>
  <si>
    <t>Male</t>
  </si>
  <si>
    <t>Hypertension</t>
  </si>
  <si>
    <t>Therapy</t>
  </si>
  <si>
    <t>No</t>
  </si>
  <si>
    <t>Public</t>
  </si>
  <si>
    <t>Neurology</t>
  </si>
  <si>
    <t>Diabetes</t>
  </si>
  <si>
    <t>Medication</t>
  </si>
  <si>
    <t>Yes</t>
  </si>
  <si>
    <t>None</t>
  </si>
  <si>
    <t>ER</t>
  </si>
  <si>
    <t>Surgery</t>
  </si>
  <si>
    <t>Private</t>
  </si>
  <si>
    <t>ICU</t>
  </si>
  <si>
    <t>Female</t>
  </si>
  <si>
    <t>Pneumonia</t>
  </si>
  <si>
    <t>Heart Failure</t>
  </si>
  <si>
    <t>Cardiology</t>
  </si>
  <si>
    <t>General</t>
  </si>
  <si>
    <t>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</si>
</sst>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EC8F-AE95-4F95-B445-182A0BC5AAB1}">
  <dimension ref="A1:L2001"/>
  <sheetViews>
    <sheetView workbookViewId="0">
      <selection sqref="A1:L2001"/>
    </sheetView>
  </sheetViews>
  <sheetFormatPr defaultRowHeight="15" x14ac:dyDescent="0.25"/>
  <cols>
    <col min="4" max="4" width="11.42578125" style="1" customWidth="1"/>
    <col min="5" max="5" width="12" style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f>ROW() -1</f>
        <v>1</v>
      </c>
      <c r="B2">
        <f ca="1">RANDBETWEEN(20,90)</f>
        <v>37</v>
      </c>
      <c r="C2" t="str">
        <f ca="1">IF(RAND()&lt;0.5,"Male","Female")</f>
        <v>Female</v>
      </c>
      <c r="D2" s="1">
        <f ca="1">DATE(2024,1,1)+RANDBETWEEN(0,364)</f>
        <v>45462</v>
      </c>
      <c r="E2" s="1">
        <f ca="1">D2+RANDBETWEEN(1,15)</f>
        <v>45463</v>
      </c>
      <c r="F2" t="str">
        <f ca="1">CHOOSE(RANDBETWEEN(1,5),"Diabetes","Heart Failure","Pneumonia","Stroke","Hypertension")</f>
        <v>Hypertension</v>
      </c>
      <c r="G2" t="str">
        <f ca="1">CHOOSE(RANDBETWEEN(1,3),"Medication","Surgery","Therapy")</f>
        <v>Surgery</v>
      </c>
      <c r="H2">
        <f ca="1">DATEDIF(D2,E2,"D")</f>
        <v>1</v>
      </c>
      <c r="I2" t="str">
        <f ca="1">IF(RAND()&lt;0.3,"Yes","No")</f>
        <v>Yes</v>
      </c>
      <c r="J2">
        <f ca="1">RANDBETWEEN(0,4)</f>
        <v>1</v>
      </c>
      <c r="K2" t="str">
        <f ca="1">CHOOSE(RANDBETWEEN(1,3),"Private","Public","None")</f>
        <v>None</v>
      </c>
      <c r="L2" t="str">
        <f ca="1">CHOOSE(RANDBETWEEN(1,5),"ER","Cardiology","Neurology","General","ICU")</f>
        <v>Cardiology</v>
      </c>
    </row>
    <row r="3" spans="1:12" x14ac:dyDescent="0.25">
      <c r="A3">
        <f t="shared" ref="A3:A66" si="0">ROW() -1</f>
        <v>2</v>
      </c>
      <c r="B3">
        <f t="shared" ref="B3:B66" ca="1" si="1">RANDBETWEEN(20,90)</f>
        <v>62</v>
      </c>
      <c r="C3" t="str">
        <f t="shared" ref="C3:C66" ca="1" si="2">IF(RAND()&lt;0.5,"Male","Female")</f>
        <v>Female</v>
      </c>
      <c r="D3" s="1">
        <f t="shared" ref="D3:D66" ca="1" si="3">DATE(2024,1,1)+RANDBETWEEN(0,364)</f>
        <v>45638</v>
      </c>
      <c r="E3" s="1">
        <f t="shared" ref="E3:E66" ca="1" si="4">D3+RANDBETWEEN(1,15)</f>
        <v>45645</v>
      </c>
      <c r="F3" t="str">
        <f t="shared" ref="F3:F66" ca="1" si="5">CHOOSE(RANDBETWEEN(1,5),"Diabetes","Heart Failure","Pneumonia","Stroke","Hypertension")</f>
        <v>Diabetes</v>
      </c>
      <c r="G3" t="str">
        <f t="shared" ref="G3:G66" ca="1" si="6">CHOOSE(RANDBETWEEN(1,3),"Medication","Surgery","Therapy")</f>
        <v>Medication</v>
      </c>
      <c r="H3">
        <f t="shared" ref="H3:H66" ca="1" si="7">DATEDIF(D3,E3,"D")</f>
        <v>7</v>
      </c>
      <c r="I3" t="str">
        <f t="shared" ref="I3:I66" ca="1" si="8">IF(RAND()&lt;0.3,"Yes","No")</f>
        <v>Yes</v>
      </c>
      <c r="J3">
        <f t="shared" ref="J3:J66" ca="1" si="9">RANDBETWEEN(0,4)</f>
        <v>1</v>
      </c>
      <c r="K3" t="str">
        <f t="shared" ref="K3:K66" ca="1" si="10">CHOOSE(RANDBETWEEN(1,3),"Private","Public","None")</f>
        <v>Public</v>
      </c>
      <c r="L3" t="str">
        <f t="shared" ref="L3:L66" ca="1" si="11">CHOOSE(RANDBETWEEN(1,5),"ER","Cardiology","Neurology","General","ICU")</f>
        <v>Neurology</v>
      </c>
    </row>
    <row r="4" spans="1:12" x14ac:dyDescent="0.25">
      <c r="A4">
        <f t="shared" si="0"/>
        <v>3</v>
      </c>
      <c r="B4">
        <f t="shared" ca="1" si="1"/>
        <v>28</v>
      </c>
      <c r="C4" t="str">
        <f t="shared" ca="1" si="2"/>
        <v>Male</v>
      </c>
      <c r="D4" s="1">
        <f t="shared" ca="1" si="3"/>
        <v>45568</v>
      </c>
      <c r="E4" s="1">
        <f t="shared" ca="1" si="4"/>
        <v>45577</v>
      </c>
      <c r="F4" t="str">
        <f t="shared" ca="1" si="5"/>
        <v>Stroke</v>
      </c>
      <c r="G4" t="str">
        <f t="shared" ca="1" si="6"/>
        <v>Therapy</v>
      </c>
      <c r="H4">
        <f t="shared" ca="1" si="7"/>
        <v>9</v>
      </c>
      <c r="I4" t="str">
        <f t="shared" ca="1" si="8"/>
        <v>No</v>
      </c>
      <c r="J4">
        <f t="shared" ca="1" si="9"/>
        <v>4</v>
      </c>
      <c r="K4" t="str">
        <f t="shared" ca="1" si="10"/>
        <v>Public</v>
      </c>
      <c r="L4" t="str">
        <f t="shared" ca="1" si="11"/>
        <v>ICU</v>
      </c>
    </row>
    <row r="5" spans="1:12" x14ac:dyDescent="0.25">
      <c r="A5">
        <f t="shared" si="0"/>
        <v>4</v>
      </c>
      <c r="B5">
        <f t="shared" ca="1" si="1"/>
        <v>81</v>
      </c>
      <c r="C5" t="str">
        <f t="shared" ca="1" si="2"/>
        <v>Female</v>
      </c>
      <c r="D5" s="1">
        <f t="shared" ca="1" si="3"/>
        <v>45549</v>
      </c>
      <c r="E5" s="1">
        <f t="shared" ca="1" si="4"/>
        <v>45558</v>
      </c>
      <c r="F5" t="str">
        <f t="shared" ca="1" si="5"/>
        <v>Hypertension</v>
      </c>
      <c r="G5" t="str">
        <f t="shared" ca="1" si="6"/>
        <v>Surgery</v>
      </c>
      <c r="H5">
        <f t="shared" ca="1" si="7"/>
        <v>9</v>
      </c>
      <c r="I5" t="str">
        <f t="shared" ca="1" si="8"/>
        <v>No</v>
      </c>
      <c r="J5">
        <f t="shared" ca="1" si="9"/>
        <v>2</v>
      </c>
      <c r="K5" t="str">
        <f t="shared" ca="1" si="10"/>
        <v>None</v>
      </c>
      <c r="L5" t="str">
        <f t="shared" ca="1" si="11"/>
        <v>Cardiology</v>
      </c>
    </row>
    <row r="6" spans="1:12" x14ac:dyDescent="0.25">
      <c r="A6">
        <f t="shared" si="0"/>
        <v>5</v>
      </c>
      <c r="B6">
        <f t="shared" ca="1" si="1"/>
        <v>75</v>
      </c>
      <c r="C6" t="str">
        <f t="shared" ca="1" si="2"/>
        <v>Male</v>
      </c>
      <c r="D6" s="1">
        <f t="shared" ca="1" si="3"/>
        <v>45598</v>
      </c>
      <c r="E6" s="1">
        <f t="shared" ca="1" si="4"/>
        <v>45613</v>
      </c>
      <c r="F6" t="str">
        <f t="shared" ca="1" si="5"/>
        <v>Heart Failure</v>
      </c>
      <c r="G6" t="str">
        <f t="shared" ca="1" si="6"/>
        <v>Surgery</v>
      </c>
      <c r="H6">
        <f t="shared" ca="1" si="7"/>
        <v>15</v>
      </c>
      <c r="I6" t="str">
        <f t="shared" ca="1" si="8"/>
        <v>No</v>
      </c>
      <c r="J6">
        <f t="shared" ca="1" si="9"/>
        <v>0</v>
      </c>
      <c r="K6" t="str">
        <f t="shared" ca="1" si="10"/>
        <v>None</v>
      </c>
      <c r="L6" t="str">
        <f t="shared" ca="1" si="11"/>
        <v>ICU</v>
      </c>
    </row>
    <row r="7" spans="1:12" x14ac:dyDescent="0.25">
      <c r="A7">
        <f t="shared" si="0"/>
        <v>6</v>
      </c>
      <c r="B7">
        <f t="shared" ca="1" si="1"/>
        <v>55</v>
      </c>
      <c r="C7" t="str">
        <f t="shared" ca="1" si="2"/>
        <v>Female</v>
      </c>
      <c r="D7" s="1">
        <f t="shared" ca="1" si="3"/>
        <v>45538</v>
      </c>
      <c r="E7" s="1">
        <f t="shared" ca="1" si="4"/>
        <v>45549</v>
      </c>
      <c r="F7" t="str">
        <f t="shared" ca="1" si="5"/>
        <v>Diabetes</v>
      </c>
      <c r="G7" t="str">
        <f t="shared" ca="1" si="6"/>
        <v>Medication</v>
      </c>
      <c r="H7">
        <f t="shared" ca="1" si="7"/>
        <v>11</v>
      </c>
      <c r="I7" t="str">
        <f t="shared" ca="1" si="8"/>
        <v>No</v>
      </c>
      <c r="J7">
        <f t="shared" ca="1" si="9"/>
        <v>0</v>
      </c>
      <c r="K7" t="str">
        <f t="shared" ca="1" si="10"/>
        <v>None</v>
      </c>
      <c r="L7" t="str">
        <f t="shared" ca="1" si="11"/>
        <v>ICU</v>
      </c>
    </row>
    <row r="8" spans="1:12" x14ac:dyDescent="0.25">
      <c r="A8">
        <f t="shared" si="0"/>
        <v>7</v>
      </c>
      <c r="B8">
        <f t="shared" ca="1" si="1"/>
        <v>32</v>
      </c>
      <c r="C8" t="str">
        <f t="shared" ca="1" si="2"/>
        <v>Male</v>
      </c>
      <c r="D8" s="1">
        <f t="shared" ca="1" si="3"/>
        <v>45431</v>
      </c>
      <c r="E8" s="1">
        <f t="shared" ca="1" si="4"/>
        <v>45438</v>
      </c>
      <c r="F8" t="str">
        <f t="shared" ca="1" si="5"/>
        <v>Heart Failure</v>
      </c>
      <c r="G8" t="str">
        <f t="shared" ca="1" si="6"/>
        <v>Medication</v>
      </c>
      <c r="H8">
        <f t="shared" ca="1" si="7"/>
        <v>7</v>
      </c>
      <c r="I8" t="str">
        <f t="shared" ca="1" si="8"/>
        <v>No</v>
      </c>
      <c r="J8">
        <f t="shared" ca="1" si="9"/>
        <v>3</v>
      </c>
      <c r="K8" t="str">
        <f t="shared" ca="1" si="10"/>
        <v>Private</v>
      </c>
      <c r="L8" t="str">
        <f t="shared" ca="1" si="11"/>
        <v>ER</v>
      </c>
    </row>
    <row r="9" spans="1:12" x14ac:dyDescent="0.25">
      <c r="A9">
        <f t="shared" si="0"/>
        <v>8</v>
      </c>
      <c r="B9">
        <f t="shared" ca="1" si="1"/>
        <v>81</v>
      </c>
      <c r="C9" t="str">
        <f t="shared" ca="1" si="2"/>
        <v>Male</v>
      </c>
      <c r="D9" s="1">
        <f t="shared" ca="1" si="3"/>
        <v>45477</v>
      </c>
      <c r="E9" s="1">
        <f t="shared" ca="1" si="4"/>
        <v>45481</v>
      </c>
      <c r="F9" t="str">
        <f t="shared" ca="1" si="5"/>
        <v>Diabetes</v>
      </c>
      <c r="G9" t="str">
        <f t="shared" ca="1" si="6"/>
        <v>Therapy</v>
      </c>
      <c r="H9">
        <f t="shared" ca="1" si="7"/>
        <v>4</v>
      </c>
      <c r="I9" t="str">
        <f t="shared" ca="1" si="8"/>
        <v>No</v>
      </c>
      <c r="J9">
        <f t="shared" ca="1" si="9"/>
        <v>0</v>
      </c>
      <c r="K9" t="str">
        <f t="shared" ca="1" si="10"/>
        <v>None</v>
      </c>
      <c r="L9" t="str">
        <f t="shared" ca="1" si="11"/>
        <v>Cardiology</v>
      </c>
    </row>
    <row r="10" spans="1:12" x14ac:dyDescent="0.25">
      <c r="A10">
        <f t="shared" si="0"/>
        <v>9</v>
      </c>
      <c r="B10">
        <f t="shared" ca="1" si="1"/>
        <v>42</v>
      </c>
      <c r="C10" t="str">
        <f t="shared" ca="1" si="2"/>
        <v>Male</v>
      </c>
      <c r="D10" s="1">
        <f t="shared" ca="1" si="3"/>
        <v>45569</v>
      </c>
      <c r="E10" s="1">
        <f t="shared" ca="1" si="4"/>
        <v>45579</v>
      </c>
      <c r="F10" t="str">
        <f t="shared" ca="1" si="5"/>
        <v>Stroke</v>
      </c>
      <c r="G10" t="str">
        <f t="shared" ca="1" si="6"/>
        <v>Therapy</v>
      </c>
      <c r="H10">
        <f t="shared" ca="1" si="7"/>
        <v>10</v>
      </c>
      <c r="I10" t="str">
        <f t="shared" ca="1" si="8"/>
        <v>Yes</v>
      </c>
      <c r="J10">
        <f t="shared" ca="1" si="9"/>
        <v>4</v>
      </c>
      <c r="K10" t="str">
        <f t="shared" ca="1" si="10"/>
        <v>None</v>
      </c>
      <c r="L10" t="str">
        <f t="shared" ca="1" si="11"/>
        <v>General</v>
      </c>
    </row>
    <row r="11" spans="1:12" x14ac:dyDescent="0.25">
      <c r="A11">
        <f t="shared" si="0"/>
        <v>10</v>
      </c>
      <c r="B11">
        <f t="shared" ca="1" si="1"/>
        <v>74</v>
      </c>
      <c r="C11" t="str">
        <f t="shared" ca="1" si="2"/>
        <v>Male</v>
      </c>
      <c r="D11" s="1">
        <f t="shared" ca="1" si="3"/>
        <v>45397</v>
      </c>
      <c r="E11" s="1">
        <f t="shared" ca="1" si="4"/>
        <v>45412</v>
      </c>
      <c r="F11" t="str">
        <f t="shared" ca="1" si="5"/>
        <v>Heart Failure</v>
      </c>
      <c r="G11" t="str">
        <f t="shared" ca="1" si="6"/>
        <v>Medication</v>
      </c>
      <c r="H11">
        <f t="shared" ca="1" si="7"/>
        <v>15</v>
      </c>
      <c r="I11" t="str">
        <f t="shared" ca="1" si="8"/>
        <v>No</v>
      </c>
      <c r="J11">
        <f t="shared" ca="1" si="9"/>
        <v>1</v>
      </c>
      <c r="K11" t="str">
        <f t="shared" ca="1" si="10"/>
        <v>None</v>
      </c>
      <c r="L11" t="str">
        <f t="shared" ca="1" si="11"/>
        <v>Neurology</v>
      </c>
    </row>
    <row r="12" spans="1:12" x14ac:dyDescent="0.25">
      <c r="A12">
        <f t="shared" si="0"/>
        <v>11</v>
      </c>
      <c r="B12">
        <f t="shared" ca="1" si="1"/>
        <v>42</v>
      </c>
      <c r="C12" t="str">
        <f t="shared" ca="1" si="2"/>
        <v>Male</v>
      </c>
      <c r="D12" s="1">
        <f t="shared" ca="1" si="3"/>
        <v>45556</v>
      </c>
      <c r="E12" s="1">
        <f t="shared" ca="1" si="4"/>
        <v>45565</v>
      </c>
      <c r="F12" t="str">
        <f t="shared" ca="1" si="5"/>
        <v>Diabetes</v>
      </c>
      <c r="G12" t="str">
        <f t="shared" ca="1" si="6"/>
        <v>Medication</v>
      </c>
      <c r="H12">
        <f t="shared" ca="1" si="7"/>
        <v>9</v>
      </c>
      <c r="I12" t="str">
        <f t="shared" ca="1" si="8"/>
        <v>No</v>
      </c>
      <c r="J12">
        <f t="shared" ca="1" si="9"/>
        <v>2</v>
      </c>
      <c r="K12" t="str">
        <f t="shared" ca="1" si="10"/>
        <v>None</v>
      </c>
      <c r="L12" t="str">
        <f t="shared" ca="1" si="11"/>
        <v>ICU</v>
      </c>
    </row>
    <row r="13" spans="1:12" x14ac:dyDescent="0.25">
      <c r="A13">
        <f t="shared" si="0"/>
        <v>12</v>
      </c>
      <c r="B13">
        <f t="shared" ca="1" si="1"/>
        <v>41</v>
      </c>
      <c r="C13" t="str">
        <f t="shared" ca="1" si="2"/>
        <v>Female</v>
      </c>
      <c r="D13" s="1">
        <f t="shared" ca="1" si="3"/>
        <v>45595</v>
      </c>
      <c r="E13" s="1">
        <f t="shared" ca="1" si="4"/>
        <v>45596</v>
      </c>
      <c r="F13" t="str">
        <f t="shared" ca="1" si="5"/>
        <v>Heart Failure</v>
      </c>
      <c r="G13" t="str">
        <f t="shared" ca="1" si="6"/>
        <v>Medication</v>
      </c>
      <c r="H13">
        <f t="shared" ca="1" si="7"/>
        <v>1</v>
      </c>
      <c r="I13" t="str">
        <f t="shared" ca="1" si="8"/>
        <v>No</v>
      </c>
      <c r="J13">
        <f t="shared" ca="1" si="9"/>
        <v>3</v>
      </c>
      <c r="K13" t="str">
        <f t="shared" ca="1" si="10"/>
        <v>Private</v>
      </c>
      <c r="L13" t="str">
        <f t="shared" ca="1" si="11"/>
        <v>Cardiology</v>
      </c>
    </row>
    <row r="14" spans="1:12" x14ac:dyDescent="0.25">
      <c r="A14">
        <f t="shared" si="0"/>
        <v>13</v>
      </c>
      <c r="B14">
        <f t="shared" ca="1" si="1"/>
        <v>30</v>
      </c>
      <c r="C14" t="str">
        <f t="shared" ca="1" si="2"/>
        <v>Male</v>
      </c>
      <c r="D14" s="1">
        <f t="shared" ca="1" si="3"/>
        <v>45509</v>
      </c>
      <c r="E14" s="1">
        <f t="shared" ca="1" si="4"/>
        <v>45510</v>
      </c>
      <c r="F14" t="str">
        <f t="shared" ca="1" si="5"/>
        <v>Pneumonia</v>
      </c>
      <c r="G14" t="str">
        <f t="shared" ca="1" si="6"/>
        <v>Medication</v>
      </c>
      <c r="H14">
        <f t="shared" ca="1" si="7"/>
        <v>1</v>
      </c>
      <c r="I14" t="str">
        <f t="shared" ca="1" si="8"/>
        <v>Yes</v>
      </c>
      <c r="J14">
        <f t="shared" ca="1" si="9"/>
        <v>0</v>
      </c>
      <c r="K14" t="str">
        <f t="shared" ca="1" si="10"/>
        <v>None</v>
      </c>
      <c r="L14" t="str">
        <f t="shared" ca="1" si="11"/>
        <v>General</v>
      </c>
    </row>
    <row r="15" spans="1:12" x14ac:dyDescent="0.25">
      <c r="A15">
        <f t="shared" si="0"/>
        <v>14</v>
      </c>
      <c r="B15">
        <f t="shared" ca="1" si="1"/>
        <v>26</v>
      </c>
      <c r="C15" t="str">
        <f t="shared" ca="1" si="2"/>
        <v>Male</v>
      </c>
      <c r="D15" s="1">
        <f t="shared" ca="1" si="3"/>
        <v>45576</v>
      </c>
      <c r="E15" s="1">
        <f t="shared" ca="1" si="4"/>
        <v>45580</v>
      </c>
      <c r="F15" t="str">
        <f t="shared" ca="1" si="5"/>
        <v>Hypertension</v>
      </c>
      <c r="G15" t="str">
        <f t="shared" ca="1" si="6"/>
        <v>Therapy</v>
      </c>
      <c r="H15">
        <f t="shared" ca="1" si="7"/>
        <v>4</v>
      </c>
      <c r="I15" t="str">
        <f t="shared" ca="1" si="8"/>
        <v>No</v>
      </c>
      <c r="J15">
        <f t="shared" ca="1" si="9"/>
        <v>0</v>
      </c>
      <c r="K15" t="str">
        <f t="shared" ca="1" si="10"/>
        <v>Public</v>
      </c>
      <c r="L15" t="str">
        <f t="shared" ca="1" si="11"/>
        <v>Cardiology</v>
      </c>
    </row>
    <row r="16" spans="1:12" x14ac:dyDescent="0.25">
      <c r="A16">
        <f t="shared" si="0"/>
        <v>15</v>
      </c>
      <c r="B16">
        <f t="shared" ca="1" si="1"/>
        <v>44</v>
      </c>
      <c r="C16" t="str">
        <f t="shared" ca="1" si="2"/>
        <v>Male</v>
      </c>
      <c r="D16" s="1">
        <f t="shared" ca="1" si="3"/>
        <v>45312</v>
      </c>
      <c r="E16" s="1">
        <f t="shared" ca="1" si="4"/>
        <v>45323</v>
      </c>
      <c r="F16" t="str">
        <f t="shared" ca="1" si="5"/>
        <v>Hypertension</v>
      </c>
      <c r="G16" t="str">
        <f t="shared" ca="1" si="6"/>
        <v>Therapy</v>
      </c>
      <c r="H16">
        <f t="shared" ca="1" si="7"/>
        <v>11</v>
      </c>
      <c r="I16" t="str">
        <f t="shared" ca="1" si="8"/>
        <v>Yes</v>
      </c>
      <c r="J16">
        <f t="shared" ca="1" si="9"/>
        <v>1</v>
      </c>
      <c r="K16" t="str">
        <f t="shared" ca="1" si="10"/>
        <v>Public</v>
      </c>
      <c r="L16" t="str">
        <f t="shared" ca="1" si="11"/>
        <v>ER</v>
      </c>
    </row>
    <row r="17" spans="1:12" x14ac:dyDescent="0.25">
      <c r="A17">
        <f t="shared" si="0"/>
        <v>16</v>
      </c>
      <c r="B17">
        <f t="shared" ca="1" si="1"/>
        <v>72</v>
      </c>
      <c r="C17" t="str">
        <f t="shared" ca="1" si="2"/>
        <v>Male</v>
      </c>
      <c r="D17" s="1">
        <f t="shared" ca="1" si="3"/>
        <v>45440</v>
      </c>
      <c r="E17" s="1">
        <f t="shared" ca="1" si="4"/>
        <v>45449</v>
      </c>
      <c r="F17" t="str">
        <f t="shared" ca="1" si="5"/>
        <v>Pneumonia</v>
      </c>
      <c r="G17" t="str">
        <f t="shared" ca="1" si="6"/>
        <v>Medication</v>
      </c>
      <c r="H17">
        <f t="shared" ca="1" si="7"/>
        <v>9</v>
      </c>
      <c r="I17" t="str">
        <f t="shared" ca="1" si="8"/>
        <v>No</v>
      </c>
      <c r="J17">
        <f t="shared" ca="1" si="9"/>
        <v>0</v>
      </c>
      <c r="K17" t="str">
        <f t="shared" ca="1" si="10"/>
        <v>Public</v>
      </c>
      <c r="L17" t="str">
        <f t="shared" ca="1" si="11"/>
        <v>ER</v>
      </c>
    </row>
    <row r="18" spans="1:12" x14ac:dyDescent="0.25">
      <c r="A18">
        <f t="shared" si="0"/>
        <v>17</v>
      </c>
      <c r="B18">
        <f t="shared" ca="1" si="1"/>
        <v>72</v>
      </c>
      <c r="C18" t="str">
        <f t="shared" ca="1" si="2"/>
        <v>Male</v>
      </c>
      <c r="D18" s="1">
        <f t="shared" ca="1" si="3"/>
        <v>45500</v>
      </c>
      <c r="E18" s="1">
        <f t="shared" ca="1" si="4"/>
        <v>45503</v>
      </c>
      <c r="F18" t="str">
        <f t="shared" ca="1" si="5"/>
        <v>Diabetes</v>
      </c>
      <c r="G18" t="str">
        <f t="shared" ca="1" si="6"/>
        <v>Medication</v>
      </c>
      <c r="H18">
        <f t="shared" ca="1" si="7"/>
        <v>3</v>
      </c>
      <c r="I18" t="str">
        <f t="shared" ca="1" si="8"/>
        <v>Yes</v>
      </c>
      <c r="J18">
        <f t="shared" ca="1" si="9"/>
        <v>1</v>
      </c>
      <c r="K18" t="str">
        <f t="shared" ca="1" si="10"/>
        <v>None</v>
      </c>
      <c r="L18" t="str">
        <f t="shared" ca="1" si="11"/>
        <v>ER</v>
      </c>
    </row>
    <row r="19" spans="1:12" x14ac:dyDescent="0.25">
      <c r="A19">
        <f t="shared" si="0"/>
        <v>18</v>
      </c>
      <c r="B19">
        <f t="shared" ca="1" si="1"/>
        <v>76</v>
      </c>
      <c r="C19" t="str">
        <f t="shared" ca="1" si="2"/>
        <v>Male</v>
      </c>
      <c r="D19" s="1">
        <f t="shared" ca="1" si="3"/>
        <v>45592</v>
      </c>
      <c r="E19" s="1">
        <f t="shared" ca="1" si="4"/>
        <v>45598</v>
      </c>
      <c r="F19" t="str">
        <f t="shared" ca="1" si="5"/>
        <v>Heart Failure</v>
      </c>
      <c r="G19" t="str">
        <f t="shared" ca="1" si="6"/>
        <v>Therapy</v>
      </c>
      <c r="H19">
        <f t="shared" ca="1" si="7"/>
        <v>6</v>
      </c>
      <c r="I19" t="str">
        <f t="shared" ca="1" si="8"/>
        <v>Yes</v>
      </c>
      <c r="J19">
        <f t="shared" ca="1" si="9"/>
        <v>0</v>
      </c>
      <c r="K19" t="str">
        <f t="shared" ca="1" si="10"/>
        <v>Public</v>
      </c>
      <c r="L19" t="str">
        <f t="shared" ca="1" si="11"/>
        <v>Cardiology</v>
      </c>
    </row>
    <row r="20" spans="1:12" x14ac:dyDescent="0.25">
      <c r="A20">
        <f t="shared" si="0"/>
        <v>19</v>
      </c>
      <c r="B20">
        <f t="shared" ca="1" si="1"/>
        <v>48</v>
      </c>
      <c r="C20" t="str">
        <f t="shared" ca="1" si="2"/>
        <v>Female</v>
      </c>
      <c r="D20" s="1">
        <f t="shared" ca="1" si="3"/>
        <v>45346</v>
      </c>
      <c r="E20" s="1">
        <f t="shared" ca="1" si="4"/>
        <v>45351</v>
      </c>
      <c r="F20" t="str">
        <f t="shared" ca="1" si="5"/>
        <v>Hypertension</v>
      </c>
      <c r="G20" t="str">
        <f t="shared" ca="1" si="6"/>
        <v>Therapy</v>
      </c>
      <c r="H20">
        <f t="shared" ca="1" si="7"/>
        <v>5</v>
      </c>
      <c r="I20" t="str">
        <f t="shared" ca="1" si="8"/>
        <v>No</v>
      </c>
      <c r="J20">
        <f t="shared" ca="1" si="9"/>
        <v>1</v>
      </c>
      <c r="K20" t="str">
        <f t="shared" ca="1" si="10"/>
        <v>Private</v>
      </c>
      <c r="L20" t="str">
        <f t="shared" ca="1" si="11"/>
        <v>ICU</v>
      </c>
    </row>
    <row r="21" spans="1:12" x14ac:dyDescent="0.25">
      <c r="A21">
        <f t="shared" si="0"/>
        <v>20</v>
      </c>
      <c r="B21">
        <f t="shared" ca="1" si="1"/>
        <v>84</v>
      </c>
      <c r="C21" t="str">
        <f t="shared" ca="1" si="2"/>
        <v>Female</v>
      </c>
      <c r="D21" s="1">
        <f t="shared" ca="1" si="3"/>
        <v>45502</v>
      </c>
      <c r="E21" s="1">
        <f t="shared" ca="1" si="4"/>
        <v>45517</v>
      </c>
      <c r="F21" t="str">
        <f t="shared" ca="1" si="5"/>
        <v>Diabetes</v>
      </c>
      <c r="G21" t="str">
        <f t="shared" ca="1" si="6"/>
        <v>Medication</v>
      </c>
      <c r="H21">
        <f t="shared" ca="1" si="7"/>
        <v>15</v>
      </c>
      <c r="I21" t="str">
        <f t="shared" ca="1" si="8"/>
        <v>No</v>
      </c>
      <c r="J21">
        <f t="shared" ca="1" si="9"/>
        <v>3</v>
      </c>
      <c r="K21" t="str">
        <f t="shared" ca="1" si="10"/>
        <v>Private</v>
      </c>
      <c r="L21" t="str">
        <f t="shared" ca="1" si="11"/>
        <v>General</v>
      </c>
    </row>
    <row r="22" spans="1:12" x14ac:dyDescent="0.25">
      <c r="A22">
        <f t="shared" si="0"/>
        <v>21</v>
      </c>
      <c r="B22">
        <f t="shared" ca="1" si="1"/>
        <v>89</v>
      </c>
      <c r="C22" t="str">
        <f t="shared" ca="1" si="2"/>
        <v>Male</v>
      </c>
      <c r="D22" s="1">
        <f t="shared" ca="1" si="3"/>
        <v>45546</v>
      </c>
      <c r="E22" s="1">
        <f t="shared" ca="1" si="4"/>
        <v>45549</v>
      </c>
      <c r="F22" t="str">
        <f t="shared" ca="1" si="5"/>
        <v>Heart Failure</v>
      </c>
      <c r="G22" t="str">
        <f t="shared" ca="1" si="6"/>
        <v>Medication</v>
      </c>
      <c r="H22">
        <f t="shared" ca="1" si="7"/>
        <v>3</v>
      </c>
      <c r="I22" t="str">
        <f t="shared" ca="1" si="8"/>
        <v>No</v>
      </c>
      <c r="J22">
        <f t="shared" ca="1" si="9"/>
        <v>2</v>
      </c>
      <c r="K22" t="str">
        <f t="shared" ca="1" si="10"/>
        <v>None</v>
      </c>
      <c r="L22" t="str">
        <f t="shared" ca="1" si="11"/>
        <v>Cardiology</v>
      </c>
    </row>
    <row r="23" spans="1:12" x14ac:dyDescent="0.25">
      <c r="A23">
        <f t="shared" si="0"/>
        <v>22</v>
      </c>
      <c r="B23">
        <f t="shared" ca="1" si="1"/>
        <v>44</v>
      </c>
      <c r="C23" t="str">
        <f t="shared" ca="1" si="2"/>
        <v>Male</v>
      </c>
      <c r="D23" s="1">
        <f t="shared" ca="1" si="3"/>
        <v>45499</v>
      </c>
      <c r="E23" s="1">
        <f t="shared" ca="1" si="4"/>
        <v>45509</v>
      </c>
      <c r="F23" t="str">
        <f t="shared" ca="1" si="5"/>
        <v>Hypertension</v>
      </c>
      <c r="G23" t="str">
        <f t="shared" ca="1" si="6"/>
        <v>Therapy</v>
      </c>
      <c r="H23">
        <f t="shared" ca="1" si="7"/>
        <v>10</v>
      </c>
      <c r="I23" t="str">
        <f t="shared" ca="1" si="8"/>
        <v>Yes</v>
      </c>
      <c r="J23">
        <f t="shared" ca="1" si="9"/>
        <v>4</v>
      </c>
      <c r="K23" t="str">
        <f t="shared" ca="1" si="10"/>
        <v>None</v>
      </c>
      <c r="L23" t="str">
        <f t="shared" ca="1" si="11"/>
        <v>Neurology</v>
      </c>
    </row>
    <row r="24" spans="1:12" x14ac:dyDescent="0.25">
      <c r="A24">
        <f t="shared" si="0"/>
        <v>23</v>
      </c>
      <c r="B24">
        <f t="shared" ca="1" si="1"/>
        <v>61</v>
      </c>
      <c r="C24" t="str">
        <f t="shared" ca="1" si="2"/>
        <v>Female</v>
      </c>
      <c r="D24" s="1">
        <f t="shared" ca="1" si="3"/>
        <v>45530</v>
      </c>
      <c r="E24" s="1">
        <f t="shared" ca="1" si="4"/>
        <v>45538</v>
      </c>
      <c r="F24" t="str">
        <f t="shared" ca="1" si="5"/>
        <v>Stroke</v>
      </c>
      <c r="G24" t="str">
        <f t="shared" ca="1" si="6"/>
        <v>Medication</v>
      </c>
      <c r="H24">
        <f t="shared" ca="1" si="7"/>
        <v>8</v>
      </c>
      <c r="I24" t="str">
        <f t="shared" ca="1" si="8"/>
        <v>No</v>
      </c>
      <c r="J24">
        <f t="shared" ca="1" si="9"/>
        <v>1</v>
      </c>
      <c r="K24" t="str">
        <f t="shared" ca="1" si="10"/>
        <v>Private</v>
      </c>
      <c r="L24" t="str">
        <f t="shared" ca="1" si="11"/>
        <v>Neurology</v>
      </c>
    </row>
    <row r="25" spans="1:12" x14ac:dyDescent="0.25">
      <c r="A25">
        <f t="shared" si="0"/>
        <v>24</v>
      </c>
      <c r="B25">
        <f t="shared" ca="1" si="1"/>
        <v>53</v>
      </c>
      <c r="C25" t="str">
        <f t="shared" ca="1" si="2"/>
        <v>Female</v>
      </c>
      <c r="D25" s="1">
        <f t="shared" ca="1" si="3"/>
        <v>45558</v>
      </c>
      <c r="E25" s="1">
        <f t="shared" ca="1" si="4"/>
        <v>45566</v>
      </c>
      <c r="F25" t="str">
        <f t="shared" ca="1" si="5"/>
        <v>Diabetes</v>
      </c>
      <c r="G25" t="str">
        <f t="shared" ca="1" si="6"/>
        <v>Therapy</v>
      </c>
      <c r="H25">
        <f t="shared" ca="1" si="7"/>
        <v>8</v>
      </c>
      <c r="I25" t="str">
        <f t="shared" ca="1" si="8"/>
        <v>No</v>
      </c>
      <c r="J25">
        <f t="shared" ca="1" si="9"/>
        <v>0</v>
      </c>
      <c r="K25" t="str">
        <f t="shared" ca="1" si="10"/>
        <v>Public</v>
      </c>
      <c r="L25" t="str">
        <f t="shared" ca="1" si="11"/>
        <v>Neurology</v>
      </c>
    </row>
    <row r="26" spans="1:12" x14ac:dyDescent="0.25">
      <c r="A26">
        <f t="shared" si="0"/>
        <v>25</v>
      </c>
      <c r="B26">
        <f t="shared" ca="1" si="1"/>
        <v>86</v>
      </c>
      <c r="C26" t="str">
        <f t="shared" ca="1" si="2"/>
        <v>Male</v>
      </c>
      <c r="D26" s="1">
        <f t="shared" ca="1" si="3"/>
        <v>45412</v>
      </c>
      <c r="E26" s="1">
        <f t="shared" ca="1" si="4"/>
        <v>45416</v>
      </c>
      <c r="F26" t="str">
        <f t="shared" ca="1" si="5"/>
        <v>Pneumonia</v>
      </c>
      <c r="G26" t="str">
        <f t="shared" ca="1" si="6"/>
        <v>Therapy</v>
      </c>
      <c r="H26">
        <f t="shared" ca="1" si="7"/>
        <v>4</v>
      </c>
      <c r="I26" t="str">
        <f t="shared" ca="1" si="8"/>
        <v>No</v>
      </c>
      <c r="J26">
        <f t="shared" ca="1" si="9"/>
        <v>1</v>
      </c>
      <c r="K26" t="str">
        <f t="shared" ca="1" si="10"/>
        <v>Private</v>
      </c>
      <c r="L26" t="str">
        <f t="shared" ca="1" si="11"/>
        <v>ICU</v>
      </c>
    </row>
    <row r="27" spans="1:12" x14ac:dyDescent="0.25">
      <c r="A27">
        <f t="shared" si="0"/>
        <v>26</v>
      </c>
      <c r="B27">
        <f t="shared" ca="1" si="1"/>
        <v>46</v>
      </c>
      <c r="C27" t="str">
        <f t="shared" ca="1" si="2"/>
        <v>Male</v>
      </c>
      <c r="D27" s="1">
        <f t="shared" ca="1" si="3"/>
        <v>45496</v>
      </c>
      <c r="E27" s="1">
        <f t="shared" ca="1" si="4"/>
        <v>45498</v>
      </c>
      <c r="F27" t="str">
        <f t="shared" ca="1" si="5"/>
        <v>Heart Failure</v>
      </c>
      <c r="G27" t="str">
        <f t="shared" ca="1" si="6"/>
        <v>Surgery</v>
      </c>
      <c r="H27">
        <f t="shared" ca="1" si="7"/>
        <v>2</v>
      </c>
      <c r="I27" t="str">
        <f t="shared" ca="1" si="8"/>
        <v>Yes</v>
      </c>
      <c r="J27">
        <f t="shared" ca="1" si="9"/>
        <v>3</v>
      </c>
      <c r="K27" t="str">
        <f t="shared" ca="1" si="10"/>
        <v>Private</v>
      </c>
      <c r="L27" t="str">
        <f t="shared" ca="1" si="11"/>
        <v>ER</v>
      </c>
    </row>
    <row r="28" spans="1:12" x14ac:dyDescent="0.25">
      <c r="A28">
        <f t="shared" si="0"/>
        <v>27</v>
      </c>
      <c r="B28">
        <f t="shared" ca="1" si="1"/>
        <v>60</v>
      </c>
      <c r="C28" t="str">
        <f t="shared" ca="1" si="2"/>
        <v>Male</v>
      </c>
      <c r="D28" s="1">
        <f t="shared" ca="1" si="3"/>
        <v>45573</v>
      </c>
      <c r="E28" s="1">
        <f t="shared" ca="1" si="4"/>
        <v>45588</v>
      </c>
      <c r="F28" t="str">
        <f t="shared" ca="1" si="5"/>
        <v>Stroke</v>
      </c>
      <c r="G28" t="str">
        <f t="shared" ca="1" si="6"/>
        <v>Medication</v>
      </c>
      <c r="H28">
        <f t="shared" ca="1" si="7"/>
        <v>15</v>
      </c>
      <c r="I28" t="str">
        <f t="shared" ca="1" si="8"/>
        <v>No</v>
      </c>
      <c r="J28">
        <f t="shared" ca="1" si="9"/>
        <v>0</v>
      </c>
      <c r="K28" t="str">
        <f t="shared" ca="1" si="10"/>
        <v>Private</v>
      </c>
      <c r="L28" t="str">
        <f t="shared" ca="1" si="11"/>
        <v>ICU</v>
      </c>
    </row>
    <row r="29" spans="1:12" x14ac:dyDescent="0.25">
      <c r="A29">
        <f t="shared" si="0"/>
        <v>28</v>
      </c>
      <c r="B29">
        <f t="shared" ca="1" si="1"/>
        <v>20</v>
      </c>
      <c r="C29" t="str">
        <f t="shared" ca="1" si="2"/>
        <v>Female</v>
      </c>
      <c r="D29" s="1">
        <f t="shared" ca="1" si="3"/>
        <v>45647</v>
      </c>
      <c r="E29" s="1">
        <f t="shared" ca="1" si="4"/>
        <v>45654</v>
      </c>
      <c r="F29" t="str">
        <f t="shared" ca="1" si="5"/>
        <v>Stroke</v>
      </c>
      <c r="G29" t="str">
        <f t="shared" ca="1" si="6"/>
        <v>Therapy</v>
      </c>
      <c r="H29">
        <f t="shared" ca="1" si="7"/>
        <v>7</v>
      </c>
      <c r="I29" t="str">
        <f t="shared" ca="1" si="8"/>
        <v>No</v>
      </c>
      <c r="J29">
        <f t="shared" ca="1" si="9"/>
        <v>1</v>
      </c>
      <c r="K29" t="str">
        <f t="shared" ca="1" si="10"/>
        <v>Private</v>
      </c>
      <c r="L29" t="str">
        <f t="shared" ca="1" si="11"/>
        <v>Neurology</v>
      </c>
    </row>
    <row r="30" spans="1:12" x14ac:dyDescent="0.25">
      <c r="A30">
        <f t="shared" si="0"/>
        <v>29</v>
      </c>
      <c r="B30">
        <f t="shared" ca="1" si="1"/>
        <v>72</v>
      </c>
      <c r="C30" t="str">
        <f t="shared" ca="1" si="2"/>
        <v>Male</v>
      </c>
      <c r="D30" s="1">
        <f t="shared" ca="1" si="3"/>
        <v>45335</v>
      </c>
      <c r="E30" s="1">
        <f t="shared" ca="1" si="4"/>
        <v>45339</v>
      </c>
      <c r="F30" t="str">
        <f t="shared" ca="1" si="5"/>
        <v>Heart Failure</v>
      </c>
      <c r="G30" t="str">
        <f t="shared" ca="1" si="6"/>
        <v>Therapy</v>
      </c>
      <c r="H30">
        <f t="shared" ca="1" si="7"/>
        <v>4</v>
      </c>
      <c r="I30" t="str">
        <f t="shared" ca="1" si="8"/>
        <v>No</v>
      </c>
      <c r="J30">
        <f t="shared" ca="1" si="9"/>
        <v>4</v>
      </c>
      <c r="K30" t="str">
        <f t="shared" ca="1" si="10"/>
        <v>Public</v>
      </c>
      <c r="L30" t="str">
        <f t="shared" ca="1" si="11"/>
        <v>Cardiology</v>
      </c>
    </row>
    <row r="31" spans="1:12" x14ac:dyDescent="0.25">
      <c r="A31">
        <f t="shared" si="0"/>
        <v>30</v>
      </c>
      <c r="B31">
        <f t="shared" ca="1" si="1"/>
        <v>42</v>
      </c>
      <c r="C31" t="str">
        <f t="shared" ca="1" si="2"/>
        <v>Female</v>
      </c>
      <c r="D31" s="1">
        <f t="shared" ca="1" si="3"/>
        <v>45430</v>
      </c>
      <c r="E31" s="1">
        <f t="shared" ca="1" si="4"/>
        <v>45438</v>
      </c>
      <c r="F31" t="str">
        <f t="shared" ca="1" si="5"/>
        <v>Pneumonia</v>
      </c>
      <c r="G31" t="str">
        <f t="shared" ca="1" si="6"/>
        <v>Surgery</v>
      </c>
      <c r="H31">
        <f t="shared" ca="1" si="7"/>
        <v>8</v>
      </c>
      <c r="I31" t="str">
        <f t="shared" ca="1" si="8"/>
        <v>Yes</v>
      </c>
      <c r="J31">
        <f t="shared" ca="1" si="9"/>
        <v>2</v>
      </c>
      <c r="K31" t="str">
        <f t="shared" ca="1" si="10"/>
        <v>Public</v>
      </c>
      <c r="L31" t="str">
        <f t="shared" ca="1" si="11"/>
        <v>Neurology</v>
      </c>
    </row>
    <row r="32" spans="1:12" x14ac:dyDescent="0.25">
      <c r="A32">
        <f t="shared" si="0"/>
        <v>31</v>
      </c>
      <c r="B32">
        <f t="shared" ca="1" si="1"/>
        <v>68</v>
      </c>
      <c r="C32" t="str">
        <f t="shared" ca="1" si="2"/>
        <v>Female</v>
      </c>
      <c r="D32" s="1">
        <f t="shared" ca="1" si="3"/>
        <v>45652</v>
      </c>
      <c r="E32" s="1">
        <f t="shared" ca="1" si="4"/>
        <v>45661</v>
      </c>
      <c r="F32" t="str">
        <f t="shared" ca="1" si="5"/>
        <v>Pneumonia</v>
      </c>
      <c r="G32" t="str">
        <f t="shared" ca="1" si="6"/>
        <v>Medication</v>
      </c>
      <c r="H32">
        <f t="shared" ca="1" si="7"/>
        <v>9</v>
      </c>
      <c r="I32" t="str">
        <f t="shared" ca="1" si="8"/>
        <v>No</v>
      </c>
      <c r="J32">
        <f t="shared" ca="1" si="9"/>
        <v>1</v>
      </c>
      <c r="K32" t="str">
        <f t="shared" ca="1" si="10"/>
        <v>Private</v>
      </c>
      <c r="L32" t="str">
        <f t="shared" ca="1" si="11"/>
        <v>Neurology</v>
      </c>
    </row>
    <row r="33" spans="1:12" x14ac:dyDescent="0.25">
      <c r="A33">
        <f t="shared" si="0"/>
        <v>32</v>
      </c>
      <c r="B33">
        <f t="shared" ca="1" si="1"/>
        <v>61</v>
      </c>
      <c r="C33" t="str">
        <f t="shared" ca="1" si="2"/>
        <v>Female</v>
      </c>
      <c r="D33" s="1">
        <f t="shared" ca="1" si="3"/>
        <v>45503</v>
      </c>
      <c r="E33" s="1">
        <f t="shared" ca="1" si="4"/>
        <v>45518</v>
      </c>
      <c r="F33" t="str">
        <f t="shared" ca="1" si="5"/>
        <v>Diabetes</v>
      </c>
      <c r="G33" t="str">
        <f t="shared" ca="1" si="6"/>
        <v>Surgery</v>
      </c>
      <c r="H33">
        <f t="shared" ca="1" si="7"/>
        <v>15</v>
      </c>
      <c r="I33" t="str">
        <f t="shared" ca="1" si="8"/>
        <v>No</v>
      </c>
      <c r="J33">
        <f t="shared" ca="1" si="9"/>
        <v>0</v>
      </c>
      <c r="K33" t="str">
        <f t="shared" ca="1" si="10"/>
        <v>Public</v>
      </c>
      <c r="L33" t="str">
        <f t="shared" ca="1" si="11"/>
        <v>ER</v>
      </c>
    </row>
    <row r="34" spans="1:12" x14ac:dyDescent="0.25">
      <c r="A34">
        <f t="shared" si="0"/>
        <v>33</v>
      </c>
      <c r="B34">
        <f t="shared" ca="1" si="1"/>
        <v>53</v>
      </c>
      <c r="C34" t="str">
        <f t="shared" ca="1" si="2"/>
        <v>Female</v>
      </c>
      <c r="D34" s="1">
        <f t="shared" ca="1" si="3"/>
        <v>45390</v>
      </c>
      <c r="E34" s="1">
        <f t="shared" ca="1" si="4"/>
        <v>45395</v>
      </c>
      <c r="F34" t="str">
        <f t="shared" ca="1" si="5"/>
        <v>Pneumonia</v>
      </c>
      <c r="G34" t="str">
        <f t="shared" ca="1" si="6"/>
        <v>Therapy</v>
      </c>
      <c r="H34">
        <f t="shared" ca="1" si="7"/>
        <v>5</v>
      </c>
      <c r="I34" t="str">
        <f t="shared" ca="1" si="8"/>
        <v>No</v>
      </c>
      <c r="J34">
        <f t="shared" ca="1" si="9"/>
        <v>0</v>
      </c>
      <c r="K34" t="str">
        <f t="shared" ca="1" si="10"/>
        <v>None</v>
      </c>
      <c r="L34" t="str">
        <f t="shared" ca="1" si="11"/>
        <v>Cardiology</v>
      </c>
    </row>
    <row r="35" spans="1:12" x14ac:dyDescent="0.25">
      <c r="A35">
        <f t="shared" si="0"/>
        <v>34</v>
      </c>
      <c r="B35">
        <f t="shared" ca="1" si="1"/>
        <v>32</v>
      </c>
      <c r="C35" t="str">
        <f t="shared" ca="1" si="2"/>
        <v>Male</v>
      </c>
      <c r="D35" s="1">
        <f t="shared" ca="1" si="3"/>
        <v>45378</v>
      </c>
      <c r="E35" s="1">
        <f t="shared" ca="1" si="4"/>
        <v>45387</v>
      </c>
      <c r="F35" t="str">
        <f t="shared" ca="1" si="5"/>
        <v>Hypertension</v>
      </c>
      <c r="G35" t="str">
        <f t="shared" ca="1" si="6"/>
        <v>Medication</v>
      </c>
      <c r="H35">
        <f t="shared" ca="1" si="7"/>
        <v>9</v>
      </c>
      <c r="I35" t="str">
        <f t="shared" ca="1" si="8"/>
        <v>Yes</v>
      </c>
      <c r="J35">
        <f t="shared" ca="1" si="9"/>
        <v>2</v>
      </c>
      <c r="K35" t="str">
        <f t="shared" ca="1" si="10"/>
        <v>None</v>
      </c>
      <c r="L35" t="str">
        <f t="shared" ca="1" si="11"/>
        <v>Cardiology</v>
      </c>
    </row>
    <row r="36" spans="1:12" x14ac:dyDescent="0.25">
      <c r="A36">
        <f t="shared" si="0"/>
        <v>35</v>
      </c>
      <c r="B36">
        <f t="shared" ca="1" si="1"/>
        <v>34</v>
      </c>
      <c r="C36" t="str">
        <f t="shared" ca="1" si="2"/>
        <v>Male</v>
      </c>
      <c r="D36" s="1">
        <f t="shared" ca="1" si="3"/>
        <v>45526</v>
      </c>
      <c r="E36" s="1">
        <f t="shared" ca="1" si="4"/>
        <v>45538</v>
      </c>
      <c r="F36" t="str">
        <f t="shared" ca="1" si="5"/>
        <v>Stroke</v>
      </c>
      <c r="G36" t="str">
        <f t="shared" ca="1" si="6"/>
        <v>Medication</v>
      </c>
      <c r="H36">
        <f t="shared" ca="1" si="7"/>
        <v>12</v>
      </c>
      <c r="I36" t="str">
        <f t="shared" ca="1" si="8"/>
        <v>Yes</v>
      </c>
      <c r="J36">
        <f t="shared" ca="1" si="9"/>
        <v>3</v>
      </c>
      <c r="K36" t="str">
        <f t="shared" ca="1" si="10"/>
        <v>Private</v>
      </c>
      <c r="L36" t="str">
        <f t="shared" ca="1" si="11"/>
        <v>ER</v>
      </c>
    </row>
    <row r="37" spans="1:12" x14ac:dyDescent="0.25">
      <c r="A37">
        <f t="shared" si="0"/>
        <v>36</v>
      </c>
      <c r="B37">
        <f t="shared" ca="1" si="1"/>
        <v>90</v>
      </c>
      <c r="C37" t="str">
        <f t="shared" ca="1" si="2"/>
        <v>Male</v>
      </c>
      <c r="D37" s="1">
        <f t="shared" ca="1" si="3"/>
        <v>45444</v>
      </c>
      <c r="E37" s="1">
        <f t="shared" ca="1" si="4"/>
        <v>45451</v>
      </c>
      <c r="F37" t="str">
        <f t="shared" ca="1" si="5"/>
        <v>Hypertension</v>
      </c>
      <c r="G37" t="str">
        <f t="shared" ca="1" si="6"/>
        <v>Surgery</v>
      </c>
      <c r="H37">
        <f t="shared" ca="1" si="7"/>
        <v>7</v>
      </c>
      <c r="I37" t="str">
        <f t="shared" ca="1" si="8"/>
        <v>Yes</v>
      </c>
      <c r="J37">
        <f t="shared" ca="1" si="9"/>
        <v>3</v>
      </c>
      <c r="K37" t="str">
        <f t="shared" ca="1" si="10"/>
        <v>Private</v>
      </c>
      <c r="L37" t="str">
        <f t="shared" ca="1" si="11"/>
        <v>Cardiology</v>
      </c>
    </row>
    <row r="38" spans="1:12" x14ac:dyDescent="0.25">
      <c r="A38">
        <f t="shared" si="0"/>
        <v>37</v>
      </c>
      <c r="B38">
        <f t="shared" ca="1" si="1"/>
        <v>64</v>
      </c>
      <c r="C38" t="str">
        <f t="shared" ca="1" si="2"/>
        <v>Male</v>
      </c>
      <c r="D38" s="1">
        <f t="shared" ca="1" si="3"/>
        <v>45534</v>
      </c>
      <c r="E38" s="1">
        <f t="shared" ca="1" si="4"/>
        <v>45543</v>
      </c>
      <c r="F38" t="str">
        <f t="shared" ca="1" si="5"/>
        <v>Stroke</v>
      </c>
      <c r="G38" t="str">
        <f t="shared" ca="1" si="6"/>
        <v>Therapy</v>
      </c>
      <c r="H38">
        <f t="shared" ca="1" si="7"/>
        <v>9</v>
      </c>
      <c r="I38" t="str">
        <f t="shared" ca="1" si="8"/>
        <v>Yes</v>
      </c>
      <c r="J38">
        <f t="shared" ca="1" si="9"/>
        <v>2</v>
      </c>
      <c r="K38" t="str">
        <f t="shared" ca="1" si="10"/>
        <v>Public</v>
      </c>
      <c r="L38" t="str">
        <f t="shared" ca="1" si="11"/>
        <v>ICU</v>
      </c>
    </row>
    <row r="39" spans="1:12" x14ac:dyDescent="0.25">
      <c r="A39">
        <f t="shared" si="0"/>
        <v>38</v>
      </c>
      <c r="B39">
        <f t="shared" ca="1" si="1"/>
        <v>25</v>
      </c>
      <c r="C39" t="str">
        <f t="shared" ca="1" si="2"/>
        <v>Female</v>
      </c>
      <c r="D39" s="1">
        <f t="shared" ca="1" si="3"/>
        <v>45653</v>
      </c>
      <c r="E39" s="1">
        <f t="shared" ca="1" si="4"/>
        <v>45665</v>
      </c>
      <c r="F39" t="str">
        <f t="shared" ca="1" si="5"/>
        <v>Diabetes</v>
      </c>
      <c r="G39" t="str">
        <f t="shared" ca="1" si="6"/>
        <v>Surgery</v>
      </c>
      <c r="H39">
        <f t="shared" ca="1" si="7"/>
        <v>12</v>
      </c>
      <c r="I39" t="str">
        <f t="shared" ca="1" si="8"/>
        <v>No</v>
      </c>
      <c r="J39">
        <f t="shared" ca="1" si="9"/>
        <v>3</v>
      </c>
      <c r="K39" t="str">
        <f t="shared" ca="1" si="10"/>
        <v>None</v>
      </c>
      <c r="L39" t="str">
        <f t="shared" ca="1" si="11"/>
        <v>Cardiology</v>
      </c>
    </row>
    <row r="40" spans="1:12" x14ac:dyDescent="0.25">
      <c r="A40">
        <f t="shared" si="0"/>
        <v>39</v>
      </c>
      <c r="B40">
        <f t="shared" ca="1" si="1"/>
        <v>42</v>
      </c>
      <c r="C40" t="str">
        <f t="shared" ca="1" si="2"/>
        <v>Male</v>
      </c>
      <c r="D40" s="1">
        <f t="shared" ca="1" si="3"/>
        <v>45320</v>
      </c>
      <c r="E40" s="1">
        <f t="shared" ca="1" si="4"/>
        <v>45332</v>
      </c>
      <c r="F40" t="str">
        <f t="shared" ca="1" si="5"/>
        <v>Stroke</v>
      </c>
      <c r="G40" t="str">
        <f t="shared" ca="1" si="6"/>
        <v>Therapy</v>
      </c>
      <c r="H40">
        <f t="shared" ca="1" si="7"/>
        <v>12</v>
      </c>
      <c r="I40" t="str">
        <f t="shared" ca="1" si="8"/>
        <v>No</v>
      </c>
      <c r="J40">
        <f t="shared" ca="1" si="9"/>
        <v>1</v>
      </c>
      <c r="K40" t="str">
        <f t="shared" ca="1" si="10"/>
        <v>None</v>
      </c>
      <c r="L40" t="str">
        <f t="shared" ca="1" si="11"/>
        <v>General</v>
      </c>
    </row>
    <row r="41" spans="1:12" x14ac:dyDescent="0.25">
      <c r="A41">
        <f t="shared" si="0"/>
        <v>40</v>
      </c>
      <c r="B41">
        <f t="shared" ca="1" si="1"/>
        <v>21</v>
      </c>
      <c r="C41" t="str">
        <f t="shared" ca="1" si="2"/>
        <v>Female</v>
      </c>
      <c r="D41" s="1">
        <f t="shared" ca="1" si="3"/>
        <v>45579</v>
      </c>
      <c r="E41" s="1">
        <f t="shared" ca="1" si="4"/>
        <v>45586</v>
      </c>
      <c r="F41" t="str">
        <f t="shared" ca="1" si="5"/>
        <v>Hypertension</v>
      </c>
      <c r="G41" t="str">
        <f t="shared" ca="1" si="6"/>
        <v>Surgery</v>
      </c>
      <c r="H41">
        <f t="shared" ca="1" si="7"/>
        <v>7</v>
      </c>
      <c r="I41" t="str">
        <f t="shared" ca="1" si="8"/>
        <v>No</v>
      </c>
      <c r="J41">
        <f t="shared" ca="1" si="9"/>
        <v>0</v>
      </c>
      <c r="K41" t="str">
        <f t="shared" ca="1" si="10"/>
        <v>Private</v>
      </c>
      <c r="L41" t="str">
        <f t="shared" ca="1" si="11"/>
        <v>Neurology</v>
      </c>
    </row>
    <row r="42" spans="1:12" x14ac:dyDescent="0.25">
      <c r="A42">
        <f t="shared" si="0"/>
        <v>41</v>
      </c>
      <c r="B42">
        <f t="shared" ca="1" si="1"/>
        <v>45</v>
      </c>
      <c r="C42" t="str">
        <f t="shared" ca="1" si="2"/>
        <v>Female</v>
      </c>
      <c r="D42" s="1">
        <f t="shared" ca="1" si="3"/>
        <v>45384</v>
      </c>
      <c r="E42" s="1">
        <f t="shared" ca="1" si="4"/>
        <v>45386</v>
      </c>
      <c r="F42" t="str">
        <f t="shared" ca="1" si="5"/>
        <v>Stroke</v>
      </c>
      <c r="G42" t="str">
        <f t="shared" ca="1" si="6"/>
        <v>Surgery</v>
      </c>
      <c r="H42">
        <f t="shared" ca="1" si="7"/>
        <v>2</v>
      </c>
      <c r="I42" t="str">
        <f t="shared" ca="1" si="8"/>
        <v>No</v>
      </c>
      <c r="J42">
        <f t="shared" ca="1" si="9"/>
        <v>0</v>
      </c>
      <c r="K42" t="str">
        <f t="shared" ca="1" si="10"/>
        <v>None</v>
      </c>
      <c r="L42" t="str">
        <f t="shared" ca="1" si="11"/>
        <v>ICU</v>
      </c>
    </row>
    <row r="43" spans="1:12" x14ac:dyDescent="0.25">
      <c r="A43">
        <f t="shared" si="0"/>
        <v>42</v>
      </c>
      <c r="B43">
        <f t="shared" ca="1" si="1"/>
        <v>38</v>
      </c>
      <c r="C43" t="str">
        <f t="shared" ca="1" si="2"/>
        <v>Male</v>
      </c>
      <c r="D43" s="1">
        <f t="shared" ca="1" si="3"/>
        <v>45473</v>
      </c>
      <c r="E43" s="1">
        <f t="shared" ca="1" si="4"/>
        <v>45478</v>
      </c>
      <c r="F43" t="str">
        <f t="shared" ca="1" si="5"/>
        <v>Pneumonia</v>
      </c>
      <c r="G43" t="str">
        <f t="shared" ca="1" si="6"/>
        <v>Medication</v>
      </c>
      <c r="H43">
        <f t="shared" ca="1" si="7"/>
        <v>5</v>
      </c>
      <c r="I43" t="str">
        <f t="shared" ca="1" si="8"/>
        <v>No</v>
      </c>
      <c r="J43">
        <f t="shared" ca="1" si="9"/>
        <v>2</v>
      </c>
      <c r="K43" t="str">
        <f t="shared" ca="1" si="10"/>
        <v>None</v>
      </c>
      <c r="L43" t="str">
        <f t="shared" ca="1" si="11"/>
        <v>Neurology</v>
      </c>
    </row>
    <row r="44" spans="1:12" x14ac:dyDescent="0.25">
      <c r="A44">
        <f t="shared" si="0"/>
        <v>43</v>
      </c>
      <c r="B44">
        <f t="shared" ca="1" si="1"/>
        <v>58</v>
      </c>
      <c r="C44" t="str">
        <f t="shared" ca="1" si="2"/>
        <v>Male</v>
      </c>
      <c r="D44" s="1">
        <f t="shared" ca="1" si="3"/>
        <v>45588</v>
      </c>
      <c r="E44" s="1">
        <f t="shared" ca="1" si="4"/>
        <v>45595</v>
      </c>
      <c r="F44" t="str">
        <f t="shared" ca="1" si="5"/>
        <v>Diabetes</v>
      </c>
      <c r="G44" t="str">
        <f t="shared" ca="1" si="6"/>
        <v>Surgery</v>
      </c>
      <c r="H44">
        <f t="shared" ca="1" si="7"/>
        <v>7</v>
      </c>
      <c r="I44" t="str">
        <f t="shared" ca="1" si="8"/>
        <v>Yes</v>
      </c>
      <c r="J44">
        <f t="shared" ca="1" si="9"/>
        <v>2</v>
      </c>
      <c r="K44" t="str">
        <f t="shared" ca="1" si="10"/>
        <v>Private</v>
      </c>
      <c r="L44" t="str">
        <f t="shared" ca="1" si="11"/>
        <v>ICU</v>
      </c>
    </row>
    <row r="45" spans="1:12" x14ac:dyDescent="0.25">
      <c r="A45">
        <f t="shared" si="0"/>
        <v>44</v>
      </c>
      <c r="B45">
        <f t="shared" ca="1" si="1"/>
        <v>20</v>
      </c>
      <c r="C45" t="str">
        <f t="shared" ca="1" si="2"/>
        <v>Male</v>
      </c>
      <c r="D45" s="1">
        <f t="shared" ca="1" si="3"/>
        <v>45528</v>
      </c>
      <c r="E45" s="1">
        <f t="shared" ca="1" si="4"/>
        <v>45538</v>
      </c>
      <c r="F45" t="str">
        <f t="shared" ca="1" si="5"/>
        <v>Diabetes</v>
      </c>
      <c r="G45" t="str">
        <f t="shared" ca="1" si="6"/>
        <v>Therapy</v>
      </c>
      <c r="H45">
        <f t="shared" ca="1" si="7"/>
        <v>10</v>
      </c>
      <c r="I45" t="str">
        <f t="shared" ca="1" si="8"/>
        <v>Yes</v>
      </c>
      <c r="J45">
        <f t="shared" ca="1" si="9"/>
        <v>2</v>
      </c>
      <c r="K45" t="str">
        <f t="shared" ca="1" si="10"/>
        <v>Private</v>
      </c>
      <c r="L45" t="str">
        <f t="shared" ca="1" si="11"/>
        <v>General</v>
      </c>
    </row>
    <row r="46" spans="1:12" x14ac:dyDescent="0.25">
      <c r="A46">
        <f t="shared" si="0"/>
        <v>45</v>
      </c>
      <c r="B46">
        <f t="shared" ca="1" si="1"/>
        <v>84</v>
      </c>
      <c r="C46" t="str">
        <f t="shared" ca="1" si="2"/>
        <v>Male</v>
      </c>
      <c r="D46" s="1">
        <f t="shared" ca="1" si="3"/>
        <v>45294</v>
      </c>
      <c r="E46" s="1">
        <f t="shared" ca="1" si="4"/>
        <v>45300</v>
      </c>
      <c r="F46" t="str">
        <f t="shared" ca="1" si="5"/>
        <v>Pneumonia</v>
      </c>
      <c r="G46" t="str">
        <f t="shared" ca="1" si="6"/>
        <v>Therapy</v>
      </c>
      <c r="H46">
        <f t="shared" ca="1" si="7"/>
        <v>6</v>
      </c>
      <c r="I46" t="str">
        <f t="shared" ca="1" si="8"/>
        <v>No</v>
      </c>
      <c r="J46">
        <f t="shared" ca="1" si="9"/>
        <v>1</v>
      </c>
      <c r="K46" t="str">
        <f t="shared" ca="1" si="10"/>
        <v>Public</v>
      </c>
      <c r="L46" t="str">
        <f t="shared" ca="1" si="11"/>
        <v>General</v>
      </c>
    </row>
    <row r="47" spans="1:12" x14ac:dyDescent="0.25">
      <c r="A47">
        <f t="shared" si="0"/>
        <v>46</v>
      </c>
      <c r="B47">
        <f t="shared" ca="1" si="1"/>
        <v>81</v>
      </c>
      <c r="C47" t="str">
        <f t="shared" ca="1" si="2"/>
        <v>Female</v>
      </c>
      <c r="D47" s="1">
        <f t="shared" ca="1" si="3"/>
        <v>45325</v>
      </c>
      <c r="E47" s="1">
        <f t="shared" ca="1" si="4"/>
        <v>45337</v>
      </c>
      <c r="F47" t="str">
        <f t="shared" ca="1" si="5"/>
        <v>Diabetes</v>
      </c>
      <c r="G47" t="str">
        <f t="shared" ca="1" si="6"/>
        <v>Therapy</v>
      </c>
      <c r="H47">
        <f t="shared" ca="1" si="7"/>
        <v>12</v>
      </c>
      <c r="I47" t="str">
        <f t="shared" ca="1" si="8"/>
        <v>No</v>
      </c>
      <c r="J47">
        <f t="shared" ca="1" si="9"/>
        <v>1</v>
      </c>
      <c r="K47" t="str">
        <f t="shared" ca="1" si="10"/>
        <v>None</v>
      </c>
      <c r="L47" t="str">
        <f t="shared" ca="1" si="11"/>
        <v>Neurology</v>
      </c>
    </row>
    <row r="48" spans="1:12" x14ac:dyDescent="0.25">
      <c r="A48">
        <f t="shared" si="0"/>
        <v>47</v>
      </c>
      <c r="B48">
        <f t="shared" ca="1" si="1"/>
        <v>32</v>
      </c>
      <c r="C48" t="str">
        <f t="shared" ca="1" si="2"/>
        <v>Female</v>
      </c>
      <c r="D48" s="1">
        <f t="shared" ca="1" si="3"/>
        <v>45581</v>
      </c>
      <c r="E48" s="1">
        <f t="shared" ca="1" si="4"/>
        <v>45596</v>
      </c>
      <c r="F48" t="str">
        <f t="shared" ca="1" si="5"/>
        <v>Heart Failure</v>
      </c>
      <c r="G48" t="str">
        <f t="shared" ca="1" si="6"/>
        <v>Therapy</v>
      </c>
      <c r="H48">
        <f t="shared" ca="1" si="7"/>
        <v>15</v>
      </c>
      <c r="I48" t="str">
        <f t="shared" ca="1" si="8"/>
        <v>Yes</v>
      </c>
      <c r="J48">
        <f t="shared" ca="1" si="9"/>
        <v>2</v>
      </c>
      <c r="K48" t="str">
        <f t="shared" ca="1" si="10"/>
        <v>None</v>
      </c>
      <c r="L48" t="str">
        <f t="shared" ca="1" si="11"/>
        <v>Cardiology</v>
      </c>
    </row>
    <row r="49" spans="1:12" x14ac:dyDescent="0.25">
      <c r="A49">
        <f t="shared" si="0"/>
        <v>48</v>
      </c>
      <c r="B49">
        <f t="shared" ca="1" si="1"/>
        <v>81</v>
      </c>
      <c r="C49" t="str">
        <f t="shared" ca="1" si="2"/>
        <v>Male</v>
      </c>
      <c r="D49" s="1">
        <f t="shared" ca="1" si="3"/>
        <v>45650</v>
      </c>
      <c r="E49" s="1">
        <f t="shared" ca="1" si="4"/>
        <v>45653</v>
      </c>
      <c r="F49" t="str">
        <f t="shared" ca="1" si="5"/>
        <v>Heart Failure</v>
      </c>
      <c r="G49" t="str">
        <f t="shared" ca="1" si="6"/>
        <v>Therapy</v>
      </c>
      <c r="H49">
        <f t="shared" ca="1" si="7"/>
        <v>3</v>
      </c>
      <c r="I49" t="str">
        <f t="shared" ca="1" si="8"/>
        <v>No</v>
      </c>
      <c r="J49">
        <f t="shared" ca="1" si="9"/>
        <v>3</v>
      </c>
      <c r="K49" t="str">
        <f t="shared" ca="1" si="10"/>
        <v>None</v>
      </c>
      <c r="L49" t="str">
        <f t="shared" ca="1" si="11"/>
        <v>General</v>
      </c>
    </row>
    <row r="50" spans="1:12" x14ac:dyDescent="0.25">
      <c r="A50">
        <f t="shared" si="0"/>
        <v>49</v>
      </c>
      <c r="B50">
        <f t="shared" ca="1" si="1"/>
        <v>25</v>
      </c>
      <c r="C50" t="str">
        <f t="shared" ca="1" si="2"/>
        <v>Female</v>
      </c>
      <c r="D50" s="1">
        <f t="shared" ca="1" si="3"/>
        <v>45526</v>
      </c>
      <c r="E50" s="1">
        <f t="shared" ca="1" si="4"/>
        <v>45535</v>
      </c>
      <c r="F50" t="str">
        <f t="shared" ca="1" si="5"/>
        <v>Stroke</v>
      </c>
      <c r="G50" t="str">
        <f t="shared" ca="1" si="6"/>
        <v>Surgery</v>
      </c>
      <c r="H50">
        <f t="shared" ca="1" si="7"/>
        <v>9</v>
      </c>
      <c r="I50" t="str">
        <f t="shared" ca="1" si="8"/>
        <v>No</v>
      </c>
      <c r="J50">
        <f t="shared" ca="1" si="9"/>
        <v>4</v>
      </c>
      <c r="K50" t="str">
        <f t="shared" ca="1" si="10"/>
        <v>Public</v>
      </c>
      <c r="L50" t="str">
        <f t="shared" ca="1" si="11"/>
        <v>Neurology</v>
      </c>
    </row>
    <row r="51" spans="1:12" x14ac:dyDescent="0.25">
      <c r="A51">
        <f t="shared" si="0"/>
        <v>50</v>
      </c>
      <c r="B51">
        <f t="shared" ca="1" si="1"/>
        <v>57</v>
      </c>
      <c r="C51" t="str">
        <f t="shared" ca="1" si="2"/>
        <v>Female</v>
      </c>
      <c r="D51" s="1">
        <f t="shared" ca="1" si="3"/>
        <v>45545</v>
      </c>
      <c r="E51" s="1">
        <f t="shared" ca="1" si="4"/>
        <v>45560</v>
      </c>
      <c r="F51" t="str">
        <f t="shared" ca="1" si="5"/>
        <v>Heart Failure</v>
      </c>
      <c r="G51" t="str">
        <f t="shared" ca="1" si="6"/>
        <v>Therapy</v>
      </c>
      <c r="H51">
        <f t="shared" ca="1" si="7"/>
        <v>15</v>
      </c>
      <c r="I51" t="str">
        <f t="shared" ca="1" si="8"/>
        <v>No</v>
      </c>
      <c r="J51">
        <f t="shared" ca="1" si="9"/>
        <v>3</v>
      </c>
      <c r="K51" t="str">
        <f t="shared" ca="1" si="10"/>
        <v>Public</v>
      </c>
      <c r="L51" t="str">
        <f t="shared" ca="1" si="11"/>
        <v>ER</v>
      </c>
    </row>
    <row r="52" spans="1:12" x14ac:dyDescent="0.25">
      <c r="A52">
        <f t="shared" si="0"/>
        <v>51</v>
      </c>
      <c r="B52">
        <f t="shared" ca="1" si="1"/>
        <v>20</v>
      </c>
      <c r="C52" t="str">
        <f t="shared" ca="1" si="2"/>
        <v>Female</v>
      </c>
      <c r="D52" s="1">
        <f t="shared" ca="1" si="3"/>
        <v>45381</v>
      </c>
      <c r="E52" s="1">
        <f t="shared" ca="1" si="4"/>
        <v>45386</v>
      </c>
      <c r="F52" t="str">
        <f t="shared" ca="1" si="5"/>
        <v>Diabetes</v>
      </c>
      <c r="G52" t="str">
        <f t="shared" ca="1" si="6"/>
        <v>Therapy</v>
      </c>
      <c r="H52">
        <f t="shared" ca="1" si="7"/>
        <v>5</v>
      </c>
      <c r="I52" t="str">
        <f t="shared" ca="1" si="8"/>
        <v>No</v>
      </c>
      <c r="J52">
        <f t="shared" ca="1" si="9"/>
        <v>1</v>
      </c>
      <c r="K52" t="str">
        <f t="shared" ca="1" si="10"/>
        <v>None</v>
      </c>
      <c r="L52" t="str">
        <f t="shared" ca="1" si="11"/>
        <v>Cardiology</v>
      </c>
    </row>
    <row r="53" spans="1:12" x14ac:dyDescent="0.25">
      <c r="A53">
        <f t="shared" si="0"/>
        <v>52</v>
      </c>
      <c r="B53">
        <f t="shared" ca="1" si="1"/>
        <v>22</v>
      </c>
      <c r="C53" t="str">
        <f t="shared" ca="1" si="2"/>
        <v>Male</v>
      </c>
      <c r="D53" s="1">
        <f t="shared" ca="1" si="3"/>
        <v>45329</v>
      </c>
      <c r="E53" s="1">
        <f t="shared" ca="1" si="4"/>
        <v>45341</v>
      </c>
      <c r="F53" t="str">
        <f t="shared" ca="1" si="5"/>
        <v>Diabetes</v>
      </c>
      <c r="G53" t="str">
        <f t="shared" ca="1" si="6"/>
        <v>Medication</v>
      </c>
      <c r="H53">
        <f t="shared" ca="1" si="7"/>
        <v>12</v>
      </c>
      <c r="I53" t="str">
        <f t="shared" ca="1" si="8"/>
        <v>Yes</v>
      </c>
      <c r="J53">
        <f t="shared" ca="1" si="9"/>
        <v>4</v>
      </c>
      <c r="K53" t="str">
        <f t="shared" ca="1" si="10"/>
        <v>Public</v>
      </c>
      <c r="L53" t="str">
        <f t="shared" ca="1" si="11"/>
        <v>ER</v>
      </c>
    </row>
    <row r="54" spans="1:12" x14ac:dyDescent="0.25">
      <c r="A54">
        <f t="shared" si="0"/>
        <v>53</v>
      </c>
      <c r="B54">
        <f t="shared" ca="1" si="1"/>
        <v>44</v>
      </c>
      <c r="C54" t="str">
        <f t="shared" ca="1" si="2"/>
        <v>Female</v>
      </c>
      <c r="D54" s="1">
        <f t="shared" ca="1" si="3"/>
        <v>45301</v>
      </c>
      <c r="E54" s="1">
        <f t="shared" ca="1" si="4"/>
        <v>45313</v>
      </c>
      <c r="F54" t="str">
        <f t="shared" ca="1" si="5"/>
        <v>Hypertension</v>
      </c>
      <c r="G54" t="str">
        <f t="shared" ca="1" si="6"/>
        <v>Therapy</v>
      </c>
      <c r="H54">
        <f t="shared" ca="1" si="7"/>
        <v>12</v>
      </c>
      <c r="I54" t="str">
        <f t="shared" ca="1" si="8"/>
        <v>No</v>
      </c>
      <c r="J54">
        <f t="shared" ca="1" si="9"/>
        <v>1</v>
      </c>
      <c r="K54" t="str">
        <f t="shared" ca="1" si="10"/>
        <v>Public</v>
      </c>
      <c r="L54" t="str">
        <f t="shared" ca="1" si="11"/>
        <v>ICU</v>
      </c>
    </row>
    <row r="55" spans="1:12" x14ac:dyDescent="0.25">
      <c r="A55">
        <f t="shared" si="0"/>
        <v>54</v>
      </c>
      <c r="B55">
        <f t="shared" ca="1" si="1"/>
        <v>53</v>
      </c>
      <c r="C55" t="str">
        <f t="shared" ca="1" si="2"/>
        <v>Male</v>
      </c>
      <c r="D55" s="1">
        <f t="shared" ca="1" si="3"/>
        <v>45294</v>
      </c>
      <c r="E55" s="1">
        <f t="shared" ca="1" si="4"/>
        <v>45297</v>
      </c>
      <c r="F55" t="str">
        <f t="shared" ca="1" si="5"/>
        <v>Heart Failure</v>
      </c>
      <c r="G55" t="str">
        <f t="shared" ca="1" si="6"/>
        <v>Surgery</v>
      </c>
      <c r="H55">
        <f t="shared" ca="1" si="7"/>
        <v>3</v>
      </c>
      <c r="I55" t="str">
        <f t="shared" ca="1" si="8"/>
        <v>No</v>
      </c>
      <c r="J55">
        <f t="shared" ca="1" si="9"/>
        <v>3</v>
      </c>
      <c r="K55" t="str">
        <f t="shared" ca="1" si="10"/>
        <v>Private</v>
      </c>
      <c r="L55" t="str">
        <f t="shared" ca="1" si="11"/>
        <v>Neurology</v>
      </c>
    </row>
    <row r="56" spans="1:12" x14ac:dyDescent="0.25">
      <c r="A56">
        <f t="shared" si="0"/>
        <v>55</v>
      </c>
      <c r="B56">
        <f t="shared" ca="1" si="1"/>
        <v>64</v>
      </c>
      <c r="C56" t="str">
        <f t="shared" ca="1" si="2"/>
        <v>Female</v>
      </c>
      <c r="D56" s="1">
        <f t="shared" ca="1" si="3"/>
        <v>45430</v>
      </c>
      <c r="E56" s="1">
        <f t="shared" ca="1" si="4"/>
        <v>45437</v>
      </c>
      <c r="F56" t="str">
        <f t="shared" ca="1" si="5"/>
        <v>Heart Failure</v>
      </c>
      <c r="G56" t="str">
        <f t="shared" ca="1" si="6"/>
        <v>Surgery</v>
      </c>
      <c r="H56">
        <f t="shared" ca="1" si="7"/>
        <v>7</v>
      </c>
      <c r="I56" t="str">
        <f t="shared" ca="1" si="8"/>
        <v>No</v>
      </c>
      <c r="J56">
        <f t="shared" ca="1" si="9"/>
        <v>0</v>
      </c>
      <c r="K56" t="str">
        <f t="shared" ca="1" si="10"/>
        <v>None</v>
      </c>
      <c r="L56" t="str">
        <f t="shared" ca="1" si="11"/>
        <v>Neurology</v>
      </c>
    </row>
    <row r="57" spans="1:12" x14ac:dyDescent="0.25">
      <c r="A57">
        <f t="shared" si="0"/>
        <v>56</v>
      </c>
      <c r="B57">
        <f t="shared" ca="1" si="1"/>
        <v>32</v>
      </c>
      <c r="C57" t="str">
        <f t="shared" ca="1" si="2"/>
        <v>Male</v>
      </c>
      <c r="D57" s="1">
        <f t="shared" ca="1" si="3"/>
        <v>45430</v>
      </c>
      <c r="E57" s="1">
        <f t="shared" ca="1" si="4"/>
        <v>45434</v>
      </c>
      <c r="F57" t="str">
        <f t="shared" ca="1" si="5"/>
        <v>Heart Failure</v>
      </c>
      <c r="G57" t="str">
        <f t="shared" ca="1" si="6"/>
        <v>Therapy</v>
      </c>
      <c r="H57">
        <f t="shared" ca="1" si="7"/>
        <v>4</v>
      </c>
      <c r="I57" t="str">
        <f t="shared" ca="1" si="8"/>
        <v>No</v>
      </c>
      <c r="J57">
        <f t="shared" ca="1" si="9"/>
        <v>2</v>
      </c>
      <c r="K57" t="str">
        <f t="shared" ca="1" si="10"/>
        <v>Private</v>
      </c>
      <c r="L57" t="str">
        <f t="shared" ca="1" si="11"/>
        <v>Neurology</v>
      </c>
    </row>
    <row r="58" spans="1:12" x14ac:dyDescent="0.25">
      <c r="A58">
        <f t="shared" si="0"/>
        <v>57</v>
      </c>
      <c r="B58">
        <f t="shared" ca="1" si="1"/>
        <v>61</v>
      </c>
      <c r="C58" t="str">
        <f t="shared" ca="1" si="2"/>
        <v>Male</v>
      </c>
      <c r="D58" s="1">
        <f t="shared" ca="1" si="3"/>
        <v>45642</v>
      </c>
      <c r="E58" s="1">
        <f t="shared" ca="1" si="4"/>
        <v>45653</v>
      </c>
      <c r="F58" t="str">
        <f t="shared" ca="1" si="5"/>
        <v>Pneumonia</v>
      </c>
      <c r="G58" t="str">
        <f t="shared" ca="1" si="6"/>
        <v>Medication</v>
      </c>
      <c r="H58">
        <f t="shared" ca="1" si="7"/>
        <v>11</v>
      </c>
      <c r="I58" t="str">
        <f t="shared" ca="1" si="8"/>
        <v>No</v>
      </c>
      <c r="J58">
        <f t="shared" ca="1" si="9"/>
        <v>1</v>
      </c>
      <c r="K58" t="str">
        <f t="shared" ca="1" si="10"/>
        <v>None</v>
      </c>
      <c r="L58" t="str">
        <f t="shared" ca="1" si="11"/>
        <v>ICU</v>
      </c>
    </row>
    <row r="59" spans="1:12" x14ac:dyDescent="0.25">
      <c r="A59">
        <f t="shared" si="0"/>
        <v>58</v>
      </c>
      <c r="B59">
        <f t="shared" ca="1" si="1"/>
        <v>64</v>
      </c>
      <c r="C59" t="str">
        <f t="shared" ca="1" si="2"/>
        <v>Female</v>
      </c>
      <c r="D59" s="1">
        <f t="shared" ca="1" si="3"/>
        <v>45444</v>
      </c>
      <c r="E59" s="1">
        <f t="shared" ca="1" si="4"/>
        <v>45445</v>
      </c>
      <c r="F59" t="str">
        <f t="shared" ca="1" si="5"/>
        <v>Heart Failure</v>
      </c>
      <c r="G59" t="str">
        <f t="shared" ca="1" si="6"/>
        <v>Surgery</v>
      </c>
      <c r="H59">
        <f t="shared" ca="1" si="7"/>
        <v>1</v>
      </c>
      <c r="I59" t="str">
        <f t="shared" ca="1" si="8"/>
        <v>No</v>
      </c>
      <c r="J59">
        <f t="shared" ca="1" si="9"/>
        <v>0</v>
      </c>
      <c r="K59" t="str">
        <f t="shared" ca="1" si="10"/>
        <v>Public</v>
      </c>
      <c r="L59" t="str">
        <f t="shared" ca="1" si="11"/>
        <v>General</v>
      </c>
    </row>
    <row r="60" spans="1:12" x14ac:dyDescent="0.25">
      <c r="A60">
        <f t="shared" si="0"/>
        <v>59</v>
      </c>
      <c r="B60">
        <f t="shared" ca="1" si="1"/>
        <v>58</v>
      </c>
      <c r="C60" t="str">
        <f t="shared" ca="1" si="2"/>
        <v>Male</v>
      </c>
      <c r="D60" s="1">
        <f t="shared" ca="1" si="3"/>
        <v>45446</v>
      </c>
      <c r="E60" s="1">
        <f t="shared" ca="1" si="4"/>
        <v>45448</v>
      </c>
      <c r="F60" t="str">
        <f t="shared" ca="1" si="5"/>
        <v>Heart Failure</v>
      </c>
      <c r="G60" t="str">
        <f t="shared" ca="1" si="6"/>
        <v>Surgery</v>
      </c>
      <c r="H60">
        <f t="shared" ca="1" si="7"/>
        <v>2</v>
      </c>
      <c r="I60" t="str">
        <f t="shared" ca="1" si="8"/>
        <v>No</v>
      </c>
      <c r="J60">
        <f t="shared" ca="1" si="9"/>
        <v>0</v>
      </c>
      <c r="K60" t="str">
        <f t="shared" ca="1" si="10"/>
        <v>None</v>
      </c>
      <c r="L60" t="str">
        <f t="shared" ca="1" si="11"/>
        <v>Cardiology</v>
      </c>
    </row>
    <row r="61" spans="1:12" x14ac:dyDescent="0.25">
      <c r="A61">
        <f t="shared" si="0"/>
        <v>60</v>
      </c>
      <c r="B61">
        <f t="shared" ca="1" si="1"/>
        <v>87</v>
      </c>
      <c r="C61" t="str">
        <f t="shared" ca="1" si="2"/>
        <v>Female</v>
      </c>
      <c r="D61" s="1">
        <f t="shared" ca="1" si="3"/>
        <v>45623</v>
      </c>
      <c r="E61" s="1">
        <f t="shared" ca="1" si="4"/>
        <v>45633</v>
      </c>
      <c r="F61" t="str">
        <f t="shared" ca="1" si="5"/>
        <v>Hypertension</v>
      </c>
      <c r="G61" t="str">
        <f t="shared" ca="1" si="6"/>
        <v>Surgery</v>
      </c>
      <c r="H61">
        <f t="shared" ca="1" si="7"/>
        <v>10</v>
      </c>
      <c r="I61" t="str">
        <f t="shared" ca="1" si="8"/>
        <v>No</v>
      </c>
      <c r="J61">
        <f t="shared" ca="1" si="9"/>
        <v>4</v>
      </c>
      <c r="K61" t="str">
        <f t="shared" ca="1" si="10"/>
        <v>None</v>
      </c>
      <c r="L61" t="str">
        <f t="shared" ca="1" si="11"/>
        <v>Cardiology</v>
      </c>
    </row>
    <row r="62" spans="1:12" x14ac:dyDescent="0.25">
      <c r="A62">
        <f t="shared" si="0"/>
        <v>61</v>
      </c>
      <c r="B62">
        <f t="shared" ca="1" si="1"/>
        <v>52</v>
      </c>
      <c r="C62" t="str">
        <f t="shared" ca="1" si="2"/>
        <v>Male</v>
      </c>
      <c r="D62" s="1">
        <f t="shared" ca="1" si="3"/>
        <v>45390</v>
      </c>
      <c r="E62" s="1">
        <f t="shared" ca="1" si="4"/>
        <v>45393</v>
      </c>
      <c r="F62" t="str">
        <f t="shared" ca="1" si="5"/>
        <v>Hypertension</v>
      </c>
      <c r="G62" t="str">
        <f t="shared" ca="1" si="6"/>
        <v>Surgery</v>
      </c>
      <c r="H62">
        <f t="shared" ca="1" si="7"/>
        <v>3</v>
      </c>
      <c r="I62" t="str">
        <f t="shared" ca="1" si="8"/>
        <v>No</v>
      </c>
      <c r="J62">
        <f t="shared" ca="1" si="9"/>
        <v>2</v>
      </c>
      <c r="K62" t="str">
        <f t="shared" ca="1" si="10"/>
        <v>Public</v>
      </c>
      <c r="L62" t="str">
        <f t="shared" ca="1" si="11"/>
        <v>ER</v>
      </c>
    </row>
    <row r="63" spans="1:12" x14ac:dyDescent="0.25">
      <c r="A63">
        <f t="shared" si="0"/>
        <v>62</v>
      </c>
      <c r="B63">
        <f t="shared" ca="1" si="1"/>
        <v>33</v>
      </c>
      <c r="C63" t="str">
        <f t="shared" ca="1" si="2"/>
        <v>Female</v>
      </c>
      <c r="D63" s="1">
        <f t="shared" ca="1" si="3"/>
        <v>45550</v>
      </c>
      <c r="E63" s="1">
        <f t="shared" ca="1" si="4"/>
        <v>45561</v>
      </c>
      <c r="F63" t="str">
        <f t="shared" ca="1" si="5"/>
        <v>Hypertension</v>
      </c>
      <c r="G63" t="str">
        <f t="shared" ca="1" si="6"/>
        <v>Surgery</v>
      </c>
      <c r="H63">
        <f t="shared" ca="1" si="7"/>
        <v>11</v>
      </c>
      <c r="I63" t="str">
        <f t="shared" ca="1" si="8"/>
        <v>No</v>
      </c>
      <c r="J63">
        <f t="shared" ca="1" si="9"/>
        <v>2</v>
      </c>
      <c r="K63" t="str">
        <f t="shared" ca="1" si="10"/>
        <v>Private</v>
      </c>
      <c r="L63" t="str">
        <f t="shared" ca="1" si="11"/>
        <v>ER</v>
      </c>
    </row>
    <row r="64" spans="1:12" x14ac:dyDescent="0.25">
      <c r="A64">
        <f t="shared" si="0"/>
        <v>63</v>
      </c>
      <c r="B64">
        <f t="shared" ca="1" si="1"/>
        <v>86</v>
      </c>
      <c r="C64" t="str">
        <f t="shared" ca="1" si="2"/>
        <v>Male</v>
      </c>
      <c r="D64" s="1">
        <f t="shared" ca="1" si="3"/>
        <v>45654</v>
      </c>
      <c r="E64" s="1">
        <f t="shared" ca="1" si="4"/>
        <v>45665</v>
      </c>
      <c r="F64" t="str">
        <f t="shared" ca="1" si="5"/>
        <v>Diabetes</v>
      </c>
      <c r="G64" t="str">
        <f t="shared" ca="1" si="6"/>
        <v>Surgery</v>
      </c>
      <c r="H64">
        <f t="shared" ca="1" si="7"/>
        <v>11</v>
      </c>
      <c r="I64" t="str">
        <f t="shared" ca="1" si="8"/>
        <v>No</v>
      </c>
      <c r="J64">
        <f t="shared" ca="1" si="9"/>
        <v>2</v>
      </c>
      <c r="K64" t="str">
        <f t="shared" ca="1" si="10"/>
        <v>None</v>
      </c>
      <c r="L64" t="str">
        <f t="shared" ca="1" si="11"/>
        <v>ER</v>
      </c>
    </row>
    <row r="65" spans="1:12" x14ac:dyDescent="0.25">
      <c r="A65">
        <f t="shared" si="0"/>
        <v>64</v>
      </c>
      <c r="B65">
        <f t="shared" ca="1" si="1"/>
        <v>57</v>
      </c>
      <c r="C65" t="str">
        <f t="shared" ca="1" si="2"/>
        <v>Female</v>
      </c>
      <c r="D65" s="1">
        <f t="shared" ca="1" si="3"/>
        <v>45377</v>
      </c>
      <c r="E65" s="1">
        <f t="shared" ca="1" si="4"/>
        <v>45390</v>
      </c>
      <c r="F65" t="str">
        <f t="shared" ca="1" si="5"/>
        <v>Diabetes</v>
      </c>
      <c r="G65" t="str">
        <f t="shared" ca="1" si="6"/>
        <v>Therapy</v>
      </c>
      <c r="H65">
        <f t="shared" ca="1" si="7"/>
        <v>13</v>
      </c>
      <c r="I65" t="str">
        <f t="shared" ca="1" si="8"/>
        <v>No</v>
      </c>
      <c r="J65">
        <f t="shared" ca="1" si="9"/>
        <v>1</v>
      </c>
      <c r="K65" t="str">
        <f t="shared" ca="1" si="10"/>
        <v>Public</v>
      </c>
      <c r="L65" t="str">
        <f t="shared" ca="1" si="11"/>
        <v>ICU</v>
      </c>
    </row>
    <row r="66" spans="1:12" x14ac:dyDescent="0.25">
      <c r="A66">
        <f t="shared" si="0"/>
        <v>65</v>
      </c>
      <c r="B66">
        <f t="shared" ca="1" si="1"/>
        <v>66</v>
      </c>
      <c r="C66" t="str">
        <f t="shared" ca="1" si="2"/>
        <v>Female</v>
      </c>
      <c r="D66" s="1">
        <f t="shared" ca="1" si="3"/>
        <v>45533</v>
      </c>
      <c r="E66" s="1">
        <f t="shared" ca="1" si="4"/>
        <v>45545</v>
      </c>
      <c r="F66" t="str">
        <f t="shared" ca="1" si="5"/>
        <v>Stroke</v>
      </c>
      <c r="G66" t="str">
        <f t="shared" ca="1" si="6"/>
        <v>Therapy</v>
      </c>
      <c r="H66">
        <f t="shared" ca="1" si="7"/>
        <v>12</v>
      </c>
      <c r="I66" t="str">
        <f t="shared" ca="1" si="8"/>
        <v>No</v>
      </c>
      <c r="J66">
        <f t="shared" ca="1" si="9"/>
        <v>4</v>
      </c>
      <c r="K66" t="str">
        <f t="shared" ca="1" si="10"/>
        <v>None</v>
      </c>
      <c r="L66" t="str">
        <f t="shared" ca="1" si="11"/>
        <v>ER</v>
      </c>
    </row>
    <row r="67" spans="1:12" x14ac:dyDescent="0.25">
      <c r="A67">
        <f t="shared" ref="A67:A130" si="12">ROW() -1</f>
        <v>66</v>
      </c>
      <c r="B67">
        <f t="shared" ref="B67:B130" ca="1" si="13">RANDBETWEEN(20,90)</f>
        <v>24</v>
      </c>
      <c r="C67" t="str">
        <f t="shared" ref="C67:C130" ca="1" si="14">IF(RAND()&lt;0.5,"Male","Female")</f>
        <v>Male</v>
      </c>
      <c r="D67" s="1">
        <f t="shared" ref="D67:D130" ca="1" si="15">DATE(2024,1,1)+RANDBETWEEN(0,364)</f>
        <v>45436</v>
      </c>
      <c r="E67" s="1">
        <f t="shared" ref="E67:E130" ca="1" si="16">D67+RANDBETWEEN(1,15)</f>
        <v>45442</v>
      </c>
      <c r="F67" t="str">
        <f t="shared" ref="F67:F130" ca="1" si="17">CHOOSE(RANDBETWEEN(1,5),"Diabetes","Heart Failure","Pneumonia","Stroke","Hypertension")</f>
        <v>Pneumonia</v>
      </c>
      <c r="G67" t="str">
        <f t="shared" ref="G67:G130" ca="1" si="18">CHOOSE(RANDBETWEEN(1,3),"Medication","Surgery","Therapy")</f>
        <v>Therapy</v>
      </c>
      <c r="H67">
        <f t="shared" ref="H67:H130" ca="1" si="19">DATEDIF(D67,E67,"D")</f>
        <v>6</v>
      </c>
      <c r="I67" t="str">
        <f t="shared" ref="I67:I130" ca="1" si="20">IF(RAND()&lt;0.3,"Yes","No")</f>
        <v>Yes</v>
      </c>
      <c r="J67">
        <f t="shared" ref="J67:J130" ca="1" si="21">RANDBETWEEN(0,4)</f>
        <v>1</v>
      </c>
      <c r="K67" t="str">
        <f t="shared" ref="K67:K130" ca="1" si="22">CHOOSE(RANDBETWEEN(1,3),"Private","Public","None")</f>
        <v>None</v>
      </c>
      <c r="L67" t="str">
        <f t="shared" ref="L67:L130" ca="1" si="23">CHOOSE(RANDBETWEEN(1,5),"ER","Cardiology","Neurology","General","ICU")</f>
        <v>Cardiology</v>
      </c>
    </row>
    <row r="68" spans="1:12" x14ac:dyDescent="0.25">
      <c r="A68">
        <f t="shared" si="12"/>
        <v>67</v>
      </c>
      <c r="B68">
        <f t="shared" ca="1" si="13"/>
        <v>51</v>
      </c>
      <c r="C68" t="str">
        <f t="shared" ca="1" si="14"/>
        <v>Male</v>
      </c>
      <c r="D68" s="1">
        <f t="shared" ca="1" si="15"/>
        <v>45371</v>
      </c>
      <c r="E68" s="1">
        <f t="shared" ca="1" si="16"/>
        <v>45380</v>
      </c>
      <c r="F68" t="str">
        <f t="shared" ca="1" si="17"/>
        <v>Hypertension</v>
      </c>
      <c r="G68" t="str">
        <f t="shared" ca="1" si="18"/>
        <v>Therapy</v>
      </c>
      <c r="H68">
        <f t="shared" ca="1" si="19"/>
        <v>9</v>
      </c>
      <c r="I68" t="str">
        <f t="shared" ca="1" si="20"/>
        <v>Yes</v>
      </c>
      <c r="J68">
        <f t="shared" ca="1" si="21"/>
        <v>2</v>
      </c>
      <c r="K68" t="str">
        <f t="shared" ca="1" si="22"/>
        <v>Private</v>
      </c>
      <c r="L68" t="str">
        <f t="shared" ca="1" si="23"/>
        <v>ICU</v>
      </c>
    </row>
    <row r="69" spans="1:12" x14ac:dyDescent="0.25">
      <c r="A69">
        <f t="shared" si="12"/>
        <v>68</v>
      </c>
      <c r="B69">
        <f t="shared" ca="1" si="13"/>
        <v>50</v>
      </c>
      <c r="C69" t="str">
        <f t="shared" ca="1" si="14"/>
        <v>Male</v>
      </c>
      <c r="D69" s="1">
        <f t="shared" ca="1" si="15"/>
        <v>45545</v>
      </c>
      <c r="E69" s="1">
        <f t="shared" ca="1" si="16"/>
        <v>45546</v>
      </c>
      <c r="F69" t="str">
        <f t="shared" ca="1" si="17"/>
        <v>Stroke</v>
      </c>
      <c r="G69" t="str">
        <f t="shared" ca="1" si="18"/>
        <v>Surgery</v>
      </c>
      <c r="H69">
        <f t="shared" ca="1" si="19"/>
        <v>1</v>
      </c>
      <c r="I69" t="str">
        <f t="shared" ca="1" si="20"/>
        <v>No</v>
      </c>
      <c r="J69">
        <f t="shared" ca="1" si="21"/>
        <v>1</v>
      </c>
      <c r="K69" t="str">
        <f t="shared" ca="1" si="22"/>
        <v>None</v>
      </c>
      <c r="L69" t="str">
        <f t="shared" ca="1" si="23"/>
        <v>Neurology</v>
      </c>
    </row>
    <row r="70" spans="1:12" x14ac:dyDescent="0.25">
      <c r="A70">
        <f t="shared" si="12"/>
        <v>69</v>
      </c>
      <c r="B70">
        <f t="shared" ca="1" si="13"/>
        <v>88</v>
      </c>
      <c r="C70" t="str">
        <f t="shared" ca="1" si="14"/>
        <v>Female</v>
      </c>
      <c r="D70" s="1">
        <f t="shared" ca="1" si="15"/>
        <v>45323</v>
      </c>
      <c r="E70" s="1">
        <f t="shared" ca="1" si="16"/>
        <v>45336</v>
      </c>
      <c r="F70" t="str">
        <f t="shared" ca="1" si="17"/>
        <v>Stroke</v>
      </c>
      <c r="G70" t="str">
        <f t="shared" ca="1" si="18"/>
        <v>Surgery</v>
      </c>
      <c r="H70">
        <f t="shared" ca="1" si="19"/>
        <v>13</v>
      </c>
      <c r="I70" t="str">
        <f t="shared" ca="1" si="20"/>
        <v>No</v>
      </c>
      <c r="J70">
        <f t="shared" ca="1" si="21"/>
        <v>4</v>
      </c>
      <c r="K70" t="str">
        <f t="shared" ca="1" si="22"/>
        <v>Public</v>
      </c>
      <c r="L70" t="str">
        <f t="shared" ca="1" si="23"/>
        <v>Neurology</v>
      </c>
    </row>
    <row r="71" spans="1:12" x14ac:dyDescent="0.25">
      <c r="A71">
        <f t="shared" si="12"/>
        <v>70</v>
      </c>
      <c r="B71">
        <f t="shared" ca="1" si="13"/>
        <v>45</v>
      </c>
      <c r="C71" t="str">
        <f t="shared" ca="1" si="14"/>
        <v>Male</v>
      </c>
      <c r="D71" s="1">
        <f t="shared" ca="1" si="15"/>
        <v>45322</v>
      </c>
      <c r="E71" s="1">
        <f t="shared" ca="1" si="16"/>
        <v>45331</v>
      </c>
      <c r="F71" t="str">
        <f t="shared" ca="1" si="17"/>
        <v>Pneumonia</v>
      </c>
      <c r="G71" t="str">
        <f t="shared" ca="1" si="18"/>
        <v>Medication</v>
      </c>
      <c r="H71">
        <f t="shared" ca="1" si="19"/>
        <v>9</v>
      </c>
      <c r="I71" t="str">
        <f t="shared" ca="1" si="20"/>
        <v>No</v>
      </c>
      <c r="J71">
        <f t="shared" ca="1" si="21"/>
        <v>0</v>
      </c>
      <c r="K71" t="str">
        <f t="shared" ca="1" si="22"/>
        <v>Public</v>
      </c>
      <c r="L71" t="str">
        <f t="shared" ca="1" si="23"/>
        <v>Cardiology</v>
      </c>
    </row>
    <row r="72" spans="1:12" x14ac:dyDescent="0.25">
      <c r="A72">
        <f t="shared" si="12"/>
        <v>71</v>
      </c>
      <c r="B72">
        <f t="shared" ca="1" si="13"/>
        <v>66</v>
      </c>
      <c r="C72" t="str">
        <f t="shared" ca="1" si="14"/>
        <v>Female</v>
      </c>
      <c r="D72" s="1">
        <f t="shared" ca="1" si="15"/>
        <v>45508</v>
      </c>
      <c r="E72" s="1">
        <f t="shared" ca="1" si="16"/>
        <v>45515</v>
      </c>
      <c r="F72" t="str">
        <f t="shared" ca="1" si="17"/>
        <v>Stroke</v>
      </c>
      <c r="G72" t="str">
        <f t="shared" ca="1" si="18"/>
        <v>Therapy</v>
      </c>
      <c r="H72">
        <f t="shared" ca="1" si="19"/>
        <v>7</v>
      </c>
      <c r="I72" t="str">
        <f t="shared" ca="1" si="20"/>
        <v>No</v>
      </c>
      <c r="J72">
        <f t="shared" ca="1" si="21"/>
        <v>4</v>
      </c>
      <c r="K72" t="str">
        <f t="shared" ca="1" si="22"/>
        <v>Public</v>
      </c>
      <c r="L72" t="str">
        <f t="shared" ca="1" si="23"/>
        <v>ER</v>
      </c>
    </row>
    <row r="73" spans="1:12" x14ac:dyDescent="0.25">
      <c r="A73">
        <f t="shared" si="12"/>
        <v>72</v>
      </c>
      <c r="B73">
        <f t="shared" ca="1" si="13"/>
        <v>59</v>
      </c>
      <c r="C73" t="str">
        <f t="shared" ca="1" si="14"/>
        <v>Male</v>
      </c>
      <c r="D73" s="1">
        <f t="shared" ca="1" si="15"/>
        <v>45383</v>
      </c>
      <c r="E73" s="1">
        <f t="shared" ca="1" si="16"/>
        <v>45396</v>
      </c>
      <c r="F73" t="str">
        <f t="shared" ca="1" si="17"/>
        <v>Hypertension</v>
      </c>
      <c r="G73" t="str">
        <f t="shared" ca="1" si="18"/>
        <v>Medication</v>
      </c>
      <c r="H73">
        <f t="shared" ca="1" si="19"/>
        <v>13</v>
      </c>
      <c r="I73" t="str">
        <f t="shared" ca="1" si="20"/>
        <v>No</v>
      </c>
      <c r="J73">
        <f t="shared" ca="1" si="21"/>
        <v>2</v>
      </c>
      <c r="K73" t="str">
        <f t="shared" ca="1" si="22"/>
        <v>Private</v>
      </c>
      <c r="L73" t="str">
        <f t="shared" ca="1" si="23"/>
        <v>ICU</v>
      </c>
    </row>
    <row r="74" spans="1:12" x14ac:dyDescent="0.25">
      <c r="A74">
        <f t="shared" si="12"/>
        <v>73</v>
      </c>
      <c r="B74">
        <f t="shared" ca="1" si="13"/>
        <v>55</v>
      </c>
      <c r="C74" t="str">
        <f t="shared" ca="1" si="14"/>
        <v>Female</v>
      </c>
      <c r="D74" s="1">
        <f t="shared" ca="1" si="15"/>
        <v>45508</v>
      </c>
      <c r="E74" s="1">
        <f t="shared" ca="1" si="16"/>
        <v>45518</v>
      </c>
      <c r="F74" t="str">
        <f t="shared" ca="1" si="17"/>
        <v>Heart Failure</v>
      </c>
      <c r="G74" t="str">
        <f t="shared" ca="1" si="18"/>
        <v>Therapy</v>
      </c>
      <c r="H74">
        <f t="shared" ca="1" si="19"/>
        <v>10</v>
      </c>
      <c r="I74" t="str">
        <f t="shared" ca="1" si="20"/>
        <v>Yes</v>
      </c>
      <c r="J74">
        <f t="shared" ca="1" si="21"/>
        <v>0</v>
      </c>
      <c r="K74" t="str">
        <f t="shared" ca="1" si="22"/>
        <v>None</v>
      </c>
      <c r="L74" t="str">
        <f t="shared" ca="1" si="23"/>
        <v>ER</v>
      </c>
    </row>
    <row r="75" spans="1:12" x14ac:dyDescent="0.25">
      <c r="A75">
        <f t="shared" si="12"/>
        <v>74</v>
      </c>
      <c r="B75">
        <f t="shared" ca="1" si="13"/>
        <v>49</v>
      </c>
      <c r="C75" t="str">
        <f t="shared" ca="1" si="14"/>
        <v>Male</v>
      </c>
      <c r="D75" s="1">
        <f t="shared" ca="1" si="15"/>
        <v>45493</v>
      </c>
      <c r="E75" s="1">
        <f t="shared" ca="1" si="16"/>
        <v>45498</v>
      </c>
      <c r="F75" t="str">
        <f t="shared" ca="1" si="17"/>
        <v>Diabetes</v>
      </c>
      <c r="G75" t="str">
        <f t="shared" ca="1" si="18"/>
        <v>Therapy</v>
      </c>
      <c r="H75">
        <f t="shared" ca="1" si="19"/>
        <v>5</v>
      </c>
      <c r="I75" t="str">
        <f t="shared" ca="1" si="20"/>
        <v>Yes</v>
      </c>
      <c r="J75">
        <f t="shared" ca="1" si="21"/>
        <v>3</v>
      </c>
      <c r="K75" t="str">
        <f t="shared" ca="1" si="22"/>
        <v>Private</v>
      </c>
      <c r="L75" t="str">
        <f t="shared" ca="1" si="23"/>
        <v>Cardiology</v>
      </c>
    </row>
    <row r="76" spans="1:12" x14ac:dyDescent="0.25">
      <c r="A76">
        <f t="shared" si="12"/>
        <v>75</v>
      </c>
      <c r="B76">
        <f t="shared" ca="1" si="13"/>
        <v>56</v>
      </c>
      <c r="C76" t="str">
        <f t="shared" ca="1" si="14"/>
        <v>Female</v>
      </c>
      <c r="D76" s="1">
        <f t="shared" ca="1" si="15"/>
        <v>45548</v>
      </c>
      <c r="E76" s="1">
        <f t="shared" ca="1" si="16"/>
        <v>45558</v>
      </c>
      <c r="F76" t="str">
        <f t="shared" ca="1" si="17"/>
        <v>Stroke</v>
      </c>
      <c r="G76" t="str">
        <f t="shared" ca="1" si="18"/>
        <v>Medication</v>
      </c>
      <c r="H76">
        <f t="shared" ca="1" si="19"/>
        <v>10</v>
      </c>
      <c r="I76" t="str">
        <f t="shared" ca="1" si="20"/>
        <v>Yes</v>
      </c>
      <c r="J76">
        <f t="shared" ca="1" si="21"/>
        <v>1</v>
      </c>
      <c r="K76" t="str">
        <f t="shared" ca="1" si="22"/>
        <v>Public</v>
      </c>
      <c r="L76" t="str">
        <f t="shared" ca="1" si="23"/>
        <v>Cardiology</v>
      </c>
    </row>
    <row r="77" spans="1:12" x14ac:dyDescent="0.25">
      <c r="A77">
        <f t="shared" si="12"/>
        <v>76</v>
      </c>
      <c r="B77">
        <f t="shared" ca="1" si="13"/>
        <v>63</v>
      </c>
      <c r="C77" t="str">
        <f t="shared" ca="1" si="14"/>
        <v>Male</v>
      </c>
      <c r="D77" s="1">
        <f t="shared" ca="1" si="15"/>
        <v>45552</v>
      </c>
      <c r="E77" s="1">
        <f t="shared" ca="1" si="16"/>
        <v>45557</v>
      </c>
      <c r="F77" t="str">
        <f t="shared" ca="1" si="17"/>
        <v>Hypertension</v>
      </c>
      <c r="G77" t="str">
        <f t="shared" ca="1" si="18"/>
        <v>Therapy</v>
      </c>
      <c r="H77">
        <f t="shared" ca="1" si="19"/>
        <v>5</v>
      </c>
      <c r="I77" t="str">
        <f t="shared" ca="1" si="20"/>
        <v>No</v>
      </c>
      <c r="J77">
        <f t="shared" ca="1" si="21"/>
        <v>2</v>
      </c>
      <c r="K77" t="str">
        <f t="shared" ca="1" si="22"/>
        <v>None</v>
      </c>
      <c r="L77" t="str">
        <f t="shared" ca="1" si="23"/>
        <v>ER</v>
      </c>
    </row>
    <row r="78" spans="1:12" x14ac:dyDescent="0.25">
      <c r="A78">
        <f t="shared" si="12"/>
        <v>77</v>
      </c>
      <c r="B78">
        <f t="shared" ca="1" si="13"/>
        <v>64</v>
      </c>
      <c r="C78" t="str">
        <f t="shared" ca="1" si="14"/>
        <v>Female</v>
      </c>
      <c r="D78" s="1">
        <f t="shared" ca="1" si="15"/>
        <v>45547</v>
      </c>
      <c r="E78" s="1">
        <f t="shared" ca="1" si="16"/>
        <v>45549</v>
      </c>
      <c r="F78" t="str">
        <f t="shared" ca="1" si="17"/>
        <v>Stroke</v>
      </c>
      <c r="G78" t="str">
        <f t="shared" ca="1" si="18"/>
        <v>Surgery</v>
      </c>
      <c r="H78">
        <f t="shared" ca="1" si="19"/>
        <v>2</v>
      </c>
      <c r="I78" t="str">
        <f t="shared" ca="1" si="20"/>
        <v>No</v>
      </c>
      <c r="J78">
        <f t="shared" ca="1" si="21"/>
        <v>1</v>
      </c>
      <c r="K78" t="str">
        <f t="shared" ca="1" si="22"/>
        <v>None</v>
      </c>
      <c r="L78" t="str">
        <f t="shared" ca="1" si="23"/>
        <v>ER</v>
      </c>
    </row>
    <row r="79" spans="1:12" x14ac:dyDescent="0.25">
      <c r="A79">
        <f t="shared" si="12"/>
        <v>78</v>
      </c>
      <c r="B79">
        <f t="shared" ca="1" si="13"/>
        <v>54</v>
      </c>
      <c r="C79" t="str">
        <f t="shared" ca="1" si="14"/>
        <v>Female</v>
      </c>
      <c r="D79" s="1">
        <f t="shared" ca="1" si="15"/>
        <v>45637</v>
      </c>
      <c r="E79" s="1">
        <f t="shared" ca="1" si="16"/>
        <v>45641</v>
      </c>
      <c r="F79" t="str">
        <f t="shared" ca="1" si="17"/>
        <v>Heart Failure</v>
      </c>
      <c r="G79" t="str">
        <f t="shared" ca="1" si="18"/>
        <v>Surgery</v>
      </c>
      <c r="H79">
        <f t="shared" ca="1" si="19"/>
        <v>4</v>
      </c>
      <c r="I79" t="str">
        <f t="shared" ca="1" si="20"/>
        <v>No</v>
      </c>
      <c r="J79">
        <f t="shared" ca="1" si="21"/>
        <v>3</v>
      </c>
      <c r="K79" t="str">
        <f t="shared" ca="1" si="22"/>
        <v>Private</v>
      </c>
      <c r="L79" t="str">
        <f t="shared" ca="1" si="23"/>
        <v>ICU</v>
      </c>
    </row>
    <row r="80" spans="1:12" x14ac:dyDescent="0.25">
      <c r="A80">
        <f t="shared" si="12"/>
        <v>79</v>
      </c>
      <c r="B80">
        <f t="shared" ca="1" si="13"/>
        <v>66</v>
      </c>
      <c r="C80" t="str">
        <f t="shared" ca="1" si="14"/>
        <v>Male</v>
      </c>
      <c r="D80" s="1">
        <f t="shared" ca="1" si="15"/>
        <v>45324</v>
      </c>
      <c r="E80" s="1">
        <f t="shared" ca="1" si="16"/>
        <v>45332</v>
      </c>
      <c r="F80" t="str">
        <f t="shared" ca="1" si="17"/>
        <v>Pneumonia</v>
      </c>
      <c r="G80" t="str">
        <f t="shared" ca="1" si="18"/>
        <v>Medication</v>
      </c>
      <c r="H80">
        <f t="shared" ca="1" si="19"/>
        <v>8</v>
      </c>
      <c r="I80" t="str">
        <f t="shared" ca="1" si="20"/>
        <v>No</v>
      </c>
      <c r="J80">
        <f t="shared" ca="1" si="21"/>
        <v>0</v>
      </c>
      <c r="K80" t="str">
        <f t="shared" ca="1" si="22"/>
        <v>None</v>
      </c>
      <c r="L80" t="str">
        <f t="shared" ca="1" si="23"/>
        <v>General</v>
      </c>
    </row>
    <row r="81" spans="1:12" x14ac:dyDescent="0.25">
      <c r="A81">
        <f t="shared" si="12"/>
        <v>80</v>
      </c>
      <c r="B81">
        <f t="shared" ca="1" si="13"/>
        <v>81</v>
      </c>
      <c r="C81" t="str">
        <f t="shared" ca="1" si="14"/>
        <v>Female</v>
      </c>
      <c r="D81" s="1">
        <f t="shared" ca="1" si="15"/>
        <v>45560</v>
      </c>
      <c r="E81" s="1">
        <f t="shared" ca="1" si="16"/>
        <v>45567</v>
      </c>
      <c r="F81" t="str">
        <f t="shared" ca="1" si="17"/>
        <v>Diabetes</v>
      </c>
      <c r="G81" t="str">
        <f t="shared" ca="1" si="18"/>
        <v>Therapy</v>
      </c>
      <c r="H81">
        <f t="shared" ca="1" si="19"/>
        <v>7</v>
      </c>
      <c r="I81" t="str">
        <f t="shared" ca="1" si="20"/>
        <v>No</v>
      </c>
      <c r="J81">
        <f t="shared" ca="1" si="21"/>
        <v>0</v>
      </c>
      <c r="K81" t="str">
        <f t="shared" ca="1" si="22"/>
        <v>Private</v>
      </c>
      <c r="L81" t="str">
        <f t="shared" ca="1" si="23"/>
        <v>ER</v>
      </c>
    </row>
    <row r="82" spans="1:12" x14ac:dyDescent="0.25">
      <c r="A82">
        <f t="shared" si="12"/>
        <v>81</v>
      </c>
      <c r="B82">
        <f t="shared" ca="1" si="13"/>
        <v>37</v>
      </c>
      <c r="C82" t="str">
        <f t="shared" ca="1" si="14"/>
        <v>Male</v>
      </c>
      <c r="D82" s="1">
        <f t="shared" ca="1" si="15"/>
        <v>45396</v>
      </c>
      <c r="E82" s="1">
        <f t="shared" ca="1" si="16"/>
        <v>45405</v>
      </c>
      <c r="F82" t="str">
        <f t="shared" ca="1" si="17"/>
        <v>Stroke</v>
      </c>
      <c r="G82" t="str">
        <f t="shared" ca="1" si="18"/>
        <v>Therapy</v>
      </c>
      <c r="H82">
        <f t="shared" ca="1" si="19"/>
        <v>9</v>
      </c>
      <c r="I82" t="str">
        <f t="shared" ca="1" si="20"/>
        <v>No</v>
      </c>
      <c r="J82">
        <f t="shared" ca="1" si="21"/>
        <v>0</v>
      </c>
      <c r="K82" t="str">
        <f t="shared" ca="1" si="22"/>
        <v>None</v>
      </c>
      <c r="L82" t="str">
        <f t="shared" ca="1" si="23"/>
        <v>ER</v>
      </c>
    </row>
    <row r="83" spans="1:12" x14ac:dyDescent="0.25">
      <c r="A83">
        <f t="shared" si="12"/>
        <v>82</v>
      </c>
      <c r="B83">
        <f t="shared" ca="1" si="13"/>
        <v>51</v>
      </c>
      <c r="C83" t="str">
        <f t="shared" ca="1" si="14"/>
        <v>Female</v>
      </c>
      <c r="D83" s="1">
        <f t="shared" ca="1" si="15"/>
        <v>45483</v>
      </c>
      <c r="E83" s="1">
        <f t="shared" ca="1" si="16"/>
        <v>45491</v>
      </c>
      <c r="F83" t="str">
        <f t="shared" ca="1" si="17"/>
        <v>Heart Failure</v>
      </c>
      <c r="G83" t="str">
        <f t="shared" ca="1" si="18"/>
        <v>Surgery</v>
      </c>
      <c r="H83">
        <f t="shared" ca="1" si="19"/>
        <v>8</v>
      </c>
      <c r="I83" t="str">
        <f t="shared" ca="1" si="20"/>
        <v>No</v>
      </c>
      <c r="J83">
        <f t="shared" ca="1" si="21"/>
        <v>1</v>
      </c>
      <c r="K83" t="str">
        <f t="shared" ca="1" si="22"/>
        <v>Private</v>
      </c>
      <c r="L83" t="str">
        <f t="shared" ca="1" si="23"/>
        <v>Cardiology</v>
      </c>
    </row>
    <row r="84" spans="1:12" x14ac:dyDescent="0.25">
      <c r="A84">
        <f t="shared" si="12"/>
        <v>83</v>
      </c>
      <c r="B84">
        <f t="shared" ca="1" si="13"/>
        <v>28</v>
      </c>
      <c r="C84" t="str">
        <f t="shared" ca="1" si="14"/>
        <v>Female</v>
      </c>
      <c r="D84" s="1">
        <f t="shared" ca="1" si="15"/>
        <v>45502</v>
      </c>
      <c r="E84" s="1">
        <f t="shared" ca="1" si="16"/>
        <v>45505</v>
      </c>
      <c r="F84" t="str">
        <f t="shared" ca="1" si="17"/>
        <v>Heart Failure</v>
      </c>
      <c r="G84" t="str">
        <f t="shared" ca="1" si="18"/>
        <v>Medication</v>
      </c>
      <c r="H84">
        <f t="shared" ca="1" si="19"/>
        <v>3</v>
      </c>
      <c r="I84" t="str">
        <f t="shared" ca="1" si="20"/>
        <v>Yes</v>
      </c>
      <c r="J84">
        <f t="shared" ca="1" si="21"/>
        <v>1</v>
      </c>
      <c r="K84" t="str">
        <f t="shared" ca="1" si="22"/>
        <v>Private</v>
      </c>
      <c r="L84" t="str">
        <f t="shared" ca="1" si="23"/>
        <v>ER</v>
      </c>
    </row>
    <row r="85" spans="1:12" x14ac:dyDescent="0.25">
      <c r="A85">
        <f t="shared" si="12"/>
        <v>84</v>
      </c>
      <c r="B85">
        <f t="shared" ca="1" si="13"/>
        <v>78</v>
      </c>
      <c r="C85" t="str">
        <f t="shared" ca="1" si="14"/>
        <v>Male</v>
      </c>
      <c r="D85" s="1">
        <f t="shared" ca="1" si="15"/>
        <v>45436</v>
      </c>
      <c r="E85" s="1">
        <f t="shared" ca="1" si="16"/>
        <v>45443</v>
      </c>
      <c r="F85" t="str">
        <f t="shared" ca="1" si="17"/>
        <v>Stroke</v>
      </c>
      <c r="G85" t="str">
        <f t="shared" ca="1" si="18"/>
        <v>Surgery</v>
      </c>
      <c r="H85">
        <f t="shared" ca="1" si="19"/>
        <v>7</v>
      </c>
      <c r="I85" t="str">
        <f t="shared" ca="1" si="20"/>
        <v>Yes</v>
      </c>
      <c r="J85">
        <f t="shared" ca="1" si="21"/>
        <v>4</v>
      </c>
      <c r="K85" t="str">
        <f t="shared" ca="1" si="22"/>
        <v>Private</v>
      </c>
      <c r="L85" t="str">
        <f t="shared" ca="1" si="23"/>
        <v>ER</v>
      </c>
    </row>
    <row r="86" spans="1:12" x14ac:dyDescent="0.25">
      <c r="A86">
        <f t="shared" si="12"/>
        <v>85</v>
      </c>
      <c r="B86">
        <f t="shared" ca="1" si="13"/>
        <v>67</v>
      </c>
      <c r="C86" t="str">
        <f t="shared" ca="1" si="14"/>
        <v>Female</v>
      </c>
      <c r="D86" s="1">
        <f t="shared" ca="1" si="15"/>
        <v>45409</v>
      </c>
      <c r="E86" s="1">
        <f t="shared" ca="1" si="16"/>
        <v>45414</v>
      </c>
      <c r="F86" t="str">
        <f t="shared" ca="1" si="17"/>
        <v>Pneumonia</v>
      </c>
      <c r="G86" t="str">
        <f t="shared" ca="1" si="18"/>
        <v>Surgery</v>
      </c>
      <c r="H86">
        <f t="shared" ca="1" si="19"/>
        <v>5</v>
      </c>
      <c r="I86" t="str">
        <f t="shared" ca="1" si="20"/>
        <v>No</v>
      </c>
      <c r="J86">
        <f t="shared" ca="1" si="21"/>
        <v>2</v>
      </c>
      <c r="K86" t="str">
        <f t="shared" ca="1" si="22"/>
        <v>Public</v>
      </c>
      <c r="L86" t="str">
        <f t="shared" ca="1" si="23"/>
        <v>ICU</v>
      </c>
    </row>
    <row r="87" spans="1:12" x14ac:dyDescent="0.25">
      <c r="A87">
        <f t="shared" si="12"/>
        <v>86</v>
      </c>
      <c r="B87">
        <f t="shared" ca="1" si="13"/>
        <v>46</v>
      </c>
      <c r="C87" t="str">
        <f t="shared" ca="1" si="14"/>
        <v>Female</v>
      </c>
      <c r="D87" s="1">
        <f t="shared" ca="1" si="15"/>
        <v>45429</v>
      </c>
      <c r="E87" s="1">
        <f t="shared" ca="1" si="16"/>
        <v>45436</v>
      </c>
      <c r="F87" t="str">
        <f t="shared" ca="1" si="17"/>
        <v>Pneumonia</v>
      </c>
      <c r="G87" t="str">
        <f t="shared" ca="1" si="18"/>
        <v>Surgery</v>
      </c>
      <c r="H87">
        <f t="shared" ca="1" si="19"/>
        <v>7</v>
      </c>
      <c r="I87" t="str">
        <f t="shared" ca="1" si="20"/>
        <v>No</v>
      </c>
      <c r="J87">
        <f t="shared" ca="1" si="21"/>
        <v>4</v>
      </c>
      <c r="K87" t="str">
        <f t="shared" ca="1" si="22"/>
        <v>None</v>
      </c>
      <c r="L87" t="str">
        <f t="shared" ca="1" si="23"/>
        <v>General</v>
      </c>
    </row>
    <row r="88" spans="1:12" x14ac:dyDescent="0.25">
      <c r="A88">
        <f t="shared" si="12"/>
        <v>87</v>
      </c>
      <c r="B88">
        <f t="shared" ca="1" si="13"/>
        <v>44</v>
      </c>
      <c r="C88" t="str">
        <f t="shared" ca="1" si="14"/>
        <v>Male</v>
      </c>
      <c r="D88" s="1">
        <f t="shared" ca="1" si="15"/>
        <v>45635</v>
      </c>
      <c r="E88" s="1">
        <f t="shared" ca="1" si="16"/>
        <v>45638</v>
      </c>
      <c r="F88" t="str">
        <f t="shared" ca="1" si="17"/>
        <v>Hypertension</v>
      </c>
      <c r="G88" t="str">
        <f t="shared" ca="1" si="18"/>
        <v>Therapy</v>
      </c>
      <c r="H88">
        <f t="shared" ca="1" si="19"/>
        <v>3</v>
      </c>
      <c r="I88" t="str">
        <f t="shared" ca="1" si="20"/>
        <v>No</v>
      </c>
      <c r="J88">
        <f t="shared" ca="1" si="21"/>
        <v>2</v>
      </c>
      <c r="K88" t="str">
        <f t="shared" ca="1" si="22"/>
        <v>None</v>
      </c>
      <c r="L88" t="str">
        <f t="shared" ca="1" si="23"/>
        <v>Cardiology</v>
      </c>
    </row>
    <row r="89" spans="1:12" x14ac:dyDescent="0.25">
      <c r="A89">
        <f t="shared" si="12"/>
        <v>88</v>
      </c>
      <c r="B89">
        <f t="shared" ca="1" si="13"/>
        <v>89</v>
      </c>
      <c r="C89" t="str">
        <f t="shared" ca="1" si="14"/>
        <v>Female</v>
      </c>
      <c r="D89" s="1">
        <f t="shared" ca="1" si="15"/>
        <v>45596</v>
      </c>
      <c r="E89" s="1">
        <f t="shared" ca="1" si="16"/>
        <v>45611</v>
      </c>
      <c r="F89" t="str">
        <f t="shared" ca="1" si="17"/>
        <v>Diabetes</v>
      </c>
      <c r="G89" t="str">
        <f t="shared" ca="1" si="18"/>
        <v>Medication</v>
      </c>
      <c r="H89">
        <f t="shared" ca="1" si="19"/>
        <v>15</v>
      </c>
      <c r="I89" t="str">
        <f t="shared" ca="1" si="20"/>
        <v>No</v>
      </c>
      <c r="J89">
        <f t="shared" ca="1" si="21"/>
        <v>1</v>
      </c>
      <c r="K89" t="str">
        <f t="shared" ca="1" si="22"/>
        <v>Private</v>
      </c>
      <c r="L89" t="str">
        <f t="shared" ca="1" si="23"/>
        <v>ER</v>
      </c>
    </row>
    <row r="90" spans="1:12" x14ac:dyDescent="0.25">
      <c r="A90">
        <f t="shared" si="12"/>
        <v>89</v>
      </c>
      <c r="B90">
        <f t="shared" ca="1" si="13"/>
        <v>57</v>
      </c>
      <c r="C90" t="str">
        <f t="shared" ca="1" si="14"/>
        <v>Female</v>
      </c>
      <c r="D90" s="1">
        <f t="shared" ca="1" si="15"/>
        <v>45370</v>
      </c>
      <c r="E90" s="1">
        <f t="shared" ca="1" si="16"/>
        <v>45376</v>
      </c>
      <c r="F90" t="str">
        <f t="shared" ca="1" si="17"/>
        <v>Stroke</v>
      </c>
      <c r="G90" t="str">
        <f t="shared" ca="1" si="18"/>
        <v>Therapy</v>
      </c>
      <c r="H90">
        <f t="shared" ca="1" si="19"/>
        <v>6</v>
      </c>
      <c r="I90" t="str">
        <f t="shared" ca="1" si="20"/>
        <v>No</v>
      </c>
      <c r="J90">
        <f t="shared" ca="1" si="21"/>
        <v>1</v>
      </c>
      <c r="K90" t="str">
        <f t="shared" ca="1" si="22"/>
        <v>Public</v>
      </c>
      <c r="L90" t="str">
        <f t="shared" ca="1" si="23"/>
        <v>General</v>
      </c>
    </row>
    <row r="91" spans="1:12" x14ac:dyDescent="0.25">
      <c r="A91">
        <f t="shared" si="12"/>
        <v>90</v>
      </c>
      <c r="B91">
        <f t="shared" ca="1" si="13"/>
        <v>22</v>
      </c>
      <c r="C91" t="str">
        <f t="shared" ca="1" si="14"/>
        <v>Male</v>
      </c>
      <c r="D91" s="1">
        <f t="shared" ca="1" si="15"/>
        <v>45654</v>
      </c>
      <c r="E91" s="1">
        <f t="shared" ca="1" si="16"/>
        <v>45669</v>
      </c>
      <c r="F91" t="str">
        <f t="shared" ca="1" si="17"/>
        <v>Pneumonia</v>
      </c>
      <c r="G91" t="str">
        <f t="shared" ca="1" si="18"/>
        <v>Medication</v>
      </c>
      <c r="H91">
        <f t="shared" ca="1" si="19"/>
        <v>15</v>
      </c>
      <c r="I91" t="str">
        <f t="shared" ca="1" si="20"/>
        <v>No</v>
      </c>
      <c r="J91">
        <f t="shared" ca="1" si="21"/>
        <v>4</v>
      </c>
      <c r="K91" t="str">
        <f t="shared" ca="1" si="22"/>
        <v>Private</v>
      </c>
      <c r="L91" t="str">
        <f t="shared" ca="1" si="23"/>
        <v>ICU</v>
      </c>
    </row>
    <row r="92" spans="1:12" x14ac:dyDescent="0.25">
      <c r="A92">
        <f t="shared" si="12"/>
        <v>91</v>
      </c>
      <c r="B92">
        <f t="shared" ca="1" si="13"/>
        <v>82</v>
      </c>
      <c r="C92" t="str">
        <f t="shared" ca="1" si="14"/>
        <v>Female</v>
      </c>
      <c r="D92" s="1">
        <f t="shared" ca="1" si="15"/>
        <v>45549</v>
      </c>
      <c r="E92" s="1">
        <f t="shared" ca="1" si="16"/>
        <v>45559</v>
      </c>
      <c r="F92" t="str">
        <f t="shared" ca="1" si="17"/>
        <v>Pneumonia</v>
      </c>
      <c r="G92" t="str">
        <f t="shared" ca="1" si="18"/>
        <v>Medication</v>
      </c>
      <c r="H92">
        <f t="shared" ca="1" si="19"/>
        <v>10</v>
      </c>
      <c r="I92" t="str">
        <f t="shared" ca="1" si="20"/>
        <v>No</v>
      </c>
      <c r="J92">
        <f t="shared" ca="1" si="21"/>
        <v>2</v>
      </c>
      <c r="K92" t="str">
        <f t="shared" ca="1" si="22"/>
        <v>Public</v>
      </c>
      <c r="L92" t="str">
        <f t="shared" ca="1" si="23"/>
        <v>Cardiology</v>
      </c>
    </row>
    <row r="93" spans="1:12" x14ac:dyDescent="0.25">
      <c r="A93">
        <f t="shared" si="12"/>
        <v>92</v>
      </c>
      <c r="B93">
        <f t="shared" ca="1" si="13"/>
        <v>30</v>
      </c>
      <c r="C93" t="str">
        <f t="shared" ca="1" si="14"/>
        <v>Male</v>
      </c>
      <c r="D93" s="1">
        <f t="shared" ca="1" si="15"/>
        <v>45409</v>
      </c>
      <c r="E93" s="1">
        <f t="shared" ca="1" si="16"/>
        <v>45411</v>
      </c>
      <c r="F93" t="str">
        <f t="shared" ca="1" si="17"/>
        <v>Diabetes</v>
      </c>
      <c r="G93" t="str">
        <f t="shared" ca="1" si="18"/>
        <v>Therapy</v>
      </c>
      <c r="H93">
        <f t="shared" ca="1" si="19"/>
        <v>2</v>
      </c>
      <c r="I93" t="str">
        <f t="shared" ca="1" si="20"/>
        <v>No</v>
      </c>
      <c r="J93">
        <f t="shared" ca="1" si="21"/>
        <v>3</v>
      </c>
      <c r="K93" t="str">
        <f t="shared" ca="1" si="22"/>
        <v>None</v>
      </c>
      <c r="L93" t="str">
        <f t="shared" ca="1" si="23"/>
        <v>General</v>
      </c>
    </row>
    <row r="94" spans="1:12" x14ac:dyDescent="0.25">
      <c r="A94">
        <f t="shared" si="12"/>
        <v>93</v>
      </c>
      <c r="B94">
        <f t="shared" ca="1" si="13"/>
        <v>57</v>
      </c>
      <c r="C94" t="str">
        <f t="shared" ca="1" si="14"/>
        <v>Female</v>
      </c>
      <c r="D94" s="1">
        <f t="shared" ca="1" si="15"/>
        <v>45394</v>
      </c>
      <c r="E94" s="1">
        <f t="shared" ca="1" si="16"/>
        <v>45396</v>
      </c>
      <c r="F94" t="str">
        <f t="shared" ca="1" si="17"/>
        <v>Pneumonia</v>
      </c>
      <c r="G94" t="str">
        <f t="shared" ca="1" si="18"/>
        <v>Medication</v>
      </c>
      <c r="H94">
        <f t="shared" ca="1" si="19"/>
        <v>2</v>
      </c>
      <c r="I94" t="str">
        <f t="shared" ca="1" si="20"/>
        <v>No</v>
      </c>
      <c r="J94">
        <f t="shared" ca="1" si="21"/>
        <v>4</v>
      </c>
      <c r="K94" t="str">
        <f t="shared" ca="1" si="22"/>
        <v>None</v>
      </c>
      <c r="L94" t="str">
        <f t="shared" ca="1" si="23"/>
        <v>Cardiology</v>
      </c>
    </row>
    <row r="95" spans="1:12" x14ac:dyDescent="0.25">
      <c r="A95">
        <f t="shared" si="12"/>
        <v>94</v>
      </c>
      <c r="B95">
        <f t="shared" ca="1" si="13"/>
        <v>74</v>
      </c>
      <c r="C95" t="str">
        <f t="shared" ca="1" si="14"/>
        <v>Female</v>
      </c>
      <c r="D95" s="1">
        <f t="shared" ca="1" si="15"/>
        <v>45650</v>
      </c>
      <c r="E95" s="1">
        <f t="shared" ca="1" si="16"/>
        <v>45658</v>
      </c>
      <c r="F95" t="str">
        <f t="shared" ca="1" si="17"/>
        <v>Hypertension</v>
      </c>
      <c r="G95" t="str">
        <f t="shared" ca="1" si="18"/>
        <v>Surgery</v>
      </c>
      <c r="H95">
        <f t="shared" ca="1" si="19"/>
        <v>8</v>
      </c>
      <c r="I95" t="str">
        <f t="shared" ca="1" si="20"/>
        <v>Yes</v>
      </c>
      <c r="J95">
        <f t="shared" ca="1" si="21"/>
        <v>3</v>
      </c>
      <c r="K95" t="str">
        <f t="shared" ca="1" si="22"/>
        <v>None</v>
      </c>
      <c r="L95" t="str">
        <f t="shared" ca="1" si="23"/>
        <v>Neurology</v>
      </c>
    </row>
    <row r="96" spans="1:12" x14ac:dyDescent="0.25">
      <c r="A96">
        <f t="shared" si="12"/>
        <v>95</v>
      </c>
      <c r="B96">
        <f t="shared" ca="1" si="13"/>
        <v>90</v>
      </c>
      <c r="C96" t="str">
        <f t="shared" ca="1" si="14"/>
        <v>Female</v>
      </c>
      <c r="D96" s="1">
        <f t="shared" ca="1" si="15"/>
        <v>45359</v>
      </c>
      <c r="E96" s="1">
        <f t="shared" ca="1" si="16"/>
        <v>45360</v>
      </c>
      <c r="F96" t="str">
        <f t="shared" ca="1" si="17"/>
        <v>Stroke</v>
      </c>
      <c r="G96" t="str">
        <f t="shared" ca="1" si="18"/>
        <v>Therapy</v>
      </c>
      <c r="H96">
        <f t="shared" ca="1" si="19"/>
        <v>1</v>
      </c>
      <c r="I96" t="str">
        <f t="shared" ca="1" si="20"/>
        <v>No</v>
      </c>
      <c r="J96">
        <f t="shared" ca="1" si="21"/>
        <v>1</v>
      </c>
      <c r="K96" t="str">
        <f t="shared" ca="1" si="22"/>
        <v>Private</v>
      </c>
      <c r="L96" t="str">
        <f t="shared" ca="1" si="23"/>
        <v>ICU</v>
      </c>
    </row>
    <row r="97" spans="1:12" x14ac:dyDescent="0.25">
      <c r="A97">
        <f t="shared" si="12"/>
        <v>96</v>
      </c>
      <c r="B97">
        <f t="shared" ca="1" si="13"/>
        <v>36</v>
      </c>
      <c r="C97" t="str">
        <f t="shared" ca="1" si="14"/>
        <v>Male</v>
      </c>
      <c r="D97" s="1">
        <f t="shared" ca="1" si="15"/>
        <v>45363</v>
      </c>
      <c r="E97" s="1">
        <f t="shared" ca="1" si="16"/>
        <v>45374</v>
      </c>
      <c r="F97" t="str">
        <f t="shared" ca="1" si="17"/>
        <v>Hypertension</v>
      </c>
      <c r="G97" t="str">
        <f t="shared" ca="1" si="18"/>
        <v>Surgery</v>
      </c>
      <c r="H97">
        <f t="shared" ca="1" si="19"/>
        <v>11</v>
      </c>
      <c r="I97" t="str">
        <f t="shared" ca="1" si="20"/>
        <v>No</v>
      </c>
      <c r="J97">
        <f t="shared" ca="1" si="21"/>
        <v>1</v>
      </c>
      <c r="K97" t="str">
        <f t="shared" ca="1" si="22"/>
        <v>Public</v>
      </c>
      <c r="L97" t="str">
        <f t="shared" ca="1" si="23"/>
        <v>Cardiology</v>
      </c>
    </row>
    <row r="98" spans="1:12" x14ac:dyDescent="0.25">
      <c r="A98">
        <f t="shared" si="12"/>
        <v>97</v>
      </c>
      <c r="B98">
        <f t="shared" ca="1" si="13"/>
        <v>45</v>
      </c>
      <c r="C98" t="str">
        <f t="shared" ca="1" si="14"/>
        <v>Female</v>
      </c>
      <c r="D98" s="1">
        <f t="shared" ca="1" si="15"/>
        <v>45480</v>
      </c>
      <c r="E98" s="1">
        <f t="shared" ca="1" si="16"/>
        <v>45483</v>
      </c>
      <c r="F98" t="str">
        <f t="shared" ca="1" si="17"/>
        <v>Pneumonia</v>
      </c>
      <c r="G98" t="str">
        <f t="shared" ca="1" si="18"/>
        <v>Medication</v>
      </c>
      <c r="H98">
        <f t="shared" ca="1" si="19"/>
        <v>3</v>
      </c>
      <c r="I98" t="str">
        <f t="shared" ca="1" si="20"/>
        <v>Yes</v>
      </c>
      <c r="J98">
        <f t="shared" ca="1" si="21"/>
        <v>4</v>
      </c>
      <c r="K98" t="str">
        <f t="shared" ca="1" si="22"/>
        <v>Private</v>
      </c>
      <c r="L98" t="str">
        <f t="shared" ca="1" si="23"/>
        <v>Neurology</v>
      </c>
    </row>
    <row r="99" spans="1:12" x14ac:dyDescent="0.25">
      <c r="A99">
        <f t="shared" si="12"/>
        <v>98</v>
      </c>
      <c r="B99">
        <f t="shared" ca="1" si="13"/>
        <v>55</v>
      </c>
      <c r="C99" t="str">
        <f t="shared" ca="1" si="14"/>
        <v>Female</v>
      </c>
      <c r="D99" s="1">
        <f t="shared" ca="1" si="15"/>
        <v>45593</v>
      </c>
      <c r="E99" s="1">
        <f t="shared" ca="1" si="16"/>
        <v>45604</v>
      </c>
      <c r="F99" t="str">
        <f t="shared" ca="1" si="17"/>
        <v>Pneumonia</v>
      </c>
      <c r="G99" t="str">
        <f t="shared" ca="1" si="18"/>
        <v>Surgery</v>
      </c>
      <c r="H99">
        <f t="shared" ca="1" si="19"/>
        <v>11</v>
      </c>
      <c r="I99" t="str">
        <f t="shared" ca="1" si="20"/>
        <v>Yes</v>
      </c>
      <c r="J99">
        <f t="shared" ca="1" si="21"/>
        <v>4</v>
      </c>
      <c r="K99" t="str">
        <f t="shared" ca="1" si="22"/>
        <v>None</v>
      </c>
      <c r="L99" t="str">
        <f t="shared" ca="1" si="23"/>
        <v>ICU</v>
      </c>
    </row>
    <row r="100" spans="1:12" x14ac:dyDescent="0.25">
      <c r="A100">
        <f t="shared" si="12"/>
        <v>99</v>
      </c>
      <c r="B100">
        <f t="shared" ca="1" si="13"/>
        <v>33</v>
      </c>
      <c r="C100" t="str">
        <f t="shared" ca="1" si="14"/>
        <v>Male</v>
      </c>
      <c r="D100" s="1">
        <f t="shared" ca="1" si="15"/>
        <v>45371</v>
      </c>
      <c r="E100" s="1">
        <f t="shared" ca="1" si="16"/>
        <v>45373</v>
      </c>
      <c r="F100" t="str">
        <f t="shared" ca="1" si="17"/>
        <v>Pneumonia</v>
      </c>
      <c r="G100" t="str">
        <f t="shared" ca="1" si="18"/>
        <v>Surgery</v>
      </c>
      <c r="H100">
        <f t="shared" ca="1" si="19"/>
        <v>2</v>
      </c>
      <c r="I100" t="str">
        <f t="shared" ca="1" si="20"/>
        <v>No</v>
      </c>
      <c r="J100">
        <f t="shared" ca="1" si="21"/>
        <v>1</v>
      </c>
      <c r="K100" t="str">
        <f t="shared" ca="1" si="22"/>
        <v>None</v>
      </c>
      <c r="L100" t="str">
        <f t="shared" ca="1" si="23"/>
        <v>ER</v>
      </c>
    </row>
    <row r="101" spans="1:12" x14ac:dyDescent="0.25">
      <c r="A101">
        <f t="shared" si="12"/>
        <v>100</v>
      </c>
      <c r="B101">
        <f t="shared" ca="1" si="13"/>
        <v>73</v>
      </c>
      <c r="C101" t="str">
        <f t="shared" ca="1" si="14"/>
        <v>Male</v>
      </c>
      <c r="D101" s="1">
        <f t="shared" ca="1" si="15"/>
        <v>45536</v>
      </c>
      <c r="E101" s="1">
        <f t="shared" ca="1" si="16"/>
        <v>45542</v>
      </c>
      <c r="F101" t="str">
        <f t="shared" ca="1" si="17"/>
        <v>Heart Failure</v>
      </c>
      <c r="G101" t="str">
        <f t="shared" ca="1" si="18"/>
        <v>Medication</v>
      </c>
      <c r="H101">
        <f t="shared" ca="1" si="19"/>
        <v>6</v>
      </c>
      <c r="I101" t="str">
        <f t="shared" ca="1" si="20"/>
        <v>No</v>
      </c>
      <c r="J101">
        <f t="shared" ca="1" si="21"/>
        <v>0</v>
      </c>
      <c r="K101" t="str">
        <f t="shared" ca="1" si="22"/>
        <v>Public</v>
      </c>
      <c r="L101" t="str">
        <f t="shared" ca="1" si="23"/>
        <v>Neurology</v>
      </c>
    </row>
    <row r="102" spans="1:12" x14ac:dyDescent="0.25">
      <c r="A102">
        <f t="shared" si="12"/>
        <v>101</v>
      </c>
      <c r="B102">
        <f t="shared" ca="1" si="13"/>
        <v>28</v>
      </c>
      <c r="C102" t="str">
        <f t="shared" ca="1" si="14"/>
        <v>Female</v>
      </c>
      <c r="D102" s="1">
        <f t="shared" ca="1" si="15"/>
        <v>45356</v>
      </c>
      <c r="E102" s="1">
        <f t="shared" ca="1" si="16"/>
        <v>45359</v>
      </c>
      <c r="F102" t="str">
        <f t="shared" ca="1" si="17"/>
        <v>Hypertension</v>
      </c>
      <c r="G102" t="str">
        <f t="shared" ca="1" si="18"/>
        <v>Medication</v>
      </c>
      <c r="H102">
        <f t="shared" ca="1" si="19"/>
        <v>3</v>
      </c>
      <c r="I102" t="str">
        <f t="shared" ca="1" si="20"/>
        <v>No</v>
      </c>
      <c r="J102">
        <f t="shared" ca="1" si="21"/>
        <v>2</v>
      </c>
      <c r="K102" t="str">
        <f t="shared" ca="1" si="22"/>
        <v>None</v>
      </c>
      <c r="L102" t="str">
        <f t="shared" ca="1" si="23"/>
        <v>General</v>
      </c>
    </row>
    <row r="103" spans="1:12" x14ac:dyDescent="0.25">
      <c r="A103">
        <f t="shared" si="12"/>
        <v>102</v>
      </c>
      <c r="B103">
        <f t="shared" ca="1" si="13"/>
        <v>63</v>
      </c>
      <c r="C103" t="str">
        <f t="shared" ca="1" si="14"/>
        <v>Male</v>
      </c>
      <c r="D103" s="1">
        <f t="shared" ca="1" si="15"/>
        <v>45656</v>
      </c>
      <c r="E103" s="1">
        <f t="shared" ca="1" si="16"/>
        <v>45658</v>
      </c>
      <c r="F103" t="str">
        <f t="shared" ca="1" si="17"/>
        <v>Hypertension</v>
      </c>
      <c r="G103" t="str">
        <f t="shared" ca="1" si="18"/>
        <v>Surgery</v>
      </c>
      <c r="H103">
        <f t="shared" ca="1" si="19"/>
        <v>2</v>
      </c>
      <c r="I103" t="str">
        <f t="shared" ca="1" si="20"/>
        <v>No</v>
      </c>
      <c r="J103">
        <f t="shared" ca="1" si="21"/>
        <v>4</v>
      </c>
      <c r="K103" t="str">
        <f t="shared" ca="1" si="22"/>
        <v>Public</v>
      </c>
      <c r="L103" t="str">
        <f t="shared" ca="1" si="23"/>
        <v>ICU</v>
      </c>
    </row>
    <row r="104" spans="1:12" x14ac:dyDescent="0.25">
      <c r="A104">
        <f t="shared" si="12"/>
        <v>103</v>
      </c>
      <c r="B104">
        <f t="shared" ca="1" si="13"/>
        <v>37</v>
      </c>
      <c r="C104" t="str">
        <f t="shared" ca="1" si="14"/>
        <v>Male</v>
      </c>
      <c r="D104" s="1">
        <f t="shared" ca="1" si="15"/>
        <v>45441</v>
      </c>
      <c r="E104" s="1">
        <f t="shared" ca="1" si="16"/>
        <v>45445</v>
      </c>
      <c r="F104" t="str">
        <f t="shared" ca="1" si="17"/>
        <v>Stroke</v>
      </c>
      <c r="G104" t="str">
        <f t="shared" ca="1" si="18"/>
        <v>Surgery</v>
      </c>
      <c r="H104">
        <f t="shared" ca="1" si="19"/>
        <v>4</v>
      </c>
      <c r="I104" t="str">
        <f t="shared" ca="1" si="20"/>
        <v>No</v>
      </c>
      <c r="J104">
        <f t="shared" ca="1" si="21"/>
        <v>2</v>
      </c>
      <c r="K104" t="str">
        <f t="shared" ca="1" si="22"/>
        <v>Private</v>
      </c>
      <c r="L104" t="str">
        <f t="shared" ca="1" si="23"/>
        <v>ICU</v>
      </c>
    </row>
    <row r="105" spans="1:12" x14ac:dyDescent="0.25">
      <c r="A105">
        <f t="shared" si="12"/>
        <v>104</v>
      </c>
      <c r="B105">
        <f t="shared" ca="1" si="13"/>
        <v>80</v>
      </c>
      <c r="C105" t="str">
        <f t="shared" ca="1" si="14"/>
        <v>Female</v>
      </c>
      <c r="D105" s="1">
        <f t="shared" ca="1" si="15"/>
        <v>45428</v>
      </c>
      <c r="E105" s="1">
        <f t="shared" ca="1" si="16"/>
        <v>45442</v>
      </c>
      <c r="F105" t="str">
        <f t="shared" ca="1" si="17"/>
        <v>Diabetes</v>
      </c>
      <c r="G105" t="str">
        <f t="shared" ca="1" si="18"/>
        <v>Therapy</v>
      </c>
      <c r="H105">
        <f t="shared" ca="1" si="19"/>
        <v>14</v>
      </c>
      <c r="I105" t="str">
        <f t="shared" ca="1" si="20"/>
        <v>No</v>
      </c>
      <c r="J105">
        <f t="shared" ca="1" si="21"/>
        <v>1</v>
      </c>
      <c r="K105" t="str">
        <f t="shared" ca="1" si="22"/>
        <v>Public</v>
      </c>
      <c r="L105" t="str">
        <f t="shared" ca="1" si="23"/>
        <v>Neurology</v>
      </c>
    </row>
    <row r="106" spans="1:12" x14ac:dyDescent="0.25">
      <c r="A106">
        <f t="shared" si="12"/>
        <v>105</v>
      </c>
      <c r="B106">
        <f t="shared" ca="1" si="13"/>
        <v>67</v>
      </c>
      <c r="C106" t="str">
        <f t="shared" ca="1" si="14"/>
        <v>Female</v>
      </c>
      <c r="D106" s="1">
        <f t="shared" ca="1" si="15"/>
        <v>45453</v>
      </c>
      <c r="E106" s="1">
        <f t="shared" ca="1" si="16"/>
        <v>45462</v>
      </c>
      <c r="F106" t="str">
        <f t="shared" ca="1" si="17"/>
        <v>Pneumonia</v>
      </c>
      <c r="G106" t="str">
        <f t="shared" ca="1" si="18"/>
        <v>Medication</v>
      </c>
      <c r="H106">
        <f t="shared" ca="1" si="19"/>
        <v>9</v>
      </c>
      <c r="I106" t="str">
        <f t="shared" ca="1" si="20"/>
        <v>No</v>
      </c>
      <c r="J106">
        <f t="shared" ca="1" si="21"/>
        <v>3</v>
      </c>
      <c r="K106" t="str">
        <f t="shared" ca="1" si="22"/>
        <v>None</v>
      </c>
      <c r="L106" t="str">
        <f t="shared" ca="1" si="23"/>
        <v>ER</v>
      </c>
    </row>
    <row r="107" spans="1:12" x14ac:dyDescent="0.25">
      <c r="A107">
        <f t="shared" si="12"/>
        <v>106</v>
      </c>
      <c r="B107">
        <f t="shared" ca="1" si="13"/>
        <v>28</v>
      </c>
      <c r="C107" t="str">
        <f t="shared" ca="1" si="14"/>
        <v>Female</v>
      </c>
      <c r="D107" s="1">
        <f t="shared" ca="1" si="15"/>
        <v>45566</v>
      </c>
      <c r="E107" s="1">
        <f t="shared" ca="1" si="16"/>
        <v>45571</v>
      </c>
      <c r="F107" t="str">
        <f t="shared" ca="1" si="17"/>
        <v>Pneumonia</v>
      </c>
      <c r="G107" t="str">
        <f t="shared" ca="1" si="18"/>
        <v>Therapy</v>
      </c>
      <c r="H107">
        <f t="shared" ca="1" si="19"/>
        <v>5</v>
      </c>
      <c r="I107" t="str">
        <f t="shared" ca="1" si="20"/>
        <v>No</v>
      </c>
      <c r="J107">
        <f t="shared" ca="1" si="21"/>
        <v>1</v>
      </c>
      <c r="K107" t="str">
        <f t="shared" ca="1" si="22"/>
        <v>Public</v>
      </c>
      <c r="L107" t="str">
        <f t="shared" ca="1" si="23"/>
        <v>General</v>
      </c>
    </row>
    <row r="108" spans="1:12" x14ac:dyDescent="0.25">
      <c r="A108">
        <f t="shared" si="12"/>
        <v>107</v>
      </c>
      <c r="B108">
        <f t="shared" ca="1" si="13"/>
        <v>49</v>
      </c>
      <c r="C108" t="str">
        <f t="shared" ca="1" si="14"/>
        <v>Female</v>
      </c>
      <c r="D108" s="1">
        <f t="shared" ca="1" si="15"/>
        <v>45636</v>
      </c>
      <c r="E108" s="1">
        <f t="shared" ca="1" si="16"/>
        <v>45646</v>
      </c>
      <c r="F108" t="str">
        <f t="shared" ca="1" si="17"/>
        <v>Pneumonia</v>
      </c>
      <c r="G108" t="str">
        <f t="shared" ca="1" si="18"/>
        <v>Surgery</v>
      </c>
      <c r="H108">
        <f t="shared" ca="1" si="19"/>
        <v>10</v>
      </c>
      <c r="I108" t="str">
        <f t="shared" ca="1" si="20"/>
        <v>Yes</v>
      </c>
      <c r="J108">
        <f t="shared" ca="1" si="21"/>
        <v>0</v>
      </c>
      <c r="K108" t="str">
        <f t="shared" ca="1" si="22"/>
        <v>Public</v>
      </c>
      <c r="L108" t="str">
        <f t="shared" ca="1" si="23"/>
        <v>Neurology</v>
      </c>
    </row>
    <row r="109" spans="1:12" x14ac:dyDescent="0.25">
      <c r="A109">
        <f t="shared" si="12"/>
        <v>108</v>
      </c>
      <c r="B109">
        <f t="shared" ca="1" si="13"/>
        <v>75</v>
      </c>
      <c r="C109" t="str">
        <f t="shared" ca="1" si="14"/>
        <v>Male</v>
      </c>
      <c r="D109" s="1">
        <f t="shared" ca="1" si="15"/>
        <v>45378</v>
      </c>
      <c r="E109" s="1">
        <f t="shared" ca="1" si="16"/>
        <v>45384</v>
      </c>
      <c r="F109" t="str">
        <f t="shared" ca="1" si="17"/>
        <v>Stroke</v>
      </c>
      <c r="G109" t="str">
        <f t="shared" ca="1" si="18"/>
        <v>Therapy</v>
      </c>
      <c r="H109">
        <f t="shared" ca="1" si="19"/>
        <v>6</v>
      </c>
      <c r="I109" t="str">
        <f t="shared" ca="1" si="20"/>
        <v>Yes</v>
      </c>
      <c r="J109">
        <f t="shared" ca="1" si="21"/>
        <v>1</v>
      </c>
      <c r="K109" t="str">
        <f t="shared" ca="1" si="22"/>
        <v>None</v>
      </c>
      <c r="L109" t="str">
        <f t="shared" ca="1" si="23"/>
        <v>Neurology</v>
      </c>
    </row>
    <row r="110" spans="1:12" x14ac:dyDescent="0.25">
      <c r="A110">
        <f t="shared" si="12"/>
        <v>109</v>
      </c>
      <c r="B110">
        <f t="shared" ca="1" si="13"/>
        <v>22</v>
      </c>
      <c r="C110" t="str">
        <f t="shared" ca="1" si="14"/>
        <v>Male</v>
      </c>
      <c r="D110" s="1">
        <f t="shared" ca="1" si="15"/>
        <v>45482</v>
      </c>
      <c r="E110" s="1">
        <f t="shared" ca="1" si="16"/>
        <v>45492</v>
      </c>
      <c r="F110" t="str">
        <f t="shared" ca="1" si="17"/>
        <v>Hypertension</v>
      </c>
      <c r="G110" t="str">
        <f t="shared" ca="1" si="18"/>
        <v>Medication</v>
      </c>
      <c r="H110">
        <f t="shared" ca="1" si="19"/>
        <v>10</v>
      </c>
      <c r="I110" t="str">
        <f t="shared" ca="1" si="20"/>
        <v>No</v>
      </c>
      <c r="J110">
        <f t="shared" ca="1" si="21"/>
        <v>1</v>
      </c>
      <c r="K110" t="str">
        <f t="shared" ca="1" si="22"/>
        <v>None</v>
      </c>
      <c r="L110" t="str">
        <f t="shared" ca="1" si="23"/>
        <v>Neurology</v>
      </c>
    </row>
    <row r="111" spans="1:12" x14ac:dyDescent="0.25">
      <c r="A111">
        <f t="shared" si="12"/>
        <v>110</v>
      </c>
      <c r="B111">
        <f t="shared" ca="1" si="13"/>
        <v>80</v>
      </c>
      <c r="C111" t="str">
        <f t="shared" ca="1" si="14"/>
        <v>Female</v>
      </c>
      <c r="D111" s="1">
        <f t="shared" ca="1" si="15"/>
        <v>45500</v>
      </c>
      <c r="E111" s="1">
        <f t="shared" ca="1" si="16"/>
        <v>45506</v>
      </c>
      <c r="F111" t="str">
        <f t="shared" ca="1" si="17"/>
        <v>Diabetes</v>
      </c>
      <c r="G111" t="str">
        <f t="shared" ca="1" si="18"/>
        <v>Therapy</v>
      </c>
      <c r="H111">
        <f t="shared" ca="1" si="19"/>
        <v>6</v>
      </c>
      <c r="I111" t="str">
        <f t="shared" ca="1" si="20"/>
        <v>No</v>
      </c>
      <c r="J111">
        <f t="shared" ca="1" si="21"/>
        <v>0</v>
      </c>
      <c r="K111" t="str">
        <f t="shared" ca="1" si="22"/>
        <v>None</v>
      </c>
      <c r="L111" t="str">
        <f t="shared" ca="1" si="23"/>
        <v>Cardiology</v>
      </c>
    </row>
    <row r="112" spans="1:12" x14ac:dyDescent="0.25">
      <c r="A112">
        <f t="shared" si="12"/>
        <v>111</v>
      </c>
      <c r="B112">
        <f t="shared" ca="1" si="13"/>
        <v>44</v>
      </c>
      <c r="C112" t="str">
        <f t="shared" ca="1" si="14"/>
        <v>Male</v>
      </c>
      <c r="D112" s="1">
        <f t="shared" ca="1" si="15"/>
        <v>45474</v>
      </c>
      <c r="E112" s="1">
        <f t="shared" ca="1" si="16"/>
        <v>45478</v>
      </c>
      <c r="F112" t="str">
        <f t="shared" ca="1" si="17"/>
        <v>Stroke</v>
      </c>
      <c r="G112" t="str">
        <f t="shared" ca="1" si="18"/>
        <v>Therapy</v>
      </c>
      <c r="H112">
        <f t="shared" ca="1" si="19"/>
        <v>4</v>
      </c>
      <c r="I112" t="str">
        <f t="shared" ca="1" si="20"/>
        <v>Yes</v>
      </c>
      <c r="J112">
        <f t="shared" ca="1" si="21"/>
        <v>1</v>
      </c>
      <c r="K112" t="str">
        <f t="shared" ca="1" si="22"/>
        <v>Public</v>
      </c>
      <c r="L112" t="str">
        <f t="shared" ca="1" si="23"/>
        <v>ICU</v>
      </c>
    </row>
    <row r="113" spans="1:12" x14ac:dyDescent="0.25">
      <c r="A113">
        <f t="shared" si="12"/>
        <v>112</v>
      </c>
      <c r="B113">
        <f t="shared" ca="1" si="13"/>
        <v>24</v>
      </c>
      <c r="C113" t="str">
        <f t="shared" ca="1" si="14"/>
        <v>Female</v>
      </c>
      <c r="D113" s="1">
        <f t="shared" ca="1" si="15"/>
        <v>45456</v>
      </c>
      <c r="E113" s="1">
        <f t="shared" ca="1" si="16"/>
        <v>45468</v>
      </c>
      <c r="F113" t="str">
        <f t="shared" ca="1" si="17"/>
        <v>Diabetes</v>
      </c>
      <c r="G113" t="str">
        <f t="shared" ca="1" si="18"/>
        <v>Therapy</v>
      </c>
      <c r="H113">
        <f t="shared" ca="1" si="19"/>
        <v>12</v>
      </c>
      <c r="I113" t="str">
        <f t="shared" ca="1" si="20"/>
        <v>Yes</v>
      </c>
      <c r="J113">
        <f t="shared" ca="1" si="21"/>
        <v>4</v>
      </c>
      <c r="K113" t="str">
        <f t="shared" ca="1" si="22"/>
        <v>Private</v>
      </c>
      <c r="L113" t="str">
        <f t="shared" ca="1" si="23"/>
        <v>Cardiology</v>
      </c>
    </row>
    <row r="114" spans="1:12" x14ac:dyDescent="0.25">
      <c r="A114">
        <f t="shared" si="12"/>
        <v>113</v>
      </c>
      <c r="B114">
        <f t="shared" ca="1" si="13"/>
        <v>20</v>
      </c>
      <c r="C114" t="str">
        <f t="shared" ca="1" si="14"/>
        <v>Female</v>
      </c>
      <c r="D114" s="1">
        <f t="shared" ca="1" si="15"/>
        <v>45552</v>
      </c>
      <c r="E114" s="1">
        <f t="shared" ca="1" si="16"/>
        <v>45561</v>
      </c>
      <c r="F114" t="str">
        <f t="shared" ca="1" si="17"/>
        <v>Hypertension</v>
      </c>
      <c r="G114" t="str">
        <f t="shared" ca="1" si="18"/>
        <v>Medication</v>
      </c>
      <c r="H114">
        <f t="shared" ca="1" si="19"/>
        <v>9</v>
      </c>
      <c r="I114" t="str">
        <f t="shared" ca="1" si="20"/>
        <v>No</v>
      </c>
      <c r="J114">
        <f t="shared" ca="1" si="21"/>
        <v>3</v>
      </c>
      <c r="K114" t="str">
        <f t="shared" ca="1" si="22"/>
        <v>Public</v>
      </c>
      <c r="L114" t="str">
        <f t="shared" ca="1" si="23"/>
        <v>ER</v>
      </c>
    </row>
    <row r="115" spans="1:12" x14ac:dyDescent="0.25">
      <c r="A115">
        <f t="shared" si="12"/>
        <v>114</v>
      </c>
      <c r="B115">
        <f t="shared" ca="1" si="13"/>
        <v>89</v>
      </c>
      <c r="C115" t="str">
        <f t="shared" ca="1" si="14"/>
        <v>Male</v>
      </c>
      <c r="D115" s="1">
        <f t="shared" ca="1" si="15"/>
        <v>45360</v>
      </c>
      <c r="E115" s="1">
        <f t="shared" ca="1" si="16"/>
        <v>45372</v>
      </c>
      <c r="F115" t="str">
        <f t="shared" ca="1" si="17"/>
        <v>Diabetes</v>
      </c>
      <c r="G115" t="str">
        <f t="shared" ca="1" si="18"/>
        <v>Therapy</v>
      </c>
      <c r="H115">
        <f t="shared" ca="1" si="19"/>
        <v>12</v>
      </c>
      <c r="I115" t="str">
        <f t="shared" ca="1" si="20"/>
        <v>No</v>
      </c>
      <c r="J115">
        <f t="shared" ca="1" si="21"/>
        <v>4</v>
      </c>
      <c r="K115" t="str">
        <f t="shared" ca="1" si="22"/>
        <v>None</v>
      </c>
      <c r="L115" t="str">
        <f t="shared" ca="1" si="23"/>
        <v>ER</v>
      </c>
    </row>
    <row r="116" spans="1:12" x14ac:dyDescent="0.25">
      <c r="A116">
        <f t="shared" si="12"/>
        <v>115</v>
      </c>
      <c r="B116">
        <f t="shared" ca="1" si="13"/>
        <v>25</v>
      </c>
      <c r="C116" t="str">
        <f t="shared" ca="1" si="14"/>
        <v>Male</v>
      </c>
      <c r="D116" s="1">
        <f t="shared" ca="1" si="15"/>
        <v>45409</v>
      </c>
      <c r="E116" s="1">
        <f t="shared" ca="1" si="16"/>
        <v>45413</v>
      </c>
      <c r="F116" t="str">
        <f t="shared" ca="1" si="17"/>
        <v>Heart Failure</v>
      </c>
      <c r="G116" t="str">
        <f t="shared" ca="1" si="18"/>
        <v>Therapy</v>
      </c>
      <c r="H116">
        <f t="shared" ca="1" si="19"/>
        <v>4</v>
      </c>
      <c r="I116" t="str">
        <f t="shared" ca="1" si="20"/>
        <v>Yes</v>
      </c>
      <c r="J116">
        <f t="shared" ca="1" si="21"/>
        <v>0</v>
      </c>
      <c r="K116" t="str">
        <f t="shared" ca="1" si="22"/>
        <v>None</v>
      </c>
      <c r="L116" t="str">
        <f t="shared" ca="1" si="23"/>
        <v>ICU</v>
      </c>
    </row>
    <row r="117" spans="1:12" x14ac:dyDescent="0.25">
      <c r="A117">
        <f t="shared" si="12"/>
        <v>116</v>
      </c>
      <c r="B117">
        <f t="shared" ca="1" si="13"/>
        <v>62</v>
      </c>
      <c r="C117" t="str">
        <f t="shared" ca="1" si="14"/>
        <v>Female</v>
      </c>
      <c r="D117" s="1">
        <f t="shared" ca="1" si="15"/>
        <v>45526</v>
      </c>
      <c r="E117" s="1">
        <f t="shared" ca="1" si="16"/>
        <v>45534</v>
      </c>
      <c r="F117" t="str">
        <f t="shared" ca="1" si="17"/>
        <v>Heart Failure</v>
      </c>
      <c r="G117" t="str">
        <f t="shared" ca="1" si="18"/>
        <v>Medication</v>
      </c>
      <c r="H117">
        <f t="shared" ca="1" si="19"/>
        <v>8</v>
      </c>
      <c r="I117" t="str">
        <f t="shared" ca="1" si="20"/>
        <v>No</v>
      </c>
      <c r="J117">
        <f t="shared" ca="1" si="21"/>
        <v>4</v>
      </c>
      <c r="K117" t="str">
        <f t="shared" ca="1" si="22"/>
        <v>Private</v>
      </c>
      <c r="L117" t="str">
        <f t="shared" ca="1" si="23"/>
        <v>ER</v>
      </c>
    </row>
    <row r="118" spans="1:12" x14ac:dyDescent="0.25">
      <c r="A118">
        <f t="shared" si="12"/>
        <v>117</v>
      </c>
      <c r="B118">
        <f t="shared" ca="1" si="13"/>
        <v>57</v>
      </c>
      <c r="C118" t="str">
        <f t="shared" ca="1" si="14"/>
        <v>Female</v>
      </c>
      <c r="D118" s="1">
        <f t="shared" ca="1" si="15"/>
        <v>45529</v>
      </c>
      <c r="E118" s="1">
        <f t="shared" ca="1" si="16"/>
        <v>45542</v>
      </c>
      <c r="F118" t="str">
        <f t="shared" ca="1" si="17"/>
        <v>Hypertension</v>
      </c>
      <c r="G118" t="str">
        <f t="shared" ca="1" si="18"/>
        <v>Medication</v>
      </c>
      <c r="H118">
        <f t="shared" ca="1" si="19"/>
        <v>13</v>
      </c>
      <c r="I118" t="str">
        <f t="shared" ca="1" si="20"/>
        <v>Yes</v>
      </c>
      <c r="J118">
        <f t="shared" ca="1" si="21"/>
        <v>3</v>
      </c>
      <c r="K118" t="str">
        <f t="shared" ca="1" si="22"/>
        <v>Public</v>
      </c>
      <c r="L118" t="str">
        <f t="shared" ca="1" si="23"/>
        <v>Cardiology</v>
      </c>
    </row>
    <row r="119" spans="1:12" x14ac:dyDescent="0.25">
      <c r="A119">
        <f t="shared" si="12"/>
        <v>118</v>
      </c>
      <c r="B119">
        <f t="shared" ca="1" si="13"/>
        <v>88</v>
      </c>
      <c r="C119" t="str">
        <f t="shared" ca="1" si="14"/>
        <v>Female</v>
      </c>
      <c r="D119" s="1">
        <f t="shared" ca="1" si="15"/>
        <v>45439</v>
      </c>
      <c r="E119" s="1">
        <f t="shared" ca="1" si="16"/>
        <v>45452</v>
      </c>
      <c r="F119" t="str">
        <f t="shared" ca="1" si="17"/>
        <v>Stroke</v>
      </c>
      <c r="G119" t="str">
        <f t="shared" ca="1" si="18"/>
        <v>Surgery</v>
      </c>
      <c r="H119">
        <f t="shared" ca="1" si="19"/>
        <v>13</v>
      </c>
      <c r="I119" t="str">
        <f t="shared" ca="1" si="20"/>
        <v>No</v>
      </c>
      <c r="J119">
        <f t="shared" ca="1" si="21"/>
        <v>4</v>
      </c>
      <c r="K119" t="str">
        <f t="shared" ca="1" si="22"/>
        <v>Private</v>
      </c>
      <c r="L119" t="str">
        <f t="shared" ca="1" si="23"/>
        <v>ER</v>
      </c>
    </row>
    <row r="120" spans="1:12" x14ac:dyDescent="0.25">
      <c r="A120">
        <f t="shared" si="12"/>
        <v>119</v>
      </c>
      <c r="B120">
        <f t="shared" ca="1" si="13"/>
        <v>32</v>
      </c>
      <c r="C120" t="str">
        <f t="shared" ca="1" si="14"/>
        <v>Female</v>
      </c>
      <c r="D120" s="1">
        <f t="shared" ca="1" si="15"/>
        <v>45594</v>
      </c>
      <c r="E120" s="1">
        <f t="shared" ca="1" si="16"/>
        <v>45606</v>
      </c>
      <c r="F120" t="str">
        <f t="shared" ca="1" si="17"/>
        <v>Stroke</v>
      </c>
      <c r="G120" t="str">
        <f t="shared" ca="1" si="18"/>
        <v>Medication</v>
      </c>
      <c r="H120">
        <f t="shared" ca="1" si="19"/>
        <v>12</v>
      </c>
      <c r="I120" t="str">
        <f t="shared" ca="1" si="20"/>
        <v>No</v>
      </c>
      <c r="J120">
        <f t="shared" ca="1" si="21"/>
        <v>4</v>
      </c>
      <c r="K120" t="str">
        <f t="shared" ca="1" si="22"/>
        <v>Private</v>
      </c>
      <c r="L120" t="str">
        <f t="shared" ca="1" si="23"/>
        <v>Cardiology</v>
      </c>
    </row>
    <row r="121" spans="1:12" x14ac:dyDescent="0.25">
      <c r="A121">
        <f t="shared" si="12"/>
        <v>120</v>
      </c>
      <c r="B121">
        <f t="shared" ca="1" si="13"/>
        <v>21</v>
      </c>
      <c r="C121" t="str">
        <f t="shared" ca="1" si="14"/>
        <v>Female</v>
      </c>
      <c r="D121" s="1">
        <f t="shared" ca="1" si="15"/>
        <v>45429</v>
      </c>
      <c r="E121" s="1">
        <f t="shared" ca="1" si="16"/>
        <v>45442</v>
      </c>
      <c r="F121" t="str">
        <f t="shared" ca="1" si="17"/>
        <v>Pneumonia</v>
      </c>
      <c r="G121" t="str">
        <f t="shared" ca="1" si="18"/>
        <v>Medication</v>
      </c>
      <c r="H121">
        <f t="shared" ca="1" si="19"/>
        <v>13</v>
      </c>
      <c r="I121" t="str">
        <f t="shared" ca="1" si="20"/>
        <v>No</v>
      </c>
      <c r="J121">
        <f t="shared" ca="1" si="21"/>
        <v>1</v>
      </c>
      <c r="K121" t="str">
        <f t="shared" ca="1" si="22"/>
        <v>Private</v>
      </c>
      <c r="L121" t="str">
        <f t="shared" ca="1" si="23"/>
        <v>Neurology</v>
      </c>
    </row>
    <row r="122" spans="1:12" x14ac:dyDescent="0.25">
      <c r="A122">
        <f t="shared" si="12"/>
        <v>121</v>
      </c>
      <c r="B122">
        <f t="shared" ca="1" si="13"/>
        <v>82</v>
      </c>
      <c r="C122" t="str">
        <f t="shared" ca="1" si="14"/>
        <v>Male</v>
      </c>
      <c r="D122" s="1">
        <f t="shared" ca="1" si="15"/>
        <v>45558</v>
      </c>
      <c r="E122" s="1">
        <f t="shared" ca="1" si="16"/>
        <v>45572</v>
      </c>
      <c r="F122" t="str">
        <f t="shared" ca="1" si="17"/>
        <v>Stroke</v>
      </c>
      <c r="G122" t="str">
        <f t="shared" ca="1" si="18"/>
        <v>Therapy</v>
      </c>
      <c r="H122">
        <f t="shared" ca="1" si="19"/>
        <v>14</v>
      </c>
      <c r="I122" t="str">
        <f t="shared" ca="1" si="20"/>
        <v>No</v>
      </c>
      <c r="J122">
        <f t="shared" ca="1" si="21"/>
        <v>1</v>
      </c>
      <c r="K122" t="str">
        <f t="shared" ca="1" si="22"/>
        <v>None</v>
      </c>
      <c r="L122" t="str">
        <f t="shared" ca="1" si="23"/>
        <v>Neurology</v>
      </c>
    </row>
    <row r="123" spans="1:12" x14ac:dyDescent="0.25">
      <c r="A123">
        <f t="shared" si="12"/>
        <v>122</v>
      </c>
      <c r="B123">
        <f t="shared" ca="1" si="13"/>
        <v>36</v>
      </c>
      <c r="C123" t="str">
        <f t="shared" ca="1" si="14"/>
        <v>Female</v>
      </c>
      <c r="D123" s="1">
        <f t="shared" ca="1" si="15"/>
        <v>45452</v>
      </c>
      <c r="E123" s="1">
        <f t="shared" ca="1" si="16"/>
        <v>45455</v>
      </c>
      <c r="F123" t="str">
        <f t="shared" ca="1" si="17"/>
        <v>Diabetes</v>
      </c>
      <c r="G123" t="str">
        <f t="shared" ca="1" si="18"/>
        <v>Therapy</v>
      </c>
      <c r="H123">
        <f t="shared" ca="1" si="19"/>
        <v>3</v>
      </c>
      <c r="I123" t="str">
        <f t="shared" ca="1" si="20"/>
        <v>No</v>
      </c>
      <c r="J123">
        <f t="shared" ca="1" si="21"/>
        <v>1</v>
      </c>
      <c r="K123" t="str">
        <f t="shared" ca="1" si="22"/>
        <v>Public</v>
      </c>
      <c r="L123" t="str">
        <f t="shared" ca="1" si="23"/>
        <v>General</v>
      </c>
    </row>
    <row r="124" spans="1:12" x14ac:dyDescent="0.25">
      <c r="A124">
        <f t="shared" si="12"/>
        <v>123</v>
      </c>
      <c r="B124">
        <f t="shared" ca="1" si="13"/>
        <v>31</v>
      </c>
      <c r="C124" t="str">
        <f t="shared" ca="1" si="14"/>
        <v>Female</v>
      </c>
      <c r="D124" s="1">
        <f t="shared" ca="1" si="15"/>
        <v>45482</v>
      </c>
      <c r="E124" s="1">
        <f t="shared" ca="1" si="16"/>
        <v>45490</v>
      </c>
      <c r="F124" t="str">
        <f t="shared" ca="1" si="17"/>
        <v>Heart Failure</v>
      </c>
      <c r="G124" t="str">
        <f t="shared" ca="1" si="18"/>
        <v>Surgery</v>
      </c>
      <c r="H124">
        <f t="shared" ca="1" si="19"/>
        <v>8</v>
      </c>
      <c r="I124" t="str">
        <f t="shared" ca="1" si="20"/>
        <v>No</v>
      </c>
      <c r="J124">
        <f t="shared" ca="1" si="21"/>
        <v>4</v>
      </c>
      <c r="K124" t="str">
        <f t="shared" ca="1" si="22"/>
        <v>Public</v>
      </c>
      <c r="L124" t="str">
        <f t="shared" ca="1" si="23"/>
        <v>Cardiology</v>
      </c>
    </row>
    <row r="125" spans="1:12" x14ac:dyDescent="0.25">
      <c r="A125">
        <f t="shared" si="12"/>
        <v>124</v>
      </c>
      <c r="B125">
        <f t="shared" ca="1" si="13"/>
        <v>81</v>
      </c>
      <c r="C125" t="str">
        <f t="shared" ca="1" si="14"/>
        <v>Male</v>
      </c>
      <c r="D125" s="1">
        <f t="shared" ca="1" si="15"/>
        <v>45379</v>
      </c>
      <c r="E125" s="1">
        <f t="shared" ca="1" si="16"/>
        <v>45392</v>
      </c>
      <c r="F125" t="str">
        <f t="shared" ca="1" si="17"/>
        <v>Hypertension</v>
      </c>
      <c r="G125" t="str">
        <f t="shared" ca="1" si="18"/>
        <v>Surgery</v>
      </c>
      <c r="H125">
        <f t="shared" ca="1" si="19"/>
        <v>13</v>
      </c>
      <c r="I125" t="str">
        <f t="shared" ca="1" si="20"/>
        <v>No</v>
      </c>
      <c r="J125">
        <f t="shared" ca="1" si="21"/>
        <v>1</v>
      </c>
      <c r="K125" t="str">
        <f t="shared" ca="1" si="22"/>
        <v>Private</v>
      </c>
      <c r="L125" t="str">
        <f t="shared" ca="1" si="23"/>
        <v>Cardiology</v>
      </c>
    </row>
    <row r="126" spans="1:12" x14ac:dyDescent="0.25">
      <c r="A126">
        <f t="shared" si="12"/>
        <v>125</v>
      </c>
      <c r="B126">
        <f t="shared" ca="1" si="13"/>
        <v>67</v>
      </c>
      <c r="C126" t="str">
        <f t="shared" ca="1" si="14"/>
        <v>Female</v>
      </c>
      <c r="D126" s="1">
        <f t="shared" ca="1" si="15"/>
        <v>45473</v>
      </c>
      <c r="E126" s="1">
        <f t="shared" ca="1" si="16"/>
        <v>45475</v>
      </c>
      <c r="F126" t="str">
        <f t="shared" ca="1" si="17"/>
        <v>Pneumonia</v>
      </c>
      <c r="G126" t="str">
        <f t="shared" ca="1" si="18"/>
        <v>Therapy</v>
      </c>
      <c r="H126">
        <f t="shared" ca="1" si="19"/>
        <v>2</v>
      </c>
      <c r="I126" t="str">
        <f t="shared" ca="1" si="20"/>
        <v>Yes</v>
      </c>
      <c r="J126">
        <f t="shared" ca="1" si="21"/>
        <v>0</v>
      </c>
      <c r="K126" t="str">
        <f t="shared" ca="1" si="22"/>
        <v>Public</v>
      </c>
      <c r="L126" t="str">
        <f t="shared" ca="1" si="23"/>
        <v>ER</v>
      </c>
    </row>
    <row r="127" spans="1:12" x14ac:dyDescent="0.25">
      <c r="A127">
        <f t="shared" si="12"/>
        <v>126</v>
      </c>
      <c r="B127">
        <f t="shared" ca="1" si="13"/>
        <v>87</v>
      </c>
      <c r="C127" t="str">
        <f t="shared" ca="1" si="14"/>
        <v>Male</v>
      </c>
      <c r="D127" s="1">
        <f t="shared" ca="1" si="15"/>
        <v>45529</v>
      </c>
      <c r="E127" s="1">
        <f t="shared" ca="1" si="16"/>
        <v>45530</v>
      </c>
      <c r="F127" t="str">
        <f t="shared" ca="1" si="17"/>
        <v>Stroke</v>
      </c>
      <c r="G127" t="str">
        <f t="shared" ca="1" si="18"/>
        <v>Medication</v>
      </c>
      <c r="H127">
        <f t="shared" ca="1" si="19"/>
        <v>1</v>
      </c>
      <c r="I127" t="str">
        <f t="shared" ca="1" si="20"/>
        <v>No</v>
      </c>
      <c r="J127">
        <f t="shared" ca="1" si="21"/>
        <v>4</v>
      </c>
      <c r="K127" t="str">
        <f t="shared" ca="1" si="22"/>
        <v>Public</v>
      </c>
      <c r="L127" t="str">
        <f t="shared" ca="1" si="23"/>
        <v>General</v>
      </c>
    </row>
    <row r="128" spans="1:12" x14ac:dyDescent="0.25">
      <c r="A128">
        <f t="shared" si="12"/>
        <v>127</v>
      </c>
      <c r="B128">
        <f t="shared" ca="1" si="13"/>
        <v>22</v>
      </c>
      <c r="C128" t="str">
        <f t="shared" ca="1" si="14"/>
        <v>Female</v>
      </c>
      <c r="D128" s="1">
        <f t="shared" ca="1" si="15"/>
        <v>45640</v>
      </c>
      <c r="E128" s="1">
        <f t="shared" ca="1" si="16"/>
        <v>45648</v>
      </c>
      <c r="F128" t="str">
        <f t="shared" ca="1" si="17"/>
        <v>Hypertension</v>
      </c>
      <c r="G128" t="str">
        <f t="shared" ca="1" si="18"/>
        <v>Medication</v>
      </c>
      <c r="H128">
        <f t="shared" ca="1" si="19"/>
        <v>8</v>
      </c>
      <c r="I128" t="str">
        <f t="shared" ca="1" si="20"/>
        <v>No</v>
      </c>
      <c r="J128">
        <f t="shared" ca="1" si="21"/>
        <v>2</v>
      </c>
      <c r="K128" t="str">
        <f t="shared" ca="1" si="22"/>
        <v>None</v>
      </c>
      <c r="L128" t="str">
        <f t="shared" ca="1" si="23"/>
        <v>Neurology</v>
      </c>
    </row>
    <row r="129" spans="1:12" x14ac:dyDescent="0.25">
      <c r="A129">
        <f t="shared" si="12"/>
        <v>128</v>
      </c>
      <c r="B129">
        <f t="shared" ca="1" si="13"/>
        <v>65</v>
      </c>
      <c r="C129" t="str">
        <f t="shared" ca="1" si="14"/>
        <v>Female</v>
      </c>
      <c r="D129" s="1">
        <f t="shared" ca="1" si="15"/>
        <v>45443</v>
      </c>
      <c r="E129" s="1">
        <f t="shared" ca="1" si="16"/>
        <v>45451</v>
      </c>
      <c r="F129" t="str">
        <f t="shared" ca="1" si="17"/>
        <v>Pneumonia</v>
      </c>
      <c r="G129" t="str">
        <f t="shared" ca="1" si="18"/>
        <v>Therapy</v>
      </c>
      <c r="H129">
        <f t="shared" ca="1" si="19"/>
        <v>8</v>
      </c>
      <c r="I129" t="str">
        <f t="shared" ca="1" si="20"/>
        <v>No</v>
      </c>
      <c r="J129">
        <f t="shared" ca="1" si="21"/>
        <v>3</v>
      </c>
      <c r="K129" t="str">
        <f t="shared" ca="1" si="22"/>
        <v>None</v>
      </c>
      <c r="L129" t="str">
        <f t="shared" ca="1" si="23"/>
        <v>ER</v>
      </c>
    </row>
    <row r="130" spans="1:12" x14ac:dyDescent="0.25">
      <c r="A130">
        <f t="shared" si="12"/>
        <v>129</v>
      </c>
      <c r="B130">
        <f t="shared" ca="1" si="13"/>
        <v>27</v>
      </c>
      <c r="C130" t="str">
        <f t="shared" ca="1" si="14"/>
        <v>Female</v>
      </c>
      <c r="D130" s="1">
        <f t="shared" ca="1" si="15"/>
        <v>45601</v>
      </c>
      <c r="E130" s="1">
        <f t="shared" ca="1" si="16"/>
        <v>45607</v>
      </c>
      <c r="F130" t="str">
        <f t="shared" ca="1" si="17"/>
        <v>Stroke</v>
      </c>
      <c r="G130" t="str">
        <f t="shared" ca="1" si="18"/>
        <v>Medication</v>
      </c>
      <c r="H130">
        <f t="shared" ca="1" si="19"/>
        <v>6</v>
      </c>
      <c r="I130" t="str">
        <f t="shared" ca="1" si="20"/>
        <v>No</v>
      </c>
      <c r="J130">
        <f t="shared" ca="1" si="21"/>
        <v>4</v>
      </c>
      <c r="K130" t="str">
        <f t="shared" ca="1" si="22"/>
        <v>None</v>
      </c>
      <c r="L130" t="str">
        <f t="shared" ca="1" si="23"/>
        <v>ICU</v>
      </c>
    </row>
    <row r="131" spans="1:12" x14ac:dyDescent="0.25">
      <c r="A131">
        <f t="shared" ref="A131:A194" si="24">ROW() -1</f>
        <v>130</v>
      </c>
      <c r="B131">
        <f t="shared" ref="B131:B194" ca="1" si="25">RANDBETWEEN(20,90)</f>
        <v>28</v>
      </c>
      <c r="C131" t="str">
        <f t="shared" ref="C131:C194" ca="1" si="26">IF(RAND()&lt;0.5,"Male","Female")</f>
        <v>Male</v>
      </c>
      <c r="D131" s="1">
        <f t="shared" ref="D131:D194" ca="1" si="27">DATE(2024,1,1)+RANDBETWEEN(0,364)</f>
        <v>45335</v>
      </c>
      <c r="E131" s="1">
        <f t="shared" ref="E131:E194" ca="1" si="28">D131+RANDBETWEEN(1,15)</f>
        <v>45343</v>
      </c>
      <c r="F131" t="str">
        <f t="shared" ref="F131:F194" ca="1" si="29">CHOOSE(RANDBETWEEN(1,5),"Diabetes","Heart Failure","Pneumonia","Stroke","Hypertension")</f>
        <v>Pneumonia</v>
      </c>
      <c r="G131" t="str">
        <f t="shared" ref="G131:G194" ca="1" si="30">CHOOSE(RANDBETWEEN(1,3),"Medication","Surgery","Therapy")</f>
        <v>Therapy</v>
      </c>
      <c r="H131">
        <f t="shared" ref="H131:H194" ca="1" si="31">DATEDIF(D131,E131,"D")</f>
        <v>8</v>
      </c>
      <c r="I131" t="str">
        <f t="shared" ref="I131:I194" ca="1" si="32">IF(RAND()&lt;0.3,"Yes","No")</f>
        <v>No</v>
      </c>
      <c r="J131">
        <f t="shared" ref="J131:J194" ca="1" si="33">RANDBETWEEN(0,4)</f>
        <v>1</v>
      </c>
      <c r="K131" t="str">
        <f t="shared" ref="K131:K194" ca="1" si="34">CHOOSE(RANDBETWEEN(1,3),"Private","Public","None")</f>
        <v>Public</v>
      </c>
      <c r="L131" t="str">
        <f t="shared" ref="L131:L194" ca="1" si="35">CHOOSE(RANDBETWEEN(1,5),"ER","Cardiology","Neurology","General","ICU")</f>
        <v>General</v>
      </c>
    </row>
    <row r="132" spans="1:12" x14ac:dyDescent="0.25">
      <c r="A132">
        <f t="shared" si="24"/>
        <v>131</v>
      </c>
      <c r="B132">
        <f t="shared" ca="1" si="25"/>
        <v>76</v>
      </c>
      <c r="C132" t="str">
        <f t="shared" ca="1" si="26"/>
        <v>Female</v>
      </c>
      <c r="D132" s="1">
        <f t="shared" ca="1" si="27"/>
        <v>45337</v>
      </c>
      <c r="E132" s="1">
        <f t="shared" ca="1" si="28"/>
        <v>45342</v>
      </c>
      <c r="F132" t="str">
        <f t="shared" ca="1" si="29"/>
        <v>Heart Failure</v>
      </c>
      <c r="G132" t="str">
        <f t="shared" ca="1" si="30"/>
        <v>Surgery</v>
      </c>
      <c r="H132">
        <f t="shared" ca="1" si="31"/>
        <v>5</v>
      </c>
      <c r="I132" t="str">
        <f t="shared" ca="1" si="32"/>
        <v>No</v>
      </c>
      <c r="J132">
        <f t="shared" ca="1" si="33"/>
        <v>3</v>
      </c>
      <c r="K132" t="str">
        <f t="shared" ca="1" si="34"/>
        <v>Private</v>
      </c>
      <c r="L132" t="str">
        <f t="shared" ca="1" si="35"/>
        <v>Neurology</v>
      </c>
    </row>
    <row r="133" spans="1:12" x14ac:dyDescent="0.25">
      <c r="A133">
        <f t="shared" si="24"/>
        <v>132</v>
      </c>
      <c r="B133">
        <f t="shared" ca="1" si="25"/>
        <v>56</v>
      </c>
      <c r="C133" t="str">
        <f t="shared" ca="1" si="26"/>
        <v>Female</v>
      </c>
      <c r="D133" s="1">
        <f t="shared" ca="1" si="27"/>
        <v>45422</v>
      </c>
      <c r="E133" s="1">
        <f t="shared" ca="1" si="28"/>
        <v>45431</v>
      </c>
      <c r="F133" t="str">
        <f t="shared" ca="1" si="29"/>
        <v>Stroke</v>
      </c>
      <c r="G133" t="str">
        <f t="shared" ca="1" si="30"/>
        <v>Therapy</v>
      </c>
      <c r="H133">
        <f t="shared" ca="1" si="31"/>
        <v>9</v>
      </c>
      <c r="I133" t="str">
        <f t="shared" ca="1" si="32"/>
        <v>No</v>
      </c>
      <c r="J133">
        <f t="shared" ca="1" si="33"/>
        <v>0</v>
      </c>
      <c r="K133" t="str">
        <f t="shared" ca="1" si="34"/>
        <v>None</v>
      </c>
      <c r="L133" t="str">
        <f t="shared" ca="1" si="35"/>
        <v>Cardiology</v>
      </c>
    </row>
    <row r="134" spans="1:12" x14ac:dyDescent="0.25">
      <c r="A134">
        <f t="shared" si="24"/>
        <v>133</v>
      </c>
      <c r="B134">
        <f t="shared" ca="1" si="25"/>
        <v>85</v>
      </c>
      <c r="C134" t="str">
        <f t="shared" ca="1" si="26"/>
        <v>Female</v>
      </c>
      <c r="D134" s="1">
        <f t="shared" ca="1" si="27"/>
        <v>45498</v>
      </c>
      <c r="E134" s="1">
        <f t="shared" ca="1" si="28"/>
        <v>45503</v>
      </c>
      <c r="F134" t="str">
        <f t="shared" ca="1" si="29"/>
        <v>Stroke</v>
      </c>
      <c r="G134" t="str">
        <f t="shared" ca="1" si="30"/>
        <v>Surgery</v>
      </c>
      <c r="H134">
        <f t="shared" ca="1" si="31"/>
        <v>5</v>
      </c>
      <c r="I134" t="str">
        <f t="shared" ca="1" si="32"/>
        <v>Yes</v>
      </c>
      <c r="J134">
        <f t="shared" ca="1" si="33"/>
        <v>0</v>
      </c>
      <c r="K134" t="str">
        <f t="shared" ca="1" si="34"/>
        <v>Private</v>
      </c>
      <c r="L134" t="str">
        <f t="shared" ca="1" si="35"/>
        <v>Neurology</v>
      </c>
    </row>
    <row r="135" spans="1:12" x14ac:dyDescent="0.25">
      <c r="A135">
        <f t="shared" si="24"/>
        <v>134</v>
      </c>
      <c r="B135">
        <f t="shared" ca="1" si="25"/>
        <v>48</v>
      </c>
      <c r="C135" t="str">
        <f t="shared" ca="1" si="26"/>
        <v>Male</v>
      </c>
      <c r="D135" s="1">
        <f t="shared" ca="1" si="27"/>
        <v>45439</v>
      </c>
      <c r="E135" s="1">
        <f t="shared" ca="1" si="28"/>
        <v>45443</v>
      </c>
      <c r="F135" t="str">
        <f t="shared" ca="1" si="29"/>
        <v>Stroke</v>
      </c>
      <c r="G135" t="str">
        <f t="shared" ca="1" si="30"/>
        <v>Therapy</v>
      </c>
      <c r="H135">
        <f t="shared" ca="1" si="31"/>
        <v>4</v>
      </c>
      <c r="I135" t="str">
        <f t="shared" ca="1" si="32"/>
        <v>Yes</v>
      </c>
      <c r="J135">
        <f t="shared" ca="1" si="33"/>
        <v>1</v>
      </c>
      <c r="K135" t="str">
        <f t="shared" ca="1" si="34"/>
        <v>Public</v>
      </c>
      <c r="L135" t="str">
        <f t="shared" ca="1" si="35"/>
        <v>ER</v>
      </c>
    </row>
    <row r="136" spans="1:12" x14ac:dyDescent="0.25">
      <c r="A136">
        <f t="shared" si="24"/>
        <v>135</v>
      </c>
      <c r="B136">
        <f t="shared" ca="1" si="25"/>
        <v>58</v>
      </c>
      <c r="C136" t="str">
        <f t="shared" ca="1" si="26"/>
        <v>Female</v>
      </c>
      <c r="D136" s="1">
        <f t="shared" ca="1" si="27"/>
        <v>45398</v>
      </c>
      <c r="E136" s="1">
        <f t="shared" ca="1" si="28"/>
        <v>45411</v>
      </c>
      <c r="F136" t="str">
        <f t="shared" ca="1" si="29"/>
        <v>Pneumonia</v>
      </c>
      <c r="G136" t="str">
        <f t="shared" ca="1" si="30"/>
        <v>Surgery</v>
      </c>
      <c r="H136">
        <f t="shared" ca="1" si="31"/>
        <v>13</v>
      </c>
      <c r="I136" t="str">
        <f t="shared" ca="1" si="32"/>
        <v>No</v>
      </c>
      <c r="J136">
        <f t="shared" ca="1" si="33"/>
        <v>2</v>
      </c>
      <c r="K136" t="str">
        <f t="shared" ca="1" si="34"/>
        <v>None</v>
      </c>
      <c r="L136" t="str">
        <f t="shared" ca="1" si="35"/>
        <v>Cardiology</v>
      </c>
    </row>
    <row r="137" spans="1:12" x14ac:dyDescent="0.25">
      <c r="A137">
        <f t="shared" si="24"/>
        <v>136</v>
      </c>
      <c r="B137">
        <f t="shared" ca="1" si="25"/>
        <v>68</v>
      </c>
      <c r="C137" t="str">
        <f t="shared" ca="1" si="26"/>
        <v>Male</v>
      </c>
      <c r="D137" s="1">
        <f t="shared" ca="1" si="27"/>
        <v>45524</v>
      </c>
      <c r="E137" s="1">
        <f t="shared" ca="1" si="28"/>
        <v>45528</v>
      </c>
      <c r="F137" t="str">
        <f t="shared" ca="1" si="29"/>
        <v>Diabetes</v>
      </c>
      <c r="G137" t="str">
        <f t="shared" ca="1" si="30"/>
        <v>Medication</v>
      </c>
      <c r="H137">
        <f t="shared" ca="1" si="31"/>
        <v>4</v>
      </c>
      <c r="I137" t="str">
        <f t="shared" ca="1" si="32"/>
        <v>No</v>
      </c>
      <c r="J137">
        <f t="shared" ca="1" si="33"/>
        <v>3</v>
      </c>
      <c r="K137" t="str">
        <f t="shared" ca="1" si="34"/>
        <v>Private</v>
      </c>
      <c r="L137" t="str">
        <f t="shared" ca="1" si="35"/>
        <v>Neurology</v>
      </c>
    </row>
    <row r="138" spans="1:12" x14ac:dyDescent="0.25">
      <c r="A138">
        <f t="shared" si="24"/>
        <v>137</v>
      </c>
      <c r="B138">
        <f t="shared" ca="1" si="25"/>
        <v>44</v>
      </c>
      <c r="C138" t="str">
        <f t="shared" ca="1" si="26"/>
        <v>Male</v>
      </c>
      <c r="D138" s="1">
        <f t="shared" ca="1" si="27"/>
        <v>45575</v>
      </c>
      <c r="E138" s="1">
        <f t="shared" ca="1" si="28"/>
        <v>45587</v>
      </c>
      <c r="F138" t="str">
        <f t="shared" ca="1" si="29"/>
        <v>Stroke</v>
      </c>
      <c r="G138" t="str">
        <f t="shared" ca="1" si="30"/>
        <v>Surgery</v>
      </c>
      <c r="H138">
        <f t="shared" ca="1" si="31"/>
        <v>12</v>
      </c>
      <c r="I138" t="str">
        <f t="shared" ca="1" si="32"/>
        <v>No</v>
      </c>
      <c r="J138">
        <f t="shared" ca="1" si="33"/>
        <v>2</v>
      </c>
      <c r="K138" t="str">
        <f t="shared" ca="1" si="34"/>
        <v>Public</v>
      </c>
      <c r="L138" t="str">
        <f t="shared" ca="1" si="35"/>
        <v>ICU</v>
      </c>
    </row>
    <row r="139" spans="1:12" x14ac:dyDescent="0.25">
      <c r="A139">
        <f t="shared" si="24"/>
        <v>138</v>
      </c>
      <c r="B139">
        <f t="shared" ca="1" si="25"/>
        <v>80</v>
      </c>
      <c r="C139" t="str">
        <f t="shared" ca="1" si="26"/>
        <v>Female</v>
      </c>
      <c r="D139" s="1">
        <f t="shared" ca="1" si="27"/>
        <v>45599</v>
      </c>
      <c r="E139" s="1">
        <f t="shared" ca="1" si="28"/>
        <v>45604</v>
      </c>
      <c r="F139" t="str">
        <f t="shared" ca="1" si="29"/>
        <v>Hypertension</v>
      </c>
      <c r="G139" t="str">
        <f t="shared" ca="1" si="30"/>
        <v>Surgery</v>
      </c>
      <c r="H139">
        <f t="shared" ca="1" si="31"/>
        <v>5</v>
      </c>
      <c r="I139" t="str">
        <f t="shared" ca="1" si="32"/>
        <v>No</v>
      </c>
      <c r="J139">
        <f t="shared" ca="1" si="33"/>
        <v>0</v>
      </c>
      <c r="K139" t="str">
        <f t="shared" ca="1" si="34"/>
        <v>Public</v>
      </c>
      <c r="L139" t="str">
        <f t="shared" ca="1" si="35"/>
        <v>Cardiology</v>
      </c>
    </row>
    <row r="140" spans="1:12" x14ac:dyDescent="0.25">
      <c r="A140">
        <f t="shared" si="24"/>
        <v>139</v>
      </c>
      <c r="B140">
        <f t="shared" ca="1" si="25"/>
        <v>26</v>
      </c>
      <c r="C140" t="str">
        <f t="shared" ca="1" si="26"/>
        <v>Male</v>
      </c>
      <c r="D140" s="1">
        <f t="shared" ca="1" si="27"/>
        <v>45371</v>
      </c>
      <c r="E140" s="1">
        <f t="shared" ca="1" si="28"/>
        <v>45372</v>
      </c>
      <c r="F140" t="str">
        <f t="shared" ca="1" si="29"/>
        <v>Diabetes</v>
      </c>
      <c r="G140" t="str">
        <f t="shared" ca="1" si="30"/>
        <v>Therapy</v>
      </c>
      <c r="H140">
        <f t="shared" ca="1" si="31"/>
        <v>1</v>
      </c>
      <c r="I140" t="str">
        <f t="shared" ca="1" si="32"/>
        <v>Yes</v>
      </c>
      <c r="J140">
        <f t="shared" ca="1" si="33"/>
        <v>4</v>
      </c>
      <c r="K140" t="str">
        <f t="shared" ca="1" si="34"/>
        <v>Private</v>
      </c>
      <c r="L140" t="str">
        <f t="shared" ca="1" si="35"/>
        <v>General</v>
      </c>
    </row>
    <row r="141" spans="1:12" x14ac:dyDescent="0.25">
      <c r="A141">
        <f t="shared" si="24"/>
        <v>140</v>
      </c>
      <c r="B141">
        <f t="shared" ca="1" si="25"/>
        <v>54</v>
      </c>
      <c r="C141" t="str">
        <f t="shared" ca="1" si="26"/>
        <v>Male</v>
      </c>
      <c r="D141" s="1">
        <f t="shared" ca="1" si="27"/>
        <v>45607</v>
      </c>
      <c r="E141" s="1">
        <f t="shared" ca="1" si="28"/>
        <v>45617</v>
      </c>
      <c r="F141" t="str">
        <f t="shared" ca="1" si="29"/>
        <v>Hypertension</v>
      </c>
      <c r="G141" t="str">
        <f t="shared" ca="1" si="30"/>
        <v>Therapy</v>
      </c>
      <c r="H141">
        <f t="shared" ca="1" si="31"/>
        <v>10</v>
      </c>
      <c r="I141" t="str">
        <f t="shared" ca="1" si="32"/>
        <v>No</v>
      </c>
      <c r="J141">
        <f t="shared" ca="1" si="33"/>
        <v>3</v>
      </c>
      <c r="K141" t="str">
        <f t="shared" ca="1" si="34"/>
        <v>None</v>
      </c>
      <c r="L141" t="str">
        <f t="shared" ca="1" si="35"/>
        <v>General</v>
      </c>
    </row>
    <row r="142" spans="1:12" x14ac:dyDescent="0.25">
      <c r="A142">
        <f t="shared" si="24"/>
        <v>141</v>
      </c>
      <c r="B142">
        <f t="shared" ca="1" si="25"/>
        <v>59</v>
      </c>
      <c r="C142" t="str">
        <f t="shared" ca="1" si="26"/>
        <v>Male</v>
      </c>
      <c r="D142" s="1">
        <f t="shared" ca="1" si="27"/>
        <v>45566</v>
      </c>
      <c r="E142" s="1">
        <f t="shared" ca="1" si="28"/>
        <v>45573</v>
      </c>
      <c r="F142" t="str">
        <f t="shared" ca="1" si="29"/>
        <v>Heart Failure</v>
      </c>
      <c r="G142" t="str">
        <f t="shared" ca="1" si="30"/>
        <v>Therapy</v>
      </c>
      <c r="H142">
        <f t="shared" ca="1" si="31"/>
        <v>7</v>
      </c>
      <c r="I142" t="str">
        <f t="shared" ca="1" si="32"/>
        <v>No</v>
      </c>
      <c r="J142">
        <f t="shared" ca="1" si="33"/>
        <v>0</v>
      </c>
      <c r="K142" t="str">
        <f t="shared" ca="1" si="34"/>
        <v>Public</v>
      </c>
      <c r="L142" t="str">
        <f t="shared" ca="1" si="35"/>
        <v>ICU</v>
      </c>
    </row>
    <row r="143" spans="1:12" x14ac:dyDescent="0.25">
      <c r="A143">
        <f t="shared" si="24"/>
        <v>142</v>
      </c>
      <c r="B143">
        <f t="shared" ca="1" si="25"/>
        <v>29</v>
      </c>
      <c r="C143" t="str">
        <f t="shared" ca="1" si="26"/>
        <v>Female</v>
      </c>
      <c r="D143" s="1">
        <f t="shared" ca="1" si="27"/>
        <v>45552</v>
      </c>
      <c r="E143" s="1">
        <f t="shared" ca="1" si="28"/>
        <v>45557</v>
      </c>
      <c r="F143" t="str">
        <f t="shared" ca="1" si="29"/>
        <v>Heart Failure</v>
      </c>
      <c r="G143" t="str">
        <f t="shared" ca="1" si="30"/>
        <v>Surgery</v>
      </c>
      <c r="H143">
        <f t="shared" ca="1" si="31"/>
        <v>5</v>
      </c>
      <c r="I143" t="str">
        <f t="shared" ca="1" si="32"/>
        <v>Yes</v>
      </c>
      <c r="J143">
        <f t="shared" ca="1" si="33"/>
        <v>1</v>
      </c>
      <c r="K143" t="str">
        <f t="shared" ca="1" si="34"/>
        <v>Private</v>
      </c>
      <c r="L143" t="str">
        <f t="shared" ca="1" si="35"/>
        <v>ER</v>
      </c>
    </row>
    <row r="144" spans="1:12" x14ac:dyDescent="0.25">
      <c r="A144">
        <f t="shared" si="24"/>
        <v>143</v>
      </c>
      <c r="B144">
        <f t="shared" ca="1" si="25"/>
        <v>62</v>
      </c>
      <c r="C144" t="str">
        <f t="shared" ca="1" si="26"/>
        <v>Male</v>
      </c>
      <c r="D144" s="1">
        <f t="shared" ca="1" si="27"/>
        <v>45295</v>
      </c>
      <c r="E144" s="1">
        <f t="shared" ca="1" si="28"/>
        <v>45303</v>
      </c>
      <c r="F144" t="str">
        <f t="shared" ca="1" si="29"/>
        <v>Stroke</v>
      </c>
      <c r="G144" t="str">
        <f t="shared" ca="1" si="30"/>
        <v>Surgery</v>
      </c>
      <c r="H144">
        <f t="shared" ca="1" si="31"/>
        <v>8</v>
      </c>
      <c r="I144" t="str">
        <f t="shared" ca="1" si="32"/>
        <v>No</v>
      </c>
      <c r="J144">
        <f t="shared" ca="1" si="33"/>
        <v>0</v>
      </c>
      <c r="K144" t="str">
        <f t="shared" ca="1" si="34"/>
        <v>None</v>
      </c>
      <c r="L144" t="str">
        <f t="shared" ca="1" si="35"/>
        <v>ER</v>
      </c>
    </row>
    <row r="145" spans="1:12" x14ac:dyDescent="0.25">
      <c r="A145">
        <f t="shared" si="24"/>
        <v>144</v>
      </c>
      <c r="B145">
        <f t="shared" ca="1" si="25"/>
        <v>79</v>
      </c>
      <c r="C145" t="str">
        <f t="shared" ca="1" si="26"/>
        <v>Female</v>
      </c>
      <c r="D145" s="1">
        <f t="shared" ca="1" si="27"/>
        <v>45530</v>
      </c>
      <c r="E145" s="1">
        <f t="shared" ca="1" si="28"/>
        <v>45544</v>
      </c>
      <c r="F145" t="str">
        <f t="shared" ca="1" si="29"/>
        <v>Diabetes</v>
      </c>
      <c r="G145" t="str">
        <f t="shared" ca="1" si="30"/>
        <v>Surgery</v>
      </c>
      <c r="H145">
        <f t="shared" ca="1" si="31"/>
        <v>14</v>
      </c>
      <c r="I145" t="str">
        <f t="shared" ca="1" si="32"/>
        <v>No</v>
      </c>
      <c r="J145">
        <f t="shared" ca="1" si="33"/>
        <v>0</v>
      </c>
      <c r="K145" t="str">
        <f t="shared" ca="1" si="34"/>
        <v>None</v>
      </c>
      <c r="L145" t="str">
        <f t="shared" ca="1" si="35"/>
        <v>ER</v>
      </c>
    </row>
    <row r="146" spans="1:12" x14ac:dyDescent="0.25">
      <c r="A146">
        <f t="shared" si="24"/>
        <v>145</v>
      </c>
      <c r="B146">
        <f t="shared" ca="1" si="25"/>
        <v>74</v>
      </c>
      <c r="C146" t="str">
        <f t="shared" ca="1" si="26"/>
        <v>Male</v>
      </c>
      <c r="D146" s="1">
        <f t="shared" ca="1" si="27"/>
        <v>45565</v>
      </c>
      <c r="E146" s="1">
        <f t="shared" ca="1" si="28"/>
        <v>45574</v>
      </c>
      <c r="F146" t="str">
        <f t="shared" ca="1" si="29"/>
        <v>Hypertension</v>
      </c>
      <c r="G146" t="str">
        <f t="shared" ca="1" si="30"/>
        <v>Medication</v>
      </c>
      <c r="H146">
        <f t="shared" ca="1" si="31"/>
        <v>9</v>
      </c>
      <c r="I146" t="str">
        <f t="shared" ca="1" si="32"/>
        <v>No</v>
      </c>
      <c r="J146">
        <f t="shared" ca="1" si="33"/>
        <v>0</v>
      </c>
      <c r="K146" t="str">
        <f t="shared" ca="1" si="34"/>
        <v>Public</v>
      </c>
      <c r="L146" t="str">
        <f t="shared" ca="1" si="35"/>
        <v>ICU</v>
      </c>
    </row>
    <row r="147" spans="1:12" x14ac:dyDescent="0.25">
      <c r="A147">
        <f t="shared" si="24"/>
        <v>146</v>
      </c>
      <c r="B147">
        <f t="shared" ca="1" si="25"/>
        <v>23</v>
      </c>
      <c r="C147" t="str">
        <f t="shared" ca="1" si="26"/>
        <v>Male</v>
      </c>
      <c r="D147" s="1">
        <f t="shared" ca="1" si="27"/>
        <v>45567</v>
      </c>
      <c r="E147" s="1">
        <f t="shared" ca="1" si="28"/>
        <v>45582</v>
      </c>
      <c r="F147" t="str">
        <f t="shared" ca="1" si="29"/>
        <v>Hypertension</v>
      </c>
      <c r="G147" t="str">
        <f t="shared" ca="1" si="30"/>
        <v>Surgery</v>
      </c>
      <c r="H147">
        <f t="shared" ca="1" si="31"/>
        <v>15</v>
      </c>
      <c r="I147" t="str">
        <f t="shared" ca="1" si="32"/>
        <v>Yes</v>
      </c>
      <c r="J147">
        <f t="shared" ca="1" si="33"/>
        <v>2</v>
      </c>
      <c r="K147" t="str">
        <f t="shared" ca="1" si="34"/>
        <v>Public</v>
      </c>
      <c r="L147" t="str">
        <f t="shared" ca="1" si="35"/>
        <v>General</v>
      </c>
    </row>
    <row r="148" spans="1:12" x14ac:dyDescent="0.25">
      <c r="A148">
        <f t="shared" si="24"/>
        <v>147</v>
      </c>
      <c r="B148">
        <f t="shared" ca="1" si="25"/>
        <v>23</v>
      </c>
      <c r="C148" t="str">
        <f t="shared" ca="1" si="26"/>
        <v>Female</v>
      </c>
      <c r="D148" s="1">
        <f t="shared" ca="1" si="27"/>
        <v>45608</v>
      </c>
      <c r="E148" s="1">
        <f t="shared" ca="1" si="28"/>
        <v>45618</v>
      </c>
      <c r="F148" t="str">
        <f t="shared" ca="1" si="29"/>
        <v>Heart Failure</v>
      </c>
      <c r="G148" t="str">
        <f t="shared" ca="1" si="30"/>
        <v>Medication</v>
      </c>
      <c r="H148">
        <f t="shared" ca="1" si="31"/>
        <v>10</v>
      </c>
      <c r="I148" t="str">
        <f t="shared" ca="1" si="32"/>
        <v>Yes</v>
      </c>
      <c r="J148">
        <f t="shared" ca="1" si="33"/>
        <v>4</v>
      </c>
      <c r="K148" t="str">
        <f t="shared" ca="1" si="34"/>
        <v>Private</v>
      </c>
      <c r="L148" t="str">
        <f t="shared" ca="1" si="35"/>
        <v>Neurology</v>
      </c>
    </row>
    <row r="149" spans="1:12" x14ac:dyDescent="0.25">
      <c r="A149">
        <f t="shared" si="24"/>
        <v>148</v>
      </c>
      <c r="B149">
        <f t="shared" ca="1" si="25"/>
        <v>73</v>
      </c>
      <c r="C149" t="str">
        <f t="shared" ca="1" si="26"/>
        <v>Female</v>
      </c>
      <c r="D149" s="1">
        <f t="shared" ca="1" si="27"/>
        <v>45532</v>
      </c>
      <c r="E149" s="1">
        <f t="shared" ca="1" si="28"/>
        <v>45535</v>
      </c>
      <c r="F149" t="str">
        <f t="shared" ca="1" si="29"/>
        <v>Hypertension</v>
      </c>
      <c r="G149" t="str">
        <f t="shared" ca="1" si="30"/>
        <v>Surgery</v>
      </c>
      <c r="H149">
        <f t="shared" ca="1" si="31"/>
        <v>3</v>
      </c>
      <c r="I149" t="str">
        <f t="shared" ca="1" si="32"/>
        <v>Yes</v>
      </c>
      <c r="J149">
        <f t="shared" ca="1" si="33"/>
        <v>3</v>
      </c>
      <c r="K149" t="str">
        <f t="shared" ca="1" si="34"/>
        <v>Private</v>
      </c>
      <c r="L149" t="str">
        <f t="shared" ca="1" si="35"/>
        <v>ICU</v>
      </c>
    </row>
    <row r="150" spans="1:12" x14ac:dyDescent="0.25">
      <c r="A150">
        <f t="shared" si="24"/>
        <v>149</v>
      </c>
      <c r="B150">
        <f t="shared" ca="1" si="25"/>
        <v>61</v>
      </c>
      <c r="C150" t="str">
        <f t="shared" ca="1" si="26"/>
        <v>Female</v>
      </c>
      <c r="D150" s="1">
        <f t="shared" ca="1" si="27"/>
        <v>45486</v>
      </c>
      <c r="E150" s="1">
        <f t="shared" ca="1" si="28"/>
        <v>45487</v>
      </c>
      <c r="F150" t="str">
        <f t="shared" ca="1" si="29"/>
        <v>Hypertension</v>
      </c>
      <c r="G150" t="str">
        <f t="shared" ca="1" si="30"/>
        <v>Medication</v>
      </c>
      <c r="H150">
        <f t="shared" ca="1" si="31"/>
        <v>1</v>
      </c>
      <c r="I150" t="str">
        <f t="shared" ca="1" si="32"/>
        <v>No</v>
      </c>
      <c r="J150">
        <f t="shared" ca="1" si="33"/>
        <v>4</v>
      </c>
      <c r="K150" t="str">
        <f t="shared" ca="1" si="34"/>
        <v>Public</v>
      </c>
      <c r="L150" t="str">
        <f t="shared" ca="1" si="35"/>
        <v>General</v>
      </c>
    </row>
    <row r="151" spans="1:12" x14ac:dyDescent="0.25">
      <c r="A151">
        <f t="shared" si="24"/>
        <v>150</v>
      </c>
      <c r="B151">
        <f t="shared" ca="1" si="25"/>
        <v>23</v>
      </c>
      <c r="C151" t="str">
        <f t="shared" ca="1" si="26"/>
        <v>Female</v>
      </c>
      <c r="D151" s="1">
        <f t="shared" ca="1" si="27"/>
        <v>45533</v>
      </c>
      <c r="E151" s="1">
        <f t="shared" ca="1" si="28"/>
        <v>45544</v>
      </c>
      <c r="F151" t="str">
        <f t="shared" ca="1" si="29"/>
        <v>Pneumonia</v>
      </c>
      <c r="G151" t="str">
        <f t="shared" ca="1" si="30"/>
        <v>Medication</v>
      </c>
      <c r="H151">
        <f t="shared" ca="1" si="31"/>
        <v>11</v>
      </c>
      <c r="I151" t="str">
        <f t="shared" ca="1" si="32"/>
        <v>No</v>
      </c>
      <c r="J151">
        <f t="shared" ca="1" si="33"/>
        <v>0</v>
      </c>
      <c r="K151" t="str">
        <f t="shared" ca="1" si="34"/>
        <v>Private</v>
      </c>
      <c r="L151" t="str">
        <f t="shared" ca="1" si="35"/>
        <v>Cardiology</v>
      </c>
    </row>
    <row r="152" spans="1:12" x14ac:dyDescent="0.25">
      <c r="A152">
        <f t="shared" si="24"/>
        <v>151</v>
      </c>
      <c r="B152">
        <f t="shared" ca="1" si="25"/>
        <v>59</v>
      </c>
      <c r="C152" t="str">
        <f t="shared" ca="1" si="26"/>
        <v>Male</v>
      </c>
      <c r="D152" s="1">
        <f t="shared" ca="1" si="27"/>
        <v>45422</v>
      </c>
      <c r="E152" s="1">
        <f t="shared" ca="1" si="28"/>
        <v>45434</v>
      </c>
      <c r="F152" t="str">
        <f t="shared" ca="1" si="29"/>
        <v>Stroke</v>
      </c>
      <c r="G152" t="str">
        <f t="shared" ca="1" si="30"/>
        <v>Surgery</v>
      </c>
      <c r="H152">
        <f t="shared" ca="1" si="31"/>
        <v>12</v>
      </c>
      <c r="I152" t="str">
        <f t="shared" ca="1" si="32"/>
        <v>No</v>
      </c>
      <c r="J152">
        <f t="shared" ca="1" si="33"/>
        <v>2</v>
      </c>
      <c r="K152" t="str">
        <f t="shared" ca="1" si="34"/>
        <v>Public</v>
      </c>
      <c r="L152" t="str">
        <f t="shared" ca="1" si="35"/>
        <v>Cardiology</v>
      </c>
    </row>
    <row r="153" spans="1:12" x14ac:dyDescent="0.25">
      <c r="A153">
        <f t="shared" si="24"/>
        <v>152</v>
      </c>
      <c r="B153">
        <f t="shared" ca="1" si="25"/>
        <v>38</v>
      </c>
      <c r="C153" t="str">
        <f t="shared" ca="1" si="26"/>
        <v>Female</v>
      </c>
      <c r="D153" s="1">
        <f t="shared" ca="1" si="27"/>
        <v>45486</v>
      </c>
      <c r="E153" s="1">
        <f t="shared" ca="1" si="28"/>
        <v>45501</v>
      </c>
      <c r="F153" t="str">
        <f t="shared" ca="1" si="29"/>
        <v>Hypertension</v>
      </c>
      <c r="G153" t="str">
        <f t="shared" ca="1" si="30"/>
        <v>Medication</v>
      </c>
      <c r="H153">
        <f t="shared" ca="1" si="31"/>
        <v>15</v>
      </c>
      <c r="I153" t="str">
        <f t="shared" ca="1" si="32"/>
        <v>No</v>
      </c>
      <c r="J153">
        <f t="shared" ca="1" si="33"/>
        <v>0</v>
      </c>
      <c r="K153" t="str">
        <f t="shared" ca="1" si="34"/>
        <v>Private</v>
      </c>
      <c r="L153" t="str">
        <f t="shared" ca="1" si="35"/>
        <v>ER</v>
      </c>
    </row>
    <row r="154" spans="1:12" x14ac:dyDescent="0.25">
      <c r="A154">
        <f t="shared" si="24"/>
        <v>153</v>
      </c>
      <c r="B154">
        <f t="shared" ca="1" si="25"/>
        <v>54</v>
      </c>
      <c r="C154" t="str">
        <f t="shared" ca="1" si="26"/>
        <v>Female</v>
      </c>
      <c r="D154" s="1">
        <f t="shared" ca="1" si="27"/>
        <v>45572</v>
      </c>
      <c r="E154" s="1">
        <f t="shared" ca="1" si="28"/>
        <v>45579</v>
      </c>
      <c r="F154" t="str">
        <f t="shared" ca="1" si="29"/>
        <v>Diabetes</v>
      </c>
      <c r="G154" t="str">
        <f t="shared" ca="1" si="30"/>
        <v>Therapy</v>
      </c>
      <c r="H154">
        <f t="shared" ca="1" si="31"/>
        <v>7</v>
      </c>
      <c r="I154" t="str">
        <f t="shared" ca="1" si="32"/>
        <v>Yes</v>
      </c>
      <c r="J154">
        <f t="shared" ca="1" si="33"/>
        <v>1</v>
      </c>
      <c r="K154" t="str">
        <f t="shared" ca="1" si="34"/>
        <v>Public</v>
      </c>
      <c r="L154" t="str">
        <f t="shared" ca="1" si="35"/>
        <v>General</v>
      </c>
    </row>
    <row r="155" spans="1:12" x14ac:dyDescent="0.25">
      <c r="A155">
        <f t="shared" si="24"/>
        <v>154</v>
      </c>
      <c r="B155">
        <f t="shared" ca="1" si="25"/>
        <v>83</v>
      </c>
      <c r="C155" t="str">
        <f t="shared" ca="1" si="26"/>
        <v>Male</v>
      </c>
      <c r="D155" s="1">
        <f t="shared" ca="1" si="27"/>
        <v>45454</v>
      </c>
      <c r="E155" s="1">
        <f t="shared" ca="1" si="28"/>
        <v>45463</v>
      </c>
      <c r="F155" t="str">
        <f t="shared" ca="1" si="29"/>
        <v>Pneumonia</v>
      </c>
      <c r="G155" t="str">
        <f t="shared" ca="1" si="30"/>
        <v>Medication</v>
      </c>
      <c r="H155">
        <f t="shared" ca="1" si="31"/>
        <v>9</v>
      </c>
      <c r="I155" t="str">
        <f t="shared" ca="1" si="32"/>
        <v>No</v>
      </c>
      <c r="J155">
        <f t="shared" ca="1" si="33"/>
        <v>2</v>
      </c>
      <c r="K155" t="str">
        <f t="shared" ca="1" si="34"/>
        <v>Public</v>
      </c>
      <c r="L155" t="str">
        <f t="shared" ca="1" si="35"/>
        <v>ER</v>
      </c>
    </row>
    <row r="156" spans="1:12" x14ac:dyDescent="0.25">
      <c r="A156">
        <f t="shared" si="24"/>
        <v>155</v>
      </c>
      <c r="B156">
        <f t="shared" ca="1" si="25"/>
        <v>73</v>
      </c>
      <c r="C156" t="str">
        <f t="shared" ca="1" si="26"/>
        <v>Male</v>
      </c>
      <c r="D156" s="1">
        <f t="shared" ca="1" si="27"/>
        <v>45546</v>
      </c>
      <c r="E156" s="1">
        <f t="shared" ca="1" si="28"/>
        <v>45554</v>
      </c>
      <c r="F156" t="str">
        <f t="shared" ca="1" si="29"/>
        <v>Stroke</v>
      </c>
      <c r="G156" t="str">
        <f t="shared" ca="1" si="30"/>
        <v>Therapy</v>
      </c>
      <c r="H156">
        <f t="shared" ca="1" si="31"/>
        <v>8</v>
      </c>
      <c r="I156" t="str">
        <f t="shared" ca="1" si="32"/>
        <v>No</v>
      </c>
      <c r="J156">
        <f t="shared" ca="1" si="33"/>
        <v>0</v>
      </c>
      <c r="K156" t="str">
        <f t="shared" ca="1" si="34"/>
        <v>None</v>
      </c>
      <c r="L156" t="str">
        <f t="shared" ca="1" si="35"/>
        <v>ICU</v>
      </c>
    </row>
    <row r="157" spans="1:12" x14ac:dyDescent="0.25">
      <c r="A157">
        <f t="shared" si="24"/>
        <v>156</v>
      </c>
      <c r="B157">
        <f t="shared" ca="1" si="25"/>
        <v>72</v>
      </c>
      <c r="C157" t="str">
        <f t="shared" ca="1" si="26"/>
        <v>Male</v>
      </c>
      <c r="D157" s="1">
        <f t="shared" ca="1" si="27"/>
        <v>45566</v>
      </c>
      <c r="E157" s="1">
        <f t="shared" ca="1" si="28"/>
        <v>45578</v>
      </c>
      <c r="F157" t="str">
        <f t="shared" ca="1" si="29"/>
        <v>Hypertension</v>
      </c>
      <c r="G157" t="str">
        <f t="shared" ca="1" si="30"/>
        <v>Surgery</v>
      </c>
      <c r="H157">
        <f t="shared" ca="1" si="31"/>
        <v>12</v>
      </c>
      <c r="I157" t="str">
        <f t="shared" ca="1" si="32"/>
        <v>No</v>
      </c>
      <c r="J157">
        <f t="shared" ca="1" si="33"/>
        <v>1</v>
      </c>
      <c r="K157" t="str">
        <f t="shared" ca="1" si="34"/>
        <v>Public</v>
      </c>
      <c r="L157" t="str">
        <f t="shared" ca="1" si="35"/>
        <v>ICU</v>
      </c>
    </row>
    <row r="158" spans="1:12" x14ac:dyDescent="0.25">
      <c r="A158">
        <f t="shared" si="24"/>
        <v>157</v>
      </c>
      <c r="B158">
        <f t="shared" ca="1" si="25"/>
        <v>72</v>
      </c>
      <c r="C158" t="str">
        <f t="shared" ca="1" si="26"/>
        <v>Female</v>
      </c>
      <c r="D158" s="1">
        <f t="shared" ca="1" si="27"/>
        <v>45391</v>
      </c>
      <c r="E158" s="1">
        <f t="shared" ca="1" si="28"/>
        <v>45397</v>
      </c>
      <c r="F158" t="str">
        <f t="shared" ca="1" si="29"/>
        <v>Diabetes</v>
      </c>
      <c r="G158" t="str">
        <f t="shared" ca="1" si="30"/>
        <v>Surgery</v>
      </c>
      <c r="H158">
        <f t="shared" ca="1" si="31"/>
        <v>6</v>
      </c>
      <c r="I158" t="str">
        <f t="shared" ca="1" si="32"/>
        <v>Yes</v>
      </c>
      <c r="J158">
        <f t="shared" ca="1" si="33"/>
        <v>4</v>
      </c>
      <c r="K158" t="str">
        <f t="shared" ca="1" si="34"/>
        <v>Public</v>
      </c>
      <c r="L158" t="str">
        <f t="shared" ca="1" si="35"/>
        <v>Cardiology</v>
      </c>
    </row>
    <row r="159" spans="1:12" x14ac:dyDescent="0.25">
      <c r="A159">
        <f t="shared" si="24"/>
        <v>158</v>
      </c>
      <c r="B159">
        <f t="shared" ca="1" si="25"/>
        <v>30</v>
      </c>
      <c r="C159" t="str">
        <f t="shared" ca="1" si="26"/>
        <v>Female</v>
      </c>
      <c r="D159" s="1">
        <f t="shared" ca="1" si="27"/>
        <v>45609</v>
      </c>
      <c r="E159" s="1">
        <f t="shared" ca="1" si="28"/>
        <v>45623</v>
      </c>
      <c r="F159" t="str">
        <f t="shared" ca="1" si="29"/>
        <v>Heart Failure</v>
      </c>
      <c r="G159" t="str">
        <f t="shared" ca="1" si="30"/>
        <v>Surgery</v>
      </c>
      <c r="H159">
        <f t="shared" ca="1" si="31"/>
        <v>14</v>
      </c>
      <c r="I159" t="str">
        <f t="shared" ca="1" si="32"/>
        <v>Yes</v>
      </c>
      <c r="J159">
        <f t="shared" ca="1" si="33"/>
        <v>0</v>
      </c>
      <c r="K159" t="str">
        <f t="shared" ca="1" si="34"/>
        <v>None</v>
      </c>
      <c r="L159" t="str">
        <f t="shared" ca="1" si="35"/>
        <v>General</v>
      </c>
    </row>
    <row r="160" spans="1:12" x14ac:dyDescent="0.25">
      <c r="A160">
        <f t="shared" si="24"/>
        <v>159</v>
      </c>
      <c r="B160">
        <f t="shared" ca="1" si="25"/>
        <v>76</v>
      </c>
      <c r="C160" t="str">
        <f t="shared" ca="1" si="26"/>
        <v>Female</v>
      </c>
      <c r="D160" s="1">
        <f t="shared" ca="1" si="27"/>
        <v>45580</v>
      </c>
      <c r="E160" s="1">
        <f t="shared" ca="1" si="28"/>
        <v>45589</v>
      </c>
      <c r="F160" t="str">
        <f t="shared" ca="1" si="29"/>
        <v>Heart Failure</v>
      </c>
      <c r="G160" t="str">
        <f t="shared" ca="1" si="30"/>
        <v>Medication</v>
      </c>
      <c r="H160">
        <f t="shared" ca="1" si="31"/>
        <v>9</v>
      </c>
      <c r="I160" t="str">
        <f t="shared" ca="1" si="32"/>
        <v>Yes</v>
      </c>
      <c r="J160">
        <f t="shared" ca="1" si="33"/>
        <v>2</v>
      </c>
      <c r="K160" t="str">
        <f t="shared" ca="1" si="34"/>
        <v>Private</v>
      </c>
      <c r="L160" t="str">
        <f t="shared" ca="1" si="35"/>
        <v>General</v>
      </c>
    </row>
    <row r="161" spans="1:12" x14ac:dyDescent="0.25">
      <c r="A161">
        <f t="shared" si="24"/>
        <v>160</v>
      </c>
      <c r="B161">
        <f t="shared" ca="1" si="25"/>
        <v>73</v>
      </c>
      <c r="C161" t="str">
        <f t="shared" ca="1" si="26"/>
        <v>Female</v>
      </c>
      <c r="D161" s="1">
        <f t="shared" ca="1" si="27"/>
        <v>45613</v>
      </c>
      <c r="E161" s="1">
        <f t="shared" ca="1" si="28"/>
        <v>45617</v>
      </c>
      <c r="F161" t="str">
        <f t="shared" ca="1" si="29"/>
        <v>Diabetes</v>
      </c>
      <c r="G161" t="str">
        <f t="shared" ca="1" si="30"/>
        <v>Therapy</v>
      </c>
      <c r="H161">
        <f t="shared" ca="1" si="31"/>
        <v>4</v>
      </c>
      <c r="I161" t="str">
        <f t="shared" ca="1" si="32"/>
        <v>No</v>
      </c>
      <c r="J161">
        <f t="shared" ca="1" si="33"/>
        <v>4</v>
      </c>
      <c r="K161" t="str">
        <f t="shared" ca="1" si="34"/>
        <v>None</v>
      </c>
      <c r="L161" t="str">
        <f t="shared" ca="1" si="35"/>
        <v>ICU</v>
      </c>
    </row>
    <row r="162" spans="1:12" x14ac:dyDescent="0.25">
      <c r="A162">
        <f t="shared" si="24"/>
        <v>161</v>
      </c>
      <c r="B162">
        <f t="shared" ca="1" si="25"/>
        <v>53</v>
      </c>
      <c r="C162" t="str">
        <f t="shared" ca="1" si="26"/>
        <v>Female</v>
      </c>
      <c r="D162" s="1">
        <f t="shared" ca="1" si="27"/>
        <v>45443</v>
      </c>
      <c r="E162" s="1">
        <f t="shared" ca="1" si="28"/>
        <v>45447</v>
      </c>
      <c r="F162" t="str">
        <f t="shared" ca="1" si="29"/>
        <v>Heart Failure</v>
      </c>
      <c r="G162" t="str">
        <f t="shared" ca="1" si="30"/>
        <v>Medication</v>
      </c>
      <c r="H162">
        <f t="shared" ca="1" si="31"/>
        <v>4</v>
      </c>
      <c r="I162" t="str">
        <f t="shared" ca="1" si="32"/>
        <v>No</v>
      </c>
      <c r="J162">
        <f t="shared" ca="1" si="33"/>
        <v>0</v>
      </c>
      <c r="K162" t="str">
        <f t="shared" ca="1" si="34"/>
        <v>None</v>
      </c>
      <c r="L162" t="str">
        <f t="shared" ca="1" si="35"/>
        <v>Cardiology</v>
      </c>
    </row>
    <row r="163" spans="1:12" x14ac:dyDescent="0.25">
      <c r="A163">
        <f t="shared" si="24"/>
        <v>162</v>
      </c>
      <c r="B163">
        <f t="shared" ca="1" si="25"/>
        <v>30</v>
      </c>
      <c r="C163" t="str">
        <f t="shared" ca="1" si="26"/>
        <v>Male</v>
      </c>
      <c r="D163" s="1">
        <f t="shared" ca="1" si="27"/>
        <v>45603</v>
      </c>
      <c r="E163" s="1">
        <f t="shared" ca="1" si="28"/>
        <v>45604</v>
      </c>
      <c r="F163" t="str">
        <f t="shared" ca="1" si="29"/>
        <v>Stroke</v>
      </c>
      <c r="G163" t="str">
        <f t="shared" ca="1" si="30"/>
        <v>Surgery</v>
      </c>
      <c r="H163">
        <f t="shared" ca="1" si="31"/>
        <v>1</v>
      </c>
      <c r="I163" t="str">
        <f t="shared" ca="1" si="32"/>
        <v>No</v>
      </c>
      <c r="J163">
        <f t="shared" ca="1" si="33"/>
        <v>2</v>
      </c>
      <c r="K163" t="str">
        <f t="shared" ca="1" si="34"/>
        <v>None</v>
      </c>
      <c r="L163" t="str">
        <f t="shared" ca="1" si="35"/>
        <v>Cardiology</v>
      </c>
    </row>
    <row r="164" spans="1:12" x14ac:dyDescent="0.25">
      <c r="A164">
        <f t="shared" si="24"/>
        <v>163</v>
      </c>
      <c r="B164">
        <f t="shared" ca="1" si="25"/>
        <v>74</v>
      </c>
      <c r="C164" t="str">
        <f t="shared" ca="1" si="26"/>
        <v>Male</v>
      </c>
      <c r="D164" s="1">
        <f t="shared" ca="1" si="27"/>
        <v>45567</v>
      </c>
      <c r="E164" s="1">
        <f t="shared" ca="1" si="28"/>
        <v>45582</v>
      </c>
      <c r="F164" t="str">
        <f t="shared" ca="1" si="29"/>
        <v>Hypertension</v>
      </c>
      <c r="G164" t="str">
        <f t="shared" ca="1" si="30"/>
        <v>Medication</v>
      </c>
      <c r="H164">
        <f t="shared" ca="1" si="31"/>
        <v>15</v>
      </c>
      <c r="I164" t="str">
        <f t="shared" ca="1" si="32"/>
        <v>No</v>
      </c>
      <c r="J164">
        <f t="shared" ca="1" si="33"/>
        <v>3</v>
      </c>
      <c r="K164" t="str">
        <f t="shared" ca="1" si="34"/>
        <v>Private</v>
      </c>
      <c r="L164" t="str">
        <f t="shared" ca="1" si="35"/>
        <v>ICU</v>
      </c>
    </row>
    <row r="165" spans="1:12" x14ac:dyDescent="0.25">
      <c r="A165">
        <f t="shared" si="24"/>
        <v>164</v>
      </c>
      <c r="B165">
        <f t="shared" ca="1" si="25"/>
        <v>37</v>
      </c>
      <c r="C165" t="str">
        <f t="shared" ca="1" si="26"/>
        <v>Female</v>
      </c>
      <c r="D165" s="1">
        <f t="shared" ca="1" si="27"/>
        <v>45486</v>
      </c>
      <c r="E165" s="1">
        <f t="shared" ca="1" si="28"/>
        <v>45491</v>
      </c>
      <c r="F165" t="str">
        <f t="shared" ca="1" si="29"/>
        <v>Hypertension</v>
      </c>
      <c r="G165" t="str">
        <f t="shared" ca="1" si="30"/>
        <v>Surgery</v>
      </c>
      <c r="H165">
        <f t="shared" ca="1" si="31"/>
        <v>5</v>
      </c>
      <c r="I165" t="str">
        <f t="shared" ca="1" si="32"/>
        <v>No</v>
      </c>
      <c r="J165">
        <f t="shared" ca="1" si="33"/>
        <v>3</v>
      </c>
      <c r="K165" t="str">
        <f t="shared" ca="1" si="34"/>
        <v>Public</v>
      </c>
      <c r="L165" t="str">
        <f t="shared" ca="1" si="35"/>
        <v>ICU</v>
      </c>
    </row>
    <row r="166" spans="1:12" x14ac:dyDescent="0.25">
      <c r="A166">
        <f t="shared" si="24"/>
        <v>165</v>
      </c>
      <c r="B166">
        <f t="shared" ca="1" si="25"/>
        <v>46</v>
      </c>
      <c r="C166" t="str">
        <f t="shared" ca="1" si="26"/>
        <v>Male</v>
      </c>
      <c r="D166" s="1">
        <f t="shared" ca="1" si="27"/>
        <v>45506</v>
      </c>
      <c r="E166" s="1">
        <f t="shared" ca="1" si="28"/>
        <v>45511</v>
      </c>
      <c r="F166" t="str">
        <f t="shared" ca="1" si="29"/>
        <v>Heart Failure</v>
      </c>
      <c r="G166" t="str">
        <f t="shared" ca="1" si="30"/>
        <v>Medication</v>
      </c>
      <c r="H166">
        <f t="shared" ca="1" si="31"/>
        <v>5</v>
      </c>
      <c r="I166" t="str">
        <f t="shared" ca="1" si="32"/>
        <v>No</v>
      </c>
      <c r="J166">
        <f t="shared" ca="1" si="33"/>
        <v>2</v>
      </c>
      <c r="K166" t="str">
        <f t="shared" ca="1" si="34"/>
        <v>Public</v>
      </c>
      <c r="L166" t="str">
        <f t="shared" ca="1" si="35"/>
        <v>Neurology</v>
      </c>
    </row>
    <row r="167" spans="1:12" x14ac:dyDescent="0.25">
      <c r="A167">
        <f t="shared" si="24"/>
        <v>166</v>
      </c>
      <c r="B167">
        <f t="shared" ca="1" si="25"/>
        <v>77</v>
      </c>
      <c r="C167" t="str">
        <f t="shared" ca="1" si="26"/>
        <v>Male</v>
      </c>
      <c r="D167" s="1">
        <f t="shared" ca="1" si="27"/>
        <v>45592</v>
      </c>
      <c r="E167" s="1">
        <f t="shared" ca="1" si="28"/>
        <v>45601</v>
      </c>
      <c r="F167" t="str">
        <f t="shared" ca="1" si="29"/>
        <v>Diabetes</v>
      </c>
      <c r="G167" t="str">
        <f t="shared" ca="1" si="30"/>
        <v>Surgery</v>
      </c>
      <c r="H167">
        <f t="shared" ca="1" si="31"/>
        <v>9</v>
      </c>
      <c r="I167" t="str">
        <f t="shared" ca="1" si="32"/>
        <v>No</v>
      </c>
      <c r="J167">
        <f t="shared" ca="1" si="33"/>
        <v>3</v>
      </c>
      <c r="K167" t="str">
        <f t="shared" ca="1" si="34"/>
        <v>Public</v>
      </c>
      <c r="L167" t="str">
        <f t="shared" ca="1" si="35"/>
        <v>ER</v>
      </c>
    </row>
    <row r="168" spans="1:12" x14ac:dyDescent="0.25">
      <c r="A168">
        <f t="shared" si="24"/>
        <v>167</v>
      </c>
      <c r="B168">
        <f t="shared" ca="1" si="25"/>
        <v>47</v>
      </c>
      <c r="C168" t="str">
        <f t="shared" ca="1" si="26"/>
        <v>Female</v>
      </c>
      <c r="D168" s="1">
        <f t="shared" ca="1" si="27"/>
        <v>45307</v>
      </c>
      <c r="E168" s="1">
        <f t="shared" ca="1" si="28"/>
        <v>45319</v>
      </c>
      <c r="F168" t="str">
        <f t="shared" ca="1" si="29"/>
        <v>Hypertension</v>
      </c>
      <c r="G168" t="str">
        <f t="shared" ca="1" si="30"/>
        <v>Therapy</v>
      </c>
      <c r="H168">
        <f t="shared" ca="1" si="31"/>
        <v>12</v>
      </c>
      <c r="I168" t="str">
        <f t="shared" ca="1" si="32"/>
        <v>No</v>
      </c>
      <c r="J168">
        <f t="shared" ca="1" si="33"/>
        <v>4</v>
      </c>
      <c r="K168" t="str">
        <f t="shared" ca="1" si="34"/>
        <v>None</v>
      </c>
      <c r="L168" t="str">
        <f t="shared" ca="1" si="35"/>
        <v>ICU</v>
      </c>
    </row>
    <row r="169" spans="1:12" x14ac:dyDescent="0.25">
      <c r="A169">
        <f t="shared" si="24"/>
        <v>168</v>
      </c>
      <c r="B169">
        <f t="shared" ca="1" si="25"/>
        <v>78</v>
      </c>
      <c r="C169" t="str">
        <f t="shared" ca="1" si="26"/>
        <v>Male</v>
      </c>
      <c r="D169" s="1">
        <f t="shared" ca="1" si="27"/>
        <v>45472</v>
      </c>
      <c r="E169" s="1">
        <f t="shared" ca="1" si="28"/>
        <v>45473</v>
      </c>
      <c r="F169" t="str">
        <f t="shared" ca="1" si="29"/>
        <v>Pneumonia</v>
      </c>
      <c r="G169" t="str">
        <f t="shared" ca="1" si="30"/>
        <v>Medication</v>
      </c>
      <c r="H169">
        <f t="shared" ca="1" si="31"/>
        <v>1</v>
      </c>
      <c r="I169" t="str">
        <f t="shared" ca="1" si="32"/>
        <v>Yes</v>
      </c>
      <c r="J169">
        <f t="shared" ca="1" si="33"/>
        <v>0</v>
      </c>
      <c r="K169" t="str">
        <f t="shared" ca="1" si="34"/>
        <v>Public</v>
      </c>
      <c r="L169" t="str">
        <f t="shared" ca="1" si="35"/>
        <v>Neurology</v>
      </c>
    </row>
    <row r="170" spans="1:12" x14ac:dyDescent="0.25">
      <c r="A170">
        <f t="shared" si="24"/>
        <v>169</v>
      </c>
      <c r="B170">
        <f t="shared" ca="1" si="25"/>
        <v>83</v>
      </c>
      <c r="C170" t="str">
        <f t="shared" ca="1" si="26"/>
        <v>Female</v>
      </c>
      <c r="D170" s="1">
        <f t="shared" ca="1" si="27"/>
        <v>45490</v>
      </c>
      <c r="E170" s="1">
        <f t="shared" ca="1" si="28"/>
        <v>45498</v>
      </c>
      <c r="F170" t="str">
        <f t="shared" ca="1" si="29"/>
        <v>Diabetes</v>
      </c>
      <c r="G170" t="str">
        <f t="shared" ca="1" si="30"/>
        <v>Surgery</v>
      </c>
      <c r="H170">
        <f t="shared" ca="1" si="31"/>
        <v>8</v>
      </c>
      <c r="I170" t="str">
        <f t="shared" ca="1" si="32"/>
        <v>Yes</v>
      </c>
      <c r="J170">
        <f t="shared" ca="1" si="33"/>
        <v>3</v>
      </c>
      <c r="K170" t="str">
        <f t="shared" ca="1" si="34"/>
        <v>Private</v>
      </c>
      <c r="L170" t="str">
        <f t="shared" ca="1" si="35"/>
        <v>Cardiology</v>
      </c>
    </row>
    <row r="171" spans="1:12" x14ac:dyDescent="0.25">
      <c r="A171">
        <f t="shared" si="24"/>
        <v>170</v>
      </c>
      <c r="B171">
        <f t="shared" ca="1" si="25"/>
        <v>39</v>
      </c>
      <c r="C171" t="str">
        <f t="shared" ca="1" si="26"/>
        <v>Male</v>
      </c>
      <c r="D171" s="1">
        <f t="shared" ca="1" si="27"/>
        <v>45490</v>
      </c>
      <c r="E171" s="1">
        <f t="shared" ca="1" si="28"/>
        <v>45491</v>
      </c>
      <c r="F171" t="str">
        <f t="shared" ca="1" si="29"/>
        <v>Stroke</v>
      </c>
      <c r="G171" t="str">
        <f t="shared" ca="1" si="30"/>
        <v>Surgery</v>
      </c>
      <c r="H171">
        <f t="shared" ca="1" si="31"/>
        <v>1</v>
      </c>
      <c r="I171" t="str">
        <f t="shared" ca="1" si="32"/>
        <v>No</v>
      </c>
      <c r="J171">
        <f t="shared" ca="1" si="33"/>
        <v>4</v>
      </c>
      <c r="K171" t="str">
        <f t="shared" ca="1" si="34"/>
        <v>Private</v>
      </c>
      <c r="L171" t="str">
        <f t="shared" ca="1" si="35"/>
        <v>Cardiology</v>
      </c>
    </row>
    <row r="172" spans="1:12" x14ac:dyDescent="0.25">
      <c r="A172">
        <f t="shared" si="24"/>
        <v>171</v>
      </c>
      <c r="B172">
        <f t="shared" ca="1" si="25"/>
        <v>54</v>
      </c>
      <c r="C172" t="str">
        <f t="shared" ca="1" si="26"/>
        <v>Male</v>
      </c>
      <c r="D172" s="1">
        <f t="shared" ca="1" si="27"/>
        <v>45355</v>
      </c>
      <c r="E172" s="1">
        <f t="shared" ca="1" si="28"/>
        <v>45363</v>
      </c>
      <c r="F172" t="str">
        <f t="shared" ca="1" si="29"/>
        <v>Diabetes</v>
      </c>
      <c r="G172" t="str">
        <f t="shared" ca="1" si="30"/>
        <v>Therapy</v>
      </c>
      <c r="H172">
        <f t="shared" ca="1" si="31"/>
        <v>8</v>
      </c>
      <c r="I172" t="str">
        <f t="shared" ca="1" si="32"/>
        <v>No</v>
      </c>
      <c r="J172">
        <f t="shared" ca="1" si="33"/>
        <v>3</v>
      </c>
      <c r="K172" t="str">
        <f t="shared" ca="1" si="34"/>
        <v>None</v>
      </c>
      <c r="L172" t="str">
        <f t="shared" ca="1" si="35"/>
        <v>ER</v>
      </c>
    </row>
    <row r="173" spans="1:12" x14ac:dyDescent="0.25">
      <c r="A173">
        <f t="shared" si="24"/>
        <v>172</v>
      </c>
      <c r="B173">
        <f t="shared" ca="1" si="25"/>
        <v>58</v>
      </c>
      <c r="C173" t="str">
        <f t="shared" ca="1" si="26"/>
        <v>Male</v>
      </c>
      <c r="D173" s="1">
        <f t="shared" ca="1" si="27"/>
        <v>45415</v>
      </c>
      <c r="E173" s="1">
        <f t="shared" ca="1" si="28"/>
        <v>45423</v>
      </c>
      <c r="F173" t="str">
        <f t="shared" ca="1" si="29"/>
        <v>Stroke</v>
      </c>
      <c r="G173" t="str">
        <f t="shared" ca="1" si="30"/>
        <v>Surgery</v>
      </c>
      <c r="H173">
        <f t="shared" ca="1" si="31"/>
        <v>8</v>
      </c>
      <c r="I173" t="str">
        <f t="shared" ca="1" si="32"/>
        <v>No</v>
      </c>
      <c r="J173">
        <f t="shared" ca="1" si="33"/>
        <v>0</v>
      </c>
      <c r="K173" t="str">
        <f t="shared" ca="1" si="34"/>
        <v>None</v>
      </c>
      <c r="L173" t="str">
        <f t="shared" ca="1" si="35"/>
        <v>ER</v>
      </c>
    </row>
    <row r="174" spans="1:12" x14ac:dyDescent="0.25">
      <c r="A174">
        <f t="shared" si="24"/>
        <v>173</v>
      </c>
      <c r="B174">
        <f t="shared" ca="1" si="25"/>
        <v>66</v>
      </c>
      <c r="C174" t="str">
        <f t="shared" ca="1" si="26"/>
        <v>Female</v>
      </c>
      <c r="D174" s="1">
        <f t="shared" ca="1" si="27"/>
        <v>45635</v>
      </c>
      <c r="E174" s="1">
        <f t="shared" ca="1" si="28"/>
        <v>45647</v>
      </c>
      <c r="F174" t="str">
        <f t="shared" ca="1" si="29"/>
        <v>Hypertension</v>
      </c>
      <c r="G174" t="str">
        <f t="shared" ca="1" si="30"/>
        <v>Surgery</v>
      </c>
      <c r="H174">
        <f t="shared" ca="1" si="31"/>
        <v>12</v>
      </c>
      <c r="I174" t="str">
        <f t="shared" ca="1" si="32"/>
        <v>No</v>
      </c>
      <c r="J174">
        <f t="shared" ca="1" si="33"/>
        <v>4</v>
      </c>
      <c r="K174" t="str">
        <f t="shared" ca="1" si="34"/>
        <v>Public</v>
      </c>
      <c r="L174" t="str">
        <f t="shared" ca="1" si="35"/>
        <v>ER</v>
      </c>
    </row>
    <row r="175" spans="1:12" x14ac:dyDescent="0.25">
      <c r="A175">
        <f t="shared" si="24"/>
        <v>174</v>
      </c>
      <c r="B175">
        <f t="shared" ca="1" si="25"/>
        <v>52</v>
      </c>
      <c r="C175" t="str">
        <f t="shared" ca="1" si="26"/>
        <v>Male</v>
      </c>
      <c r="D175" s="1">
        <f t="shared" ca="1" si="27"/>
        <v>45612</v>
      </c>
      <c r="E175" s="1">
        <f t="shared" ca="1" si="28"/>
        <v>45614</v>
      </c>
      <c r="F175" t="str">
        <f t="shared" ca="1" si="29"/>
        <v>Pneumonia</v>
      </c>
      <c r="G175" t="str">
        <f t="shared" ca="1" si="30"/>
        <v>Therapy</v>
      </c>
      <c r="H175">
        <f t="shared" ca="1" si="31"/>
        <v>2</v>
      </c>
      <c r="I175" t="str">
        <f t="shared" ca="1" si="32"/>
        <v>No</v>
      </c>
      <c r="J175">
        <f t="shared" ca="1" si="33"/>
        <v>0</v>
      </c>
      <c r="K175" t="str">
        <f t="shared" ca="1" si="34"/>
        <v>None</v>
      </c>
      <c r="L175" t="str">
        <f t="shared" ca="1" si="35"/>
        <v>ER</v>
      </c>
    </row>
    <row r="176" spans="1:12" x14ac:dyDescent="0.25">
      <c r="A176">
        <f t="shared" si="24"/>
        <v>175</v>
      </c>
      <c r="B176">
        <f t="shared" ca="1" si="25"/>
        <v>44</v>
      </c>
      <c r="C176" t="str">
        <f t="shared" ca="1" si="26"/>
        <v>Male</v>
      </c>
      <c r="D176" s="1">
        <f t="shared" ca="1" si="27"/>
        <v>45413</v>
      </c>
      <c r="E176" s="1">
        <f t="shared" ca="1" si="28"/>
        <v>45414</v>
      </c>
      <c r="F176" t="str">
        <f t="shared" ca="1" si="29"/>
        <v>Hypertension</v>
      </c>
      <c r="G176" t="str">
        <f t="shared" ca="1" si="30"/>
        <v>Surgery</v>
      </c>
      <c r="H176">
        <f t="shared" ca="1" si="31"/>
        <v>1</v>
      </c>
      <c r="I176" t="str">
        <f t="shared" ca="1" si="32"/>
        <v>No</v>
      </c>
      <c r="J176">
        <f t="shared" ca="1" si="33"/>
        <v>1</v>
      </c>
      <c r="K176" t="str">
        <f t="shared" ca="1" si="34"/>
        <v>Public</v>
      </c>
      <c r="L176" t="str">
        <f t="shared" ca="1" si="35"/>
        <v>ER</v>
      </c>
    </row>
    <row r="177" spans="1:12" x14ac:dyDescent="0.25">
      <c r="A177">
        <f t="shared" si="24"/>
        <v>176</v>
      </c>
      <c r="B177">
        <f t="shared" ca="1" si="25"/>
        <v>90</v>
      </c>
      <c r="C177" t="str">
        <f t="shared" ca="1" si="26"/>
        <v>Male</v>
      </c>
      <c r="D177" s="1">
        <f t="shared" ca="1" si="27"/>
        <v>45557</v>
      </c>
      <c r="E177" s="1">
        <f t="shared" ca="1" si="28"/>
        <v>45561</v>
      </c>
      <c r="F177" t="str">
        <f t="shared" ca="1" si="29"/>
        <v>Stroke</v>
      </c>
      <c r="G177" t="str">
        <f t="shared" ca="1" si="30"/>
        <v>Medication</v>
      </c>
      <c r="H177">
        <f t="shared" ca="1" si="31"/>
        <v>4</v>
      </c>
      <c r="I177" t="str">
        <f t="shared" ca="1" si="32"/>
        <v>No</v>
      </c>
      <c r="J177">
        <f t="shared" ca="1" si="33"/>
        <v>3</v>
      </c>
      <c r="K177" t="str">
        <f t="shared" ca="1" si="34"/>
        <v>Private</v>
      </c>
      <c r="L177" t="str">
        <f t="shared" ca="1" si="35"/>
        <v>Neurology</v>
      </c>
    </row>
    <row r="178" spans="1:12" x14ac:dyDescent="0.25">
      <c r="A178">
        <f t="shared" si="24"/>
        <v>177</v>
      </c>
      <c r="B178">
        <f t="shared" ca="1" si="25"/>
        <v>89</v>
      </c>
      <c r="C178" t="str">
        <f t="shared" ca="1" si="26"/>
        <v>Male</v>
      </c>
      <c r="D178" s="1">
        <f t="shared" ca="1" si="27"/>
        <v>45359</v>
      </c>
      <c r="E178" s="1">
        <f t="shared" ca="1" si="28"/>
        <v>45365</v>
      </c>
      <c r="F178" t="str">
        <f t="shared" ca="1" si="29"/>
        <v>Pneumonia</v>
      </c>
      <c r="G178" t="str">
        <f t="shared" ca="1" si="30"/>
        <v>Medication</v>
      </c>
      <c r="H178">
        <f t="shared" ca="1" si="31"/>
        <v>6</v>
      </c>
      <c r="I178" t="str">
        <f t="shared" ca="1" si="32"/>
        <v>No</v>
      </c>
      <c r="J178">
        <f t="shared" ca="1" si="33"/>
        <v>4</v>
      </c>
      <c r="K178" t="str">
        <f t="shared" ca="1" si="34"/>
        <v>None</v>
      </c>
      <c r="L178" t="str">
        <f t="shared" ca="1" si="35"/>
        <v>Neurology</v>
      </c>
    </row>
    <row r="179" spans="1:12" x14ac:dyDescent="0.25">
      <c r="A179">
        <f t="shared" si="24"/>
        <v>178</v>
      </c>
      <c r="B179">
        <f t="shared" ca="1" si="25"/>
        <v>42</v>
      </c>
      <c r="C179" t="str">
        <f t="shared" ca="1" si="26"/>
        <v>Male</v>
      </c>
      <c r="D179" s="1">
        <f t="shared" ca="1" si="27"/>
        <v>45463</v>
      </c>
      <c r="E179" s="1">
        <f t="shared" ca="1" si="28"/>
        <v>45471</v>
      </c>
      <c r="F179" t="str">
        <f t="shared" ca="1" si="29"/>
        <v>Stroke</v>
      </c>
      <c r="G179" t="str">
        <f t="shared" ca="1" si="30"/>
        <v>Therapy</v>
      </c>
      <c r="H179">
        <f t="shared" ca="1" si="31"/>
        <v>8</v>
      </c>
      <c r="I179" t="str">
        <f t="shared" ca="1" si="32"/>
        <v>No</v>
      </c>
      <c r="J179">
        <f t="shared" ca="1" si="33"/>
        <v>0</v>
      </c>
      <c r="K179" t="str">
        <f t="shared" ca="1" si="34"/>
        <v>Public</v>
      </c>
      <c r="L179" t="str">
        <f t="shared" ca="1" si="35"/>
        <v>Cardiology</v>
      </c>
    </row>
    <row r="180" spans="1:12" x14ac:dyDescent="0.25">
      <c r="A180">
        <f t="shared" si="24"/>
        <v>179</v>
      </c>
      <c r="B180">
        <f t="shared" ca="1" si="25"/>
        <v>42</v>
      </c>
      <c r="C180" t="str">
        <f t="shared" ca="1" si="26"/>
        <v>Female</v>
      </c>
      <c r="D180" s="1">
        <f t="shared" ca="1" si="27"/>
        <v>45625</v>
      </c>
      <c r="E180" s="1">
        <f t="shared" ca="1" si="28"/>
        <v>45631</v>
      </c>
      <c r="F180" t="str">
        <f t="shared" ca="1" si="29"/>
        <v>Diabetes</v>
      </c>
      <c r="G180" t="str">
        <f t="shared" ca="1" si="30"/>
        <v>Medication</v>
      </c>
      <c r="H180">
        <f t="shared" ca="1" si="31"/>
        <v>6</v>
      </c>
      <c r="I180" t="str">
        <f t="shared" ca="1" si="32"/>
        <v>No</v>
      </c>
      <c r="J180">
        <f t="shared" ca="1" si="33"/>
        <v>4</v>
      </c>
      <c r="K180" t="str">
        <f t="shared" ca="1" si="34"/>
        <v>Private</v>
      </c>
      <c r="L180" t="str">
        <f t="shared" ca="1" si="35"/>
        <v>General</v>
      </c>
    </row>
    <row r="181" spans="1:12" x14ac:dyDescent="0.25">
      <c r="A181">
        <f t="shared" si="24"/>
        <v>180</v>
      </c>
      <c r="B181">
        <f t="shared" ca="1" si="25"/>
        <v>47</v>
      </c>
      <c r="C181" t="str">
        <f t="shared" ca="1" si="26"/>
        <v>Male</v>
      </c>
      <c r="D181" s="1">
        <f t="shared" ca="1" si="27"/>
        <v>45558</v>
      </c>
      <c r="E181" s="1">
        <f t="shared" ca="1" si="28"/>
        <v>45564</v>
      </c>
      <c r="F181" t="str">
        <f t="shared" ca="1" si="29"/>
        <v>Pneumonia</v>
      </c>
      <c r="G181" t="str">
        <f t="shared" ca="1" si="30"/>
        <v>Surgery</v>
      </c>
      <c r="H181">
        <f t="shared" ca="1" si="31"/>
        <v>6</v>
      </c>
      <c r="I181" t="str">
        <f t="shared" ca="1" si="32"/>
        <v>No</v>
      </c>
      <c r="J181">
        <f t="shared" ca="1" si="33"/>
        <v>3</v>
      </c>
      <c r="K181" t="str">
        <f t="shared" ca="1" si="34"/>
        <v>None</v>
      </c>
      <c r="L181" t="str">
        <f t="shared" ca="1" si="35"/>
        <v>Neurology</v>
      </c>
    </row>
    <row r="182" spans="1:12" x14ac:dyDescent="0.25">
      <c r="A182">
        <f t="shared" si="24"/>
        <v>181</v>
      </c>
      <c r="B182">
        <f t="shared" ca="1" si="25"/>
        <v>48</v>
      </c>
      <c r="C182" t="str">
        <f t="shared" ca="1" si="26"/>
        <v>Male</v>
      </c>
      <c r="D182" s="1">
        <f t="shared" ca="1" si="27"/>
        <v>45312</v>
      </c>
      <c r="E182" s="1">
        <f t="shared" ca="1" si="28"/>
        <v>45325</v>
      </c>
      <c r="F182" t="str">
        <f t="shared" ca="1" si="29"/>
        <v>Pneumonia</v>
      </c>
      <c r="G182" t="str">
        <f t="shared" ca="1" si="30"/>
        <v>Medication</v>
      </c>
      <c r="H182">
        <f t="shared" ca="1" si="31"/>
        <v>13</v>
      </c>
      <c r="I182" t="str">
        <f t="shared" ca="1" si="32"/>
        <v>No</v>
      </c>
      <c r="J182">
        <f t="shared" ca="1" si="33"/>
        <v>2</v>
      </c>
      <c r="K182" t="str">
        <f t="shared" ca="1" si="34"/>
        <v>Private</v>
      </c>
      <c r="L182" t="str">
        <f t="shared" ca="1" si="35"/>
        <v>Neurology</v>
      </c>
    </row>
    <row r="183" spans="1:12" x14ac:dyDescent="0.25">
      <c r="A183">
        <f t="shared" si="24"/>
        <v>182</v>
      </c>
      <c r="B183">
        <f t="shared" ca="1" si="25"/>
        <v>46</v>
      </c>
      <c r="C183" t="str">
        <f t="shared" ca="1" si="26"/>
        <v>Female</v>
      </c>
      <c r="D183" s="1">
        <f t="shared" ca="1" si="27"/>
        <v>45399</v>
      </c>
      <c r="E183" s="1">
        <f t="shared" ca="1" si="28"/>
        <v>45411</v>
      </c>
      <c r="F183" t="str">
        <f t="shared" ca="1" si="29"/>
        <v>Diabetes</v>
      </c>
      <c r="G183" t="str">
        <f t="shared" ca="1" si="30"/>
        <v>Medication</v>
      </c>
      <c r="H183">
        <f t="shared" ca="1" si="31"/>
        <v>12</v>
      </c>
      <c r="I183" t="str">
        <f t="shared" ca="1" si="32"/>
        <v>No</v>
      </c>
      <c r="J183">
        <f t="shared" ca="1" si="33"/>
        <v>3</v>
      </c>
      <c r="K183" t="str">
        <f t="shared" ca="1" si="34"/>
        <v>Private</v>
      </c>
      <c r="L183" t="str">
        <f t="shared" ca="1" si="35"/>
        <v>ER</v>
      </c>
    </row>
    <row r="184" spans="1:12" x14ac:dyDescent="0.25">
      <c r="A184">
        <f t="shared" si="24"/>
        <v>183</v>
      </c>
      <c r="B184">
        <f t="shared" ca="1" si="25"/>
        <v>58</v>
      </c>
      <c r="C184" t="str">
        <f t="shared" ca="1" si="26"/>
        <v>Female</v>
      </c>
      <c r="D184" s="1">
        <f t="shared" ca="1" si="27"/>
        <v>45470</v>
      </c>
      <c r="E184" s="1">
        <f t="shared" ca="1" si="28"/>
        <v>45475</v>
      </c>
      <c r="F184" t="str">
        <f t="shared" ca="1" si="29"/>
        <v>Stroke</v>
      </c>
      <c r="G184" t="str">
        <f t="shared" ca="1" si="30"/>
        <v>Medication</v>
      </c>
      <c r="H184">
        <f t="shared" ca="1" si="31"/>
        <v>5</v>
      </c>
      <c r="I184" t="str">
        <f t="shared" ca="1" si="32"/>
        <v>No</v>
      </c>
      <c r="J184">
        <f t="shared" ca="1" si="33"/>
        <v>0</v>
      </c>
      <c r="K184" t="str">
        <f t="shared" ca="1" si="34"/>
        <v>Private</v>
      </c>
      <c r="L184" t="str">
        <f t="shared" ca="1" si="35"/>
        <v>General</v>
      </c>
    </row>
    <row r="185" spans="1:12" x14ac:dyDescent="0.25">
      <c r="A185">
        <f t="shared" si="24"/>
        <v>184</v>
      </c>
      <c r="B185">
        <f t="shared" ca="1" si="25"/>
        <v>23</v>
      </c>
      <c r="C185" t="str">
        <f t="shared" ca="1" si="26"/>
        <v>Male</v>
      </c>
      <c r="D185" s="1">
        <f t="shared" ca="1" si="27"/>
        <v>45414</v>
      </c>
      <c r="E185" s="1">
        <f t="shared" ca="1" si="28"/>
        <v>45423</v>
      </c>
      <c r="F185" t="str">
        <f t="shared" ca="1" si="29"/>
        <v>Stroke</v>
      </c>
      <c r="G185" t="str">
        <f t="shared" ca="1" si="30"/>
        <v>Therapy</v>
      </c>
      <c r="H185">
        <f t="shared" ca="1" si="31"/>
        <v>9</v>
      </c>
      <c r="I185" t="str">
        <f t="shared" ca="1" si="32"/>
        <v>No</v>
      </c>
      <c r="J185">
        <f t="shared" ca="1" si="33"/>
        <v>3</v>
      </c>
      <c r="K185" t="str">
        <f t="shared" ca="1" si="34"/>
        <v>Public</v>
      </c>
      <c r="L185" t="str">
        <f t="shared" ca="1" si="35"/>
        <v>Neurology</v>
      </c>
    </row>
    <row r="186" spans="1:12" x14ac:dyDescent="0.25">
      <c r="A186">
        <f t="shared" si="24"/>
        <v>185</v>
      </c>
      <c r="B186">
        <f t="shared" ca="1" si="25"/>
        <v>44</v>
      </c>
      <c r="C186" t="str">
        <f t="shared" ca="1" si="26"/>
        <v>Female</v>
      </c>
      <c r="D186" s="1">
        <f t="shared" ca="1" si="27"/>
        <v>45514</v>
      </c>
      <c r="E186" s="1">
        <f t="shared" ca="1" si="28"/>
        <v>45517</v>
      </c>
      <c r="F186" t="str">
        <f t="shared" ca="1" si="29"/>
        <v>Diabetes</v>
      </c>
      <c r="G186" t="str">
        <f t="shared" ca="1" si="30"/>
        <v>Surgery</v>
      </c>
      <c r="H186">
        <f t="shared" ca="1" si="31"/>
        <v>3</v>
      </c>
      <c r="I186" t="str">
        <f t="shared" ca="1" si="32"/>
        <v>No</v>
      </c>
      <c r="J186">
        <f t="shared" ca="1" si="33"/>
        <v>2</v>
      </c>
      <c r="K186" t="str">
        <f t="shared" ca="1" si="34"/>
        <v>Private</v>
      </c>
      <c r="L186" t="str">
        <f t="shared" ca="1" si="35"/>
        <v>Neurology</v>
      </c>
    </row>
    <row r="187" spans="1:12" x14ac:dyDescent="0.25">
      <c r="A187">
        <f t="shared" si="24"/>
        <v>186</v>
      </c>
      <c r="B187">
        <f t="shared" ca="1" si="25"/>
        <v>63</v>
      </c>
      <c r="C187" t="str">
        <f t="shared" ca="1" si="26"/>
        <v>Male</v>
      </c>
      <c r="D187" s="1">
        <f t="shared" ca="1" si="27"/>
        <v>45382</v>
      </c>
      <c r="E187" s="1">
        <f t="shared" ca="1" si="28"/>
        <v>45392</v>
      </c>
      <c r="F187" t="str">
        <f t="shared" ca="1" si="29"/>
        <v>Heart Failure</v>
      </c>
      <c r="G187" t="str">
        <f t="shared" ca="1" si="30"/>
        <v>Surgery</v>
      </c>
      <c r="H187">
        <f t="shared" ca="1" si="31"/>
        <v>10</v>
      </c>
      <c r="I187" t="str">
        <f t="shared" ca="1" si="32"/>
        <v>No</v>
      </c>
      <c r="J187">
        <f t="shared" ca="1" si="33"/>
        <v>0</v>
      </c>
      <c r="K187" t="str">
        <f t="shared" ca="1" si="34"/>
        <v>None</v>
      </c>
      <c r="L187" t="str">
        <f t="shared" ca="1" si="35"/>
        <v>General</v>
      </c>
    </row>
    <row r="188" spans="1:12" x14ac:dyDescent="0.25">
      <c r="A188">
        <f t="shared" si="24"/>
        <v>187</v>
      </c>
      <c r="B188">
        <f t="shared" ca="1" si="25"/>
        <v>25</v>
      </c>
      <c r="C188" t="str">
        <f t="shared" ca="1" si="26"/>
        <v>Female</v>
      </c>
      <c r="D188" s="1">
        <f t="shared" ca="1" si="27"/>
        <v>45483</v>
      </c>
      <c r="E188" s="1">
        <f t="shared" ca="1" si="28"/>
        <v>45492</v>
      </c>
      <c r="F188" t="str">
        <f t="shared" ca="1" si="29"/>
        <v>Hypertension</v>
      </c>
      <c r="G188" t="str">
        <f t="shared" ca="1" si="30"/>
        <v>Medication</v>
      </c>
      <c r="H188">
        <f t="shared" ca="1" si="31"/>
        <v>9</v>
      </c>
      <c r="I188" t="str">
        <f t="shared" ca="1" si="32"/>
        <v>Yes</v>
      </c>
      <c r="J188">
        <f t="shared" ca="1" si="33"/>
        <v>4</v>
      </c>
      <c r="K188" t="str">
        <f t="shared" ca="1" si="34"/>
        <v>None</v>
      </c>
      <c r="L188" t="str">
        <f t="shared" ca="1" si="35"/>
        <v>General</v>
      </c>
    </row>
    <row r="189" spans="1:12" x14ac:dyDescent="0.25">
      <c r="A189">
        <f t="shared" si="24"/>
        <v>188</v>
      </c>
      <c r="B189">
        <f t="shared" ca="1" si="25"/>
        <v>29</v>
      </c>
      <c r="C189" t="str">
        <f t="shared" ca="1" si="26"/>
        <v>Female</v>
      </c>
      <c r="D189" s="1">
        <f t="shared" ca="1" si="27"/>
        <v>45499</v>
      </c>
      <c r="E189" s="1">
        <f t="shared" ca="1" si="28"/>
        <v>45505</v>
      </c>
      <c r="F189" t="str">
        <f t="shared" ca="1" si="29"/>
        <v>Heart Failure</v>
      </c>
      <c r="G189" t="str">
        <f t="shared" ca="1" si="30"/>
        <v>Therapy</v>
      </c>
      <c r="H189">
        <f t="shared" ca="1" si="31"/>
        <v>6</v>
      </c>
      <c r="I189" t="str">
        <f t="shared" ca="1" si="32"/>
        <v>No</v>
      </c>
      <c r="J189">
        <f t="shared" ca="1" si="33"/>
        <v>4</v>
      </c>
      <c r="K189" t="str">
        <f t="shared" ca="1" si="34"/>
        <v>None</v>
      </c>
      <c r="L189" t="str">
        <f t="shared" ca="1" si="35"/>
        <v>Neurology</v>
      </c>
    </row>
    <row r="190" spans="1:12" x14ac:dyDescent="0.25">
      <c r="A190">
        <f t="shared" si="24"/>
        <v>189</v>
      </c>
      <c r="B190">
        <f t="shared" ca="1" si="25"/>
        <v>25</v>
      </c>
      <c r="C190" t="str">
        <f t="shared" ca="1" si="26"/>
        <v>Female</v>
      </c>
      <c r="D190" s="1">
        <f t="shared" ca="1" si="27"/>
        <v>45374</v>
      </c>
      <c r="E190" s="1">
        <f t="shared" ca="1" si="28"/>
        <v>45376</v>
      </c>
      <c r="F190" t="str">
        <f t="shared" ca="1" si="29"/>
        <v>Pneumonia</v>
      </c>
      <c r="G190" t="str">
        <f t="shared" ca="1" si="30"/>
        <v>Surgery</v>
      </c>
      <c r="H190">
        <f t="shared" ca="1" si="31"/>
        <v>2</v>
      </c>
      <c r="I190" t="str">
        <f t="shared" ca="1" si="32"/>
        <v>No</v>
      </c>
      <c r="J190">
        <f t="shared" ca="1" si="33"/>
        <v>1</v>
      </c>
      <c r="K190" t="str">
        <f t="shared" ca="1" si="34"/>
        <v>Private</v>
      </c>
      <c r="L190" t="str">
        <f t="shared" ca="1" si="35"/>
        <v>Cardiology</v>
      </c>
    </row>
    <row r="191" spans="1:12" x14ac:dyDescent="0.25">
      <c r="A191">
        <f t="shared" si="24"/>
        <v>190</v>
      </c>
      <c r="B191">
        <f t="shared" ca="1" si="25"/>
        <v>88</v>
      </c>
      <c r="C191" t="str">
        <f t="shared" ca="1" si="26"/>
        <v>Male</v>
      </c>
      <c r="D191" s="1">
        <f t="shared" ca="1" si="27"/>
        <v>45335</v>
      </c>
      <c r="E191" s="1">
        <f t="shared" ca="1" si="28"/>
        <v>45346</v>
      </c>
      <c r="F191" t="str">
        <f t="shared" ca="1" si="29"/>
        <v>Stroke</v>
      </c>
      <c r="G191" t="str">
        <f t="shared" ca="1" si="30"/>
        <v>Medication</v>
      </c>
      <c r="H191">
        <f t="shared" ca="1" si="31"/>
        <v>11</v>
      </c>
      <c r="I191" t="str">
        <f t="shared" ca="1" si="32"/>
        <v>Yes</v>
      </c>
      <c r="J191">
        <f t="shared" ca="1" si="33"/>
        <v>1</v>
      </c>
      <c r="K191" t="str">
        <f t="shared" ca="1" si="34"/>
        <v>Private</v>
      </c>
      <c r="L191" t="str">
        <f t="shared" ca="1" si="35"/>
        <v>ICU</v>
      </c>
    </row>
    <row r="192" spans="1:12" x14ac:dyDescent="0.25">
      <c r="A192">
        <f t="shared" si="24"/>
        <v>191</v>
      </c>
      <c r="B192">
        <f t="shared" ca="1" si="25"/>
        <v>41</v>
      </c>
      <c r="C192" t="str">
        <f t="shared" ca="1" si="26"/>
        <v>Male</v>
      </c>
      <c r="D192" s="1">
        <f t="shared" ca="1" si="27"/>
        <v>45397</v>
      </c>
      <c r="E192" s="1">
        <f t="shared" ca="1" si="28"/>
        <v>45412</v>
      </c>
      <c r="F192" t="str">
        <f t="shared" ca="1" si="29"/>
        <v>Heart Failure</v>
      </c>
      <c r="G192" t="str">
        <f t="shared" ca="1" si="30"/>
        <v>Medication</v>
      </c>
      <c r="H192">
        <f t="shared" ca="1" si="31"/>
        <v>15</v>
      </c>
      <c r="I192" t="str">
        <f t="shared" ca="1" si="32"/>
        <v>No</v>
      </c>
      <c r="J192">
        <f t="shared" ca="1" si="33"/>
        <v>1</v>
      </c>
      <c r="K192" t="str">
        <f t="shared" ca="1" si="34"/>
        <v>Public</v>
      </c>
      <c r="L192" t="str">
        <f t="shared" ca="1" si="35"/>
        <v>ICU</v>
      </c>
    </row>
    <row r="193" spans="1:12" x14ac:dyDescent="0.25">
      <c r="A193">
        <f t="shared" si="24"/>
        <v>192</v>
      </c>
      <c r="B193">
        <f t="shared" ca="1" si="25"/>
        <v>78</v>
      </c>
      <c r="C193" t="str">
        <f t="shared" ca="1" si="26"/>
        <v>Male</v>
      </c>
      <c r="D193" s="1">
        <f t="shared" ca="1" si="27"/>
        <v>45584</v>
      </c>
      <c r="E193" s="1">
        <f t="shared" ca="1" si="28"/>
        <v>45597</v>
      </c>
      <c r="F193" t="str">
        <f t="shared" ca="1" si="29"/>
        <v>Diabetes</v>
      </c>
      <c r="G193" t="str">
        <f t="shared" ca="1" si="30"/>
        <v>Surgery</v>
      </c>
      <c r="H193">
        <f t="shared" ca="1" si="31"/>
        <v>13</v>
      </c>
      <c r="I193" t="str">
        <f t="shared" ca="1" si="32"/>
        <v>Yes</v>
      </c>
      <c r="J193">
        <f t="shared" ca="1" si="33"/>
        <v>4</v>
      </c>
      <c r="K193" t="str">
        <f t="shared" ca="1" si="34"/>
        <v>Public</v>
      </c>
      <c r="L193" t="str">
        <f t="shared" ca="1" si="35"/>
        <v>Cardiology</v>
      </c>
    </row>
    <row r="194" spans="1:12" x14ac:dyDescent="0.25">
      <c r="A194">
        <f t="shared" si="24"/>
        <v>193</v>
      </c>
      <c r="B194">
        <f t="shared" ca="1" si="25"/>
        <v>73</v>
      </c>
      <c r="C194" t="str">
        <f t="shared" ca="1" si="26"/>
        <v>Female</v>
      </c>
      <c r="D194" s="1">
        <f t="shared" ca="1" si="27"/>
        <v>45593</v>
      </c>
      <c r="E194" s="1">
        <f t="shared" ca="1" si="28"/>
        <v>45601</v>
      </c>
      <c r="F194" t="str">
        <f t="shared" ca="1" si="29"/>
        <v>Diabetes</v>
      </c>
      <c r="G194" t="str">
        <f t="shared" ca="1" si="30"/>
        <v>Therapy</v>
      </c>
      <c r="H194">
        <f t="shared" ca="1" si="31"/>
        <v>8</v>
      </c>
      <c r="I194" t="str">
        <f t="shared" ca="1" si="32"/>
        <v>No</v>
      </c>
      <c r="J194">
        <f t="shared" ca="1" si="33"/>
        <v>0</v>
      </c>
      <c r="K194" t="str">
        <f t="shared" ca="1" si="34"/>
        <v>None</v>
      </c>
      <c r="L194" t="str">
        <f t="shared" ca="1" si="35"/>
        <v>Cardiology</v>
      </c>
    </row>
    <row r="195" spans="1:12" x14ac:dyDescent="0.25">
      <c r="A195">
        <f t="shared" ref="A195:A258" si="36">ROW() -1</f>
        <v>194</v>
      </c>
      <c r="B195">
        <f t="shared" ref="B195:B258" ca="1" si="37">RANDBETWEEN(20,90)</f>
        <v>39</v>
      </c>
      <c r="C195" t="str">
        <f t="shared" ref="C195:C258" ca="1" si="38">IF(RAND()&lt;0.5,"Male","Female")</f>
        <v>Female</v>
      </c>
      <c r="D195" s="1">
        <f t="shared" ref="D195:D258" ca="1" si="39">DATE(2024,1,1)+RANDBETWEEN(0,364)</f>
        <v>45399</v>
      </c>
      <c r="E195" s="1">
        <f t="shared" ref="E195:E258" ca="1" si="40">D195+RANDBETWEEN(1,15)</f>
        <v>45402</v>
      </c>
      <c r="F195" t="str">
        <f t="shared" ref="F195:F258" ca="1" si="41">CHOOSE(RANDBETWEEN(1,5),"Diabetes","Heart Failure","Pneumonia","Stroke","Hypertension")</f>
        <v>Hypertension</v>
      </c>
      <c r="G195" t="str">
        <f t="shared" ref="G195:G258" ca="1" si="42">CHOOSE(RANDBETWEEN(1,3),"Medication","Surgery","Therapy")</f>
        <v>Therapy</v>
      </c>
      <c r="H195">
        <f t="shared" ref="H195:H258" ca="1" si="43">DATEDIF(D195,E195,"D")</f>
        <v>3</v>
      </c>
      <c r="I195" t="str">
        <f t="shared" ref="I195:I258" ca="1" si="44">IF(RAND()&lt;0.3,"Yes","No")</f>
        <v>Yes</v>
      </c>
      <c r="J195">
        <f t="shared" ref="J195:J258" ca="1" si="45">RANDBETWEEN(0,4)</f>
        <v>4</v>
      </c>
      <c r="K195" t="str">
        <f t="shared" ref="K195:K258" ca="1" si="46">CHOOSE(RANDBETWEEN(1,3),"Private","Public","None")</f>
        <v>Public</v>
      </c>
      <c r="L195" t="str">
        <f t="shared" ref="L195:L258" ca="1" si="47">CHOOSE(RANDBETWEEN(1,5),"ER","Cardiology","Neurology","General","ICU")</f>
        <v>ER</v>
      </c>
    </row>
    <row r="196" spans="1:12" x14ac:dyDescent="0.25">
      <c r="A196">
        <f t="shared" si="36"/>
        <v>195</v>
      </c>
      <c r="B196">
        <f t="shared" ca="1" si="37"/>
        <v>46</v>
      </c>
      <c r="C196" t="str">
        <f t="shared" ca="1" si="38"/>
        <v>Female</v>
      </c>
      <c r="D196" s="1">
        <f t="shared" ca="1" si="39"/>
        <v>45579</v>
      </c>
      <c r="E196" s="1">
        <f t="shared" ca="1" si="40"/>
        <v>45586</v>
      </c>
      <c r="F196" t="str">
        <f t="shared" ca="1" si="41"/>
        <v>Diabetes</v>
      </c>
      <c r="G196" t="str">
        <f t="shared" ca="1" si="42"/>
        <v>Medication</v>
      </c>
      <c r="H196">
        <f t="shared" ca="1" si="43"/>
        <v>7</v>
      </c>
      <c r="I196" t="str">
        <f t="shared" ca="1" si="44"/>
        <v>No</v>
      </c>
      <c r="J196">
        <f t="shared" ca="1" si="45"/>
        <v>0</v>
      </c>
      <c r="K196" t="str">
        <f t="shared" ca="1" si="46"/>
        <v>Public</v>
      </c>
      <c r="L196" t="str">
        <f t="shared" ca="1" si="47"/>
        <v>Neurology</v>
      </c>
    </row>
    <row r="197" spans="1:12" x14ac:dyDescent="0.25">
      <c r="A197">
        <f t="shared" si="36"/>
        <v>196</v>
      </c>
      <c r="B197">
        <f t="shared" ca="1" si="37"/>
        <v>59</v>
      </c>
      <c r="C197" t="str">
        <f t="shared" ca="1" si="38"/>
        <v>Male</v>
      </c>
      <c r="D197" s="1">
        <f t="shared" ca="1" si="39"/>
        <v>45314</v>
      </c>
      <c r="E197" s="1">
        <f t="shared" ca="1" si="40"/>
        <v>45319</v>
      </c>
      <c r="F197" t="str">
        <f t="shared" ca="1" si="41"/>
        <v>Heart Failure</v>
      </c>
      <c r="G197" t="str">
        <f t="shared" ca="1" si="42"/>
        <v>Surgery</v>
      </c>
      <c r="H197">
        <f t="shared" ca="1" si="43"/>
        <v>5</v>
      </c>
      <c r="I197" t="str">
        <f t="shared" ca="1" si="44"/>
        <v>No</v>
      </c>
      <c r="J197">
        <f t="shared" ca="1" si="45"/>
        <v>1</v>
      </c>
      <c r="K197" t="str">
        <f t="shared" ca="1" si="46"/>
        <v>Private</v>
      </c>
      <c r="L197" t="str">
        <f t="shared" ca="1" si="47"/>
        <v>Neurology</v>
      </c>
    </row>
    <row r="198" spans="1:12" x14ac:dyDescent="0.25">
      <c r="A198">
        <f t="shared" si="36"/>
        <v>197</v>
      </c>
      <c r="B198">
        <f t="shared" ca="1" si="37"/>
        <v>52</v>
      </c>
      <c r="C198" t="str">
        <f t="shared" ca="1" si="38"/>
        <v>Male</v>
      </c>
      <c r="D198" s="1">
        <f t="shared" ca="1" si="39"/>
        <v>45455</v>
      </c>
      <c r="E198" s="1">
        <f t="shared" ca="1" si="40"/>
        <v>45464</v>
      </c>
      <c r="F198" t="str">
        <f t="shared" ca="1" si="41"/>
        <v>Hypertension</v>
      </c>
      <c r="G198" t="str">
        <f t="shared" ca="1" si="42"/>
        <v>Surgery</v>
      </c>
      <c r="H198">
        <f t="shared" ca="1" si="43"/>
        <v>9</v>
      </c>
      <c r="I198" t="str">
        <f t="shared" ca="1" si="44"/>
        <v>Yes</v>
      </c>
      <c r="J198">
        <f t="shared" ca="1" si="45"/>
        <v>1</v>
      </c>
      <c r="K198" t="str">
        <f t="shared" ca="1" si="46"/>
        <v>None</v>
      </c>
      <c r="L198" t="str">
        <f t="shared" ca="1" si="47"/>
        <v>General</v>
      </c>
    </row>
    <row r="199" spans="1:12" x14ac:dyDescent="0.25">
      <c r="A199">
        <f t="shared" si="36"/>
        <v>198</v>
      </c>
      <c r="B199">
        <f t="shared" ca="1" si="37"/>
        <v>80</v>
      </c>
      <c r="C199" t="str">
        <f t="shared" ca="1" si="38"/>
        <v>Female</v>
      </c>
      <c r="D199" s="1">
        <f t="shared" ca="1" si="39"/>
        <v>45513</v>
      </c>
      <c r="E199" s="1">
        <f t="shared" ca="1" si="40"/>
        <v>45515</v>
      </c>
      <c r="F199" t="str">
        <f t="shared" ca="1" si="41"/>
        <v>Diabetes</v>
      </c>
      <c r="G199" t="str">
        <f t="shared" ca="1" si="42"/>
        <v>Medication</v>
      </c>
      <c r="H199">
        <f t="shared" ca="1" si="43"/>
        <v>2</v>
      </c>
      <c r="I199" t="str">
        <f t="shared" ca="1" si="44"/>
        <v>No</v>
      </c>
      <c r="J199">
        <f t="shared" ca="1" si="45"/>
        <v>4</v>
      </c>
      <c r="K199" t="str">
        <f t="shared" ca="1" si="46"/>
        <v>None</v>
      </c>
      <c r="L199" t="str">
        <f t="shared" ca="1" si="47"/>
        <v>ICU</v>
      </c>
    </row>
    <row r="200" spans="1:12" x14ac:dyDescent="0.25">
      <c r="A200">
        <f t="shared" si="36"/>
        <v>199</v>
      </c>
      <c r="B200">
        <f t="shared" ca="1" si="37"/>
        <v>86</v>
      </c>
      <c r="C200" t="str">
        <f t="shared" ca="1" si="38"/>
        <v>Female</v>
      </c>
      <c r="D200" s="1">
        <f t="shared" ca="1" si="39"/>
        <v>45483</v>
      </c>
      <c r="E200" s="1">
        <f t="shared" ca="1" si="40"/>
        <v>45490</v>
      </c>
      <c r="F200" t="str">
        <f t="shared" ca="1" si="41"/>
        <v>Stroke</v>
      </c>
      <c r="G200" t="str">
        <f t="shared" ca="1" si="42"/>
        <v>Medication</v>
      </c>
      <c r="H200">
        <f t="shared" ca="1" si="43"/>
        <v>7</v>
      </c>
      <c r="I200" t="str">
        <f t="shared" ca="1" si="44"/>
        <v>No</v>
      </c>
      <c r="J200">
        <f t="shared" ca="1" si="45"/>
        <v>1</v>
      </c>
      <c r="K200" t="str">
        <f t="shared" ca="1" si="46"/>
        <v>None</v>
      </c>
      <c r="L200" t="str">
        <f t="shared" ca="1" si="47"/>
        <v>Neurology</v>
      </c>
    </row>
    <row r="201" spans="1:12" x14ac:dyDescent="0.25">
      <c r="A201">
        <f t="shared" si="36"/>
        <v>200</v>
      </c>
      <c r="B201">
        <f t="shared" ca="1" si="37"/>
        <v>21</v>
      </c>
      <c r="C201" t="str">
        <f t="shared" ca="1" si="38"/>
        <v>Male</v>
      </c>
      <c r="D201" s="1">
        <f t="shared" ca="1" si="39"/>
        <v>45542</v>
      </c>
      <c r="E201" s="1">
        <f t="shared" ca="1" si="40"/>
        <v>45556</v>
      </c>
      <c r="F201" t="str">
        <f t="shared" ca="1" si="41"/>
        <v>Diabetes</v>
      </c>
      <c r="G201" t="str">
        <f t="shared" ca="1" si="42"/>
        <v>Therapy</v>
      </c>
      <c r="H201">
        <f t="shared" ca="1" si="43"/>
        <v>14</v>
      </c>
      <c r="I201" t="str">
        <f t="shared" ca="1" si="44"/>
        <v>Yes</v>
      </c>
      <c r="J201">
        <f t="shared" ca="1" si="45"/>
        <v>3</v>
      </c>
      <c r="K201" t="str">
        <f t="shared" ca="1" si="46"/>
        <v>Public</v>
      </c>
      <c r="L201" t="str">
        <f t="shared" ca="1" si="47"/>
        <v>Neurology</v>
      </c>
    </row>
    <row r="202" spans="1:12" x14ac:dyDescent="0.25">
      <c r="A202">
        <f t="shared" si="36"/>
        <v>201</v>
      </c>
      <c r="B202">
        <f t="shared" ca="1" si="37"/>
        <v>52</v>
      </c>
      <c r="C202" t="str">
        <f t="shared" ca="1" si="38"/>
        <v>Female</v>
      </c>
      <c r="D202" s="1">
        <f t="shared" ca="1" si="39"/>
        <v>45449</v>
      </c>
      <c r="E202" s="1">
        <f t="shared" ca="1" si="40"/>
        <v>45453</v>
      </c>
      <c r="F202" t="str">
        <f t="shared" ca="1" si="41"/>
        <v>Stroke</v>
      </c>
      <c r="G202" t="str">
        <f t="shared" ca="1" si="42"/>
        <v>Surgery</v>
      </c>
      <c r="H202">
        <f t="shared" ca="1" si="43"/>
        <v>4</v>
      </c>
      <c r="I202" t="str">
        <f t="shared" ca="1" si="44"/>
        <v>Yes</v>
      </c>
      <c r="J202">
        <f t="shared" ca="1" si="45"/>
        <v>1</v>
      </c>
      <c r="K202" t="str">
        <f t="shared" ca="1" si="46"/>
        <v>None</v>
      </c>
      <c r="L202" t="str">
        <f t="shared" ca="1" si="47"/>
        <v>Neurology</v>
      </c>
    </row>
    <row r="203" spans="1:12" x14ac:dyDescent="0.25">
      <c r="A203">
        <f t="shared" si="36"/>
        <v>202</v>
      </c>
      <c r="B203">
        <f t="shared" ca="1" si="37"/>
        <v>36</v>
      </c>
      <c r="C203" t="str">
        <f t="shared" ca="1" si="38"/>
        <v>Male</v>
      </c>
      <c r="D203" s="1">
        <f t="shared" ca="1" si="39"/>
        <v>45361</v>
      </c>
      <c r="E203" s="1">
        <f t="shared" ca="1" si="40"/>
        <v>45362</v>
      </c>
      <c r="F203" t="str">
        <f t="shared" ca="1" si="41"/>
        <v>Heart Failure</v>
      </c>
      <c r="G203" t="str">
        <f t="shared" ca="1" si="42"/>
        <v>Therapy</v>
      </c>
      <c r="H203">
        <f t="shared" ca="1" si="43"/>
        <v>1</v>
      </c>
      <c r="I203" t="str">
        <f t="shared" ca="1" si="44"/>
        <v>Yes</v>
      </c>
      <c r="J203">
        <f t="shared" ca="1" si="45"/>
        <v>2</v>
      </c>
      <c r="K203" t="str">
        <f t="shared" ca="1" si="46"/>
        <v>Public</v>
      </c>
      <c r="L203" t="str">
        <f t="shared" ca="1" si="47"/>
        <v>Cardiology</v>
      </c>
    </row>
    <row r="204" spans="1:12" x14ac:dyDescent="0.25">
      <c r="A204">
        <f t="shared" si="36"/>
        <v>203</v>
      </c>
      <c r="B204">
        <f t="shared" ca="1" si="37"/>
        <v>78</v>
      </c>
      <c r="C204" t="str">
        <f t="shared" ca="1" si="38"/>
        <v>Male</v>
      </c>
      <c r="D204" s="1">
        <f t="shared" ca="1" si="39"/>
        <v>45306</v>
      </c>
      <c r="E204" s="1">
        <f t="shared" ca="1" si="40"/>
        <v>45308</v>
      </c>
      <c r="F204" t="str">
        <f t="shared" ca="1" si="41"/>
        <v>Diabetes</v>
      </c>
      <c r="G204" t="str">
        <f t="shared" ca="1" si="42"/>
        <v>Surgery</v>
      </c>
      <c r="H204">
        <f t="shared" ca="1" si="43"/>
        <v>2</v>
      </c>
      <c r="I204" t="str">
        <f t="shared" ca="1" si="44"/>
        <v>No</v>
      </c>
      <c r="J204">
        <f t="shared" ca="1" si="45"/>
        <v>3</v>
      </c>
      <c r="K204" t="str">
        <f t="shared" ca="1" si="46"/>
        <v>Private</v>
      </c>
      <c r="L204" t="str">
        <f t="shared" ca="1" si="47"/>
        <v>General</v>
      </c>
    </row>
    <row r="205" spans="1:12" x14ac:dyDescent="0.25">
      <c r="A205">
        <f t="shared" si="36"/>
        <v>204</v>
      </c>
      <c r="B205">
        <f t="shared" ca="1" si="37"/>
        <v>49</v>
      </c>
      <c r="C205" t="str">
        <f t="shared" ca="1" si="38"/>
        <v>Male</v>
      </c>
      <c r="D205" s="1">
        <f t="shared" ca="1" si="39"/>
        <v>45403</v>
      </c>
      <c r="E205" s="1">
        <f t="shared" ca="1" si="40"/>
        <v>45413</v>
      </c>
      <c r="F205" t="str">
        <f t="shared" ca="1" si="41"/>
        <v>Diabetes</v>
      </c>
      <c r="G205" t="str">
        <f t="shared" ca="1" si="42"/>
        <v>Medication</v>
      </c>
      <c r="H205">
        <f t="shared" ca="1" si="43"/>
        <v>10</v>
      </c>
      <c r="I205" t="str">
        <f t="shared" ca="1" si="44"/>
        <v>No</v>
      </c>
      <c r="J205">
        <f t="shared" ca="1" si="45"/>
        <v>1</v>
      </c>
      <c r="K205" t="str">
        <f t="shared" ca="1" si="46"/>
        <v>Private</v>
      </c>
      <c r="L205" t="str">
        <f t="shared" ca="1" si="47"/>
        <v>Cardiology</v>
      </c>
    </row>
    <row r="206" spans="1:12" x14ac:dyDescent="0.25">
      <c r="A206">
        <f t="shared" si="36"/>
        <v>205</v>
      </c>
      <c r="B206">
        <f t="shared" ca="1" si="37"/>
        <v>80</v>
      </c>
      <c r="C206" t="str">
        <f t="shared" ca="1" si="38"/>
        <v>Male</v>
      </c>
      <c r="D206" s="1">
        <f t="shared" ca="1" si="39"/>
        <v>45463</v>
      </c>
      <c r="E206" s="1">
        <f t="shared" ca="1" si="40"/>
        <v>45476</v>
      </c>
      <c r="F206" t="str">
        <f t="shared" ca="1" si="41"/>
        <v>Hypertension</v>
      </c>
      <c r="G206" t="str">
        <f t="shared" ca="1" si="42"/>
        <v>Therapy</v>
      </c>
      <c r="H206">
        <f t="shared" ca="1" si="43"/>
        <v>13</v>
      </c>
      <c r="I206" t="str">
        <f t="shared" ca="1" si="44"/>
        <v>No</v>
      </c>
      <c r="J206">
        <f t="shared" ca="1" si="45"/>
        <v>4</v>
      </c>
      <c r="K206" t="str">
        <f t="shared" ca="1" si="46"/>
        <v>Private</v>
      </c>
      <c r="L206" t="str">
        <f t="shared" ca="1" si="47"/>
        <v>General</v>
      </c>
    </row>
    <row r="207" spans="1:12" x14ac:dyDescent="0.25">
      <c r="A207">
        <f t="shared" si="36"/>
        <v>206</v>
      </c>
      <c r="B207">
        <f t="shared" ca="1" si="37"/>
        <v>50</v>
      </c>
      <c r="C207" t="str">
        <f t="shared" ca="1" si="38"/>
        <v>Male</v>
      </c>
      <c r="D207" s="1">
        <f t="shared" ca="1" si="39"/>
        <v>45515</v>
      </c>
      <c r="E207" s="1">
        <f t="shared" ca="1" si="40"/>
        <v>45521</v>
      </c>
      <c r="F207" t="str">
        <f t="shared" ca="1" si="41"/>
        <v>Pneumonia</v>
      </c>
      <c r="G207" t="str">
        <f t="shared" ca="1" si="42"/>
        <v>Therapy</v>
      </c>
      <c r="H207">
        <f t="shared" ca="1" si="43"/>
        <v>6</v>
      </c>
      <c r="I207" t="str">
        <f t="shared" ca="1" si="44"/>
        <v>No</v>
      </c>
      <c r="J207">
        <f t="shared" ca="1" si="45"/>
        <v>3</v>
      </c>
      <c r="K207" t="str">
        <f t="shared" ca="1" si="46"/>
        <v>Private</v>
      </c>
      <c r="L207" t="str">
        <f t="shared" ca="1" si="47"/>
        <v>Cardiology</v>
      </c>
    </row>
    <row r="208" spans="1:12" x14ac:dyDescent="0.25">
      <c r="A208">
        <f t="shared" si="36"/>
        <v>207</v>
      </c>
      <c r="B208">
        <f t="shared" ca="1" si="37"/>
        <v>66</v>
      </c>
      <c r="C208" t="str">
        <f t="shared" ca="1" si="38"/>
        <v>Male</v>
      </c>
      <c r="D208" s="1">
        <f t="shared" ca="1" si="39"/>
        <v>45350</v>
      </c>
      <c r="E208" s="1">
        <f t="shared" ca="1" si="40"/>
        <v>45352</v>
      </c>
      <c r="F208" t="str">
        <f t="shared" ca="1" si="41"/>
        <v>Pneumonia</v>
      </c>
      <c r="G208" t="str">
        <f t="shared" ca="1" si="42"/>
        <v>Therapy</v>
      </c>
      <c r="H208">
        <f t="shared" ca="1" si="43"/>
        <v>2</v>
      </c>
      <c r="I208" t="str">
        <f t="shared" ca="1" si="44"/>
        <v>Yes</v>
      </c>
      <c r="J208">
        <f t="shared" ca="1" si="45"/>
        <v>4</v>
      </c>
      <c r="K208" t="str">
        <f t="shared" ca="1" si="46"/>
        <v>None</v>
      </c>
      <c r="L208" t="str">
        <f t="shared" ca="1" si="47"/>
        <v>General</v>
      </c>
    </row>
    <row r="209" spans="1:12" x14ac:dyDescent="0.25">
      <c r="A209">
        <f t="shared" si="36"/>
        <v>208</v>
      </c>
      <c r="B209">
        <f t="shared" ca="1" si="37"/>
        <v>23</v>
      </c>
      <c r="C209" t="str">
        <f t="shared" ca="1" si="38"/>
        <v>Male</v>
      </c>
      <c r="D209" s="1">
        <f t="shared" ca="1" si="39"/>
        <v>45501</v>
      </c>
      <c r="E209" s="1">
        <f t="shared" ca="1" si="40"/>
        <v>45506</v>
      </c>
      <c r="F209" t="str">
        <f t="shared" ca="1" si="41"/>
        <v>Hypertension</v>
      </c>
      <c r="G209" t="str">
        <f t="shared" ca="1" si="42"/>
        <v>Medication</v>
      </c>
      <c r="H209">
        <f t="shared" ca="1" si="43"/>
        <v>5</v>
      </c>
      <c r="I209" t="str">
        <f t="shared" ca="1" si="44"/>
        <v>No</v>
      </c>
      <c r="J209">
        <f t="shared" ca="1" si="45"/>
        <v>4</v>
      </c>
      <c r="K209" t="str">
        <f t="shared" ca="1" si="46"/>
        <v>Public</v>
      </c>
      <c r="L209" t="str">
        <f t="shared" ca="1" si="47"/>
        <v>ICU</v>
      </c>
    </row>
    <row r="210" spans="1:12" x14ac:dyDescent="0.25">
      <c r="A210">
        <f t="shared" si="36"/>
        <v>209</v>
      </c>
      <c r="B210">
        <f t="shared" ca="1" si="37"/>
        <v>50</v>
      </c>
      <c r="C210" t="str">
        <f t="shared" ca="1" si="38"/>
        <v>Male</v>
      </c>
      <c r="D210" s="1">
        <f t="shared" ca="1" si="39"/>
        <v>45439</v>
      </c>
      <c r="E210" s="1">
        <f t="shared" ca="1" si="40"/>
        <v>45450</v>
      </c>
      <c r="F210" t="str">
        <f t="shared" ca="1" si="41"/>
        <v>Hypertension</v>
      </c>
      <c r="G210" t="str">
        <f t="shared" ca="1" si="42"/>
        <v>Medication</v>
      </c>
      <c r="H210">
        <f t="shared" ca="1" si="43"/>
        <v>11</v>
      </c>
      <c r="I210" t="str">
        <f t="shared" ca="1" si="44"/>
        <v>No</v>
      </c>
      <c r="J210">
        <f t="shared" ca="1" si="45"/>
        <v>3</v>
      </c>
      <c r="K210" t="str">
        <f t="shared" ca="1" si="46"/>
        <v>Private</v>
      </c>
      <c r="L210" t="str">
        <f t="shared" ca="1" si="47"/>
        <v>General</v>
      </c>
    </row>
    <row r="211" spans="1:12" x14ac:dyDescent="0.25">
      <c r="A211">
        <f t="shared" si="36"/>
        <v>210</v>
      </c>
      <c r="B211">
        <f t="shared" ca="1" si="37"/>
        <v>26</v>
      </c>
      <c r="C211" t="str">
        <f t="shared" ca="1" si="38"/>
        <v>Female</v>
      </c>
      <c r="D211" s="1">
        <f t="shared" ca="1" si="39"/>
        <v>45611</v>
      </c>
      <c r="E211" s="1">
        <f t="shared" ca="1" si="40"/>
        <v>45622</v>
      </c>
      <c r="F211" t="str">
        <f t="shared" ca="1" si="41"/>
        <v>Hypertension</v>
      </c>
      <c r="G211" t="str">
        <f t="shared" ca="1" si="42"/>
        <v>Medication</v>
      </c>
      <c r="H211">
        <f t="shared" ca="1" si="43"/>
        <v>11</v>
      </c>
      <c r="I211" t="str">
        <f t="shared" ca="1" si="44"/>
        <v>Yes</v>
      </c>
      <c r="J211">
        <f t="shared" ca="1" si="45"/>
        <v>0</v>
      </c>
      <c r="K211" t="str">
        <f t="shared" ca="1" si="46"/>
        <v>None</v>
      </c>
      <c r="L211" t="str">
        <f t="shared" ca="1" si="47"/>
        <v>Cardiology</v>
      </c>
    </row>
    <row r="212" spans="1:12" x14ac:dyDescent="0.25">
      <c r="A212">
        <f t="shared" si="36"/>
        <v>211</v>
      </c>
      <c r="B212">
        <f t="shared" ca="1" si="37"/>
        <v>43</v>
      </c>
      <c r="C212" t="str">
        <f t="shared" ca="1" si="38"/>
        <v>Male</v>
      </c>
      <c r="D212" s="1">
        <f t="shared" ca="1" si="39"/>
        <v>45442</v>
      </c>
      <c r="E212" s="1">
        <f t="shared" ca="1" si="40"/>
        <v>45453</v>
      </c>
      <c r="F212" t="str">
        <f t="shared" ca="1" si="41"/>
        <v>Pneumonia</v>
      </c>
      <c r="G212" t="str">
        <f t="shared" ca="1" si="42"/>
        <v>Therapy</v>
      </c>
      <c r="H212">
        <f t="shared" ca="1" si="43"/>
        <v>11</v>
      </c>
      <c r="I212" t="str">
        <f t="shared" ca="1" si="44"/>
        <v>No</v>
      </c>
      <c r="J212">
        <f t="shared" ca="1" si="45"/>
        <v>1</v>
      </c>
      <c r="K212" t="str">
        <f t="shared" ca="1" si="46"/>
        <v>Private</v>
      </c>
      <c r="L212" t="str">
        <f t="shared" ca="1" si="47"/>
        <v>Neurology</v>
      </c>
    </row>
    <row r="213" spans="1:12" x14ac:dyDescent="0.25">
      <c r="A213">
        <f t="shared" si="36"/>
        <v>212</v>
      </c>
      <c r="B213">
        <f t="shared" ca="1" si="37"/>
        <v>66</v>
      </c>
      <c r="C213" t="str">
        <f t="shared" ca="1" si="38"/>
        <v>Male</v>
      </c>
      <c r="D213" s="1">
        <f t="shared" ca="1" si="39"/>
        <v>45640</v>
      </c>
      <c r="E213" s="1">
        <f t="shared" ca="1" si="40"/>
        <v>45645</v>
      </c>
      <c r="F213" t="str">
        <f t="shared" ca="1" si="41"/>
        <v>Heart Failure</v>
      </c>
      <c r="G213" t="str">
        <f t="shared" ca="1" si="42"/>
        <v>Medication</v>
      </c>
      <c r="H213">
        <f t="shared" ca="1" si="43"/>
        <v>5</v>
      </c>
      <c r="I213" t="str">
        <f t="shared" ca="1" si="44"/>
        <v>No</v>
      </c>
      <c r="J213">
        <f t="shared" ca="1" si="45"/>
        <v>1</v>
      </c>
      <c r="K213" t="str">
        <f t="shared" ca="1" si="46"/>
        <v>None</v>
      </c>
      <c r="L213" t="str">
        <f t="shared" ca="1" si="47"/>
        <v>ER</v>
      </c>
    </row>
    <row r="214" spans="1:12" x14ac:dyDescent="0.25">
      <c r="A214">
        <f t="shared" si="36"/>
        <v>213</v>
      </c>
      <c r="B214">
        <f t="shared" ca="1" si="37"/>
        <v>47</v>
      </c>
      <c r="C214" t="str">
        <f t="shared" ca="1" si="38"/>
        <v>Female</v>
      </c>
      <c r="D214" s="1">
        <f t="shared" ca="1" si="39"/>
        <v>45469</v>
      </c>
      <c r="E214" s="1">
        <f t="shared" ca="1" si="40"/>
        <v>45480</v>
      </c>
      <c r="F214" t="str">
        <f t="shared" ca="1" si="41"/>
        <v>Heart Failure</v>
      </c>
      <c r="G214" t="str">
        <f t="shared" ca="1" si="42"/>
        <v>Therapy</v>
      </c>
      <c r="H214">
        <f t="shared" ca="1" si="43"/>
        <v>11</v>
      </c>
      <c r="I214" t="str">
        <f t="shared" ca="1" si="44"/>
        <v>No</v>
      </c>
      <c r="J214">
        <f t="shared" ca="1" si="45"/>
        <v>3</v>
      </c>
      <c r="K214" t="str">
        <f t="shared" ca="1" si="46"/>
        <v>None</v>
      </c>
      <c r="L214" t="str">
        <f t="shared" ca="1" si="47"/>
        <v>Cardiology</v>
      </c>
    </row>
    <row r="215" spans="1:12" x14ac:dyDescent="0.25">
      <c r="A215">
        <f t="shared" si="36"/>
        <v>214</v>
      </c>
      <c r="B215">
        <f t="shared" ca="1" si="37"/>
        <v>35</v>
      </c>
      <c r="C215" t="str">
        <f t="shared" ca="1" si="38"/>
        <v>Male</v>
      </c>
      <c r="D215" s="1">
        <f t="shared" ca="1" si="39"/>
        <v>45474</v>
      </c>
      <c r="E215" s="1">
        <f t="shared" ca="1" si="40"/>
        <v>45480</v>
      </c>
      <c r="F215" t="str">
        <f t="shared" ca="1" si="41"/>
        <v>Hypertension</v>
      </c>
      <c r="G215" t="str">
        <f t="shared" ca="1" si="42"/>
        <v>Medication</v>
      </c>
      <c r="H215">
        <f t="shared" ca="1" si="43"/>
        <v>6</v>
      </c>
      <c r="I215" t="str">
        <f t="shared" ca="1" si="44"/>
        <v>No</v>
      </c>
      <c r="J215">
        <f t="shared" ca="1" si="45"/>
        <v>4</v>
      </c>
      <c r="K215" t="str">
        <f t="shared" ca="1" si="46"/>
        <v>Private</v>
      </c>
      <c r="L215" t="str">
        <f t="shared" ca="1" si="47"/>
        <v>General</v>
      </c>
    </row>
    <row r="216" spans="1:12" x14ac:dyDescent="0.25">
      <c r="A216">
        <f t="shared" si="36"/>
        <v>215</v>
      </c>
      <c r="B216">
        <f t="shared" ca="1" si="37"/>
        <v>81</v>
      </c>
      <c r="C216" t="str">
        <f t="shared" ca="1" si="38"/>
        <v>Male</v>
      </c>
      <c r="D216" s="1">
        <f t="shared" ca="1" si="39"/>
        <v>45466</v>
      </c>
      <c r="E216" s="1">
        <f t="shared" ca="1" si="40"/>
        <v>45481</v>
      </c>
      <c r="F216" t="str">
        <f t="shared" ca="1" si="41"/>
        <v>Hypertension</v>
      </c>
      <c r="G216" t="str">
        <f t="shared" ca="1" si="42"/>
        <v>Surgery</v>
      </c>
      <c r="H216">
        <f t="shared" ca="1" si="43"/>
        <v>15</v>
      </c>
      <c r="I216" t="str">
        <f t="shared" ca="1" si="44"/>
        <v>Yes</v>
      </c>
      <c r="J216">
        <f t="shared" ca="1" si="45"/>
        <v>2</v>
      </c>
      <c r="K216" t="str">
        <f t="shared" ca="1" si="46"/>
        <v>Private</v>
      </c>
      <c r="L216" t="str">
        <f t="shared" ca="1" si="47"/>
        <v>ER</v>
      </c>
    </row>
    <row r="217" spans="1:12" x14ac:dyDescent="0.25">
      <c r="A217">
        <f t="shared" si="36"/>
        <v>216</v>
      </c>
      <c r="B217">
        <f t="shared" ca="1" si="37"/>
        <v>44</v>
      </c>
      <c r="C217" t="str">
        <f t="shared" ca="1" si="38"/>
        <v>Male</v>
      </c>
      <c r="D217" s="1">
        <f t="shared" ca="1" si="39"/>
        <v>45432</v>
      </c>
      <c r="E217" s="1">
        <f t="shared" ca="1" si="40"/>
        <v>45441</v>
      </c>
      <c r="F217" t="str">
        <f t="shared" ca="1" si="41"/>
        <v>Heart Failure</v>
      </c>
      <c r="G217" t="str">
        <f t="shared" ca="1" si="42"/>
        <v>Medication</v>
      </c>
      <c r="H217">
        <f t="shared" ca="1" si="43"/>
        <v>9</v>
      </c>
      <c r="I217" t="str">
        <f t="shared" ca="1" si="44"/>
        <v>No</v>
      </c>
      <c r="J217">
        <f t="shared" ca="1" si="45"/>
        <v>2</v>
      </c>
      <c r="K217" t="str">
        <f t="shared" ca="1" si="46"/>
        <v>Private</v>
      </c>
      <c r="L217" t="str">
        <f t="shared" ca="1" si="47"/>
        <v>ICU</v>
      </c>
    </row>
    <row r="218" spans="1:12" x14ac:dyDescent="0.25">
      <c r="A218">
        <f t="shared" si="36"/>
        <v>217</v>
      </c>
      <c r="B218">
        <f t="shared" ca="1" si="37"/>
        <v>64</v>
      </c>
      <c r="C218" t="str">
        <f t="shared" ca="1" si="38"/>
        <v>Male</v>
      </c>
      <c r="D218" s="1">
        <f t="shared" ca="1" si="39"/>
        <v>45585</v>
      </c>
      <c r="E218" s="1">
        <f t="shared" ca="1" si="40"/>
        <v>45593</v>
      </c>
      <c r="F218" t="str">
        <f t="shared" ca="1" si="41"/>
        <v>Pneumonia</v>
      </c>
      <c r="G218" t="str">
        <f t="shared" ca="1" si="42"/>
        <v>Therapy</v>
      </c>
      <c r="H218">
        <f t="shared" ca="1" si="43"/>
        <v>8</v>
      </c>
      <c r="I218" t="str">
        <f t="shared" ca="1" si="44"/>
        <v>No</v>
      </c>
      <c r="J218">
        <f t="shared" ca="1" si="45"/>
        <v>4</v>
      </c>
      <c r="K218" t="str">
        <f t="shared" ca="1" si="46"/>
        <v>Public</v>
      </c>
      <c r="L218" t="str">
        <f t="shared" ca="1" si="47"/>
        <v>Neurology</v>
      </c>
    </row>
    <row r="219" spans="1:12" x14ac:dyDescent="0.25">
      <c r="A219">
        <f t="shared" si="36"/>
        <v>218</v>
      </c>
      <c r="B219">
        <f t="shared" ca="1" si="37"/>
        <v>23</v>
      </c>
      <c r="C219" t="str">
        <f t="shared" ca="1" si="38"/>
        <v>Female</v>
      </c>
      <c r="D219" s="1">
        <f t="shared" ca="1" si="39"/>
        <v>45377</v>
      </c>
      <c r="E219" s="1">
        <f t="shared" ca="1" si="40"/>
        <v>45379</v>
      </c>
      <c r="F219" t="str">
        <f t="shared" ca="1" si="41"/>
        <v>Stroke</v>
      </c>
      <c r="G219" t="str">
        <f t="shared" ca="1" si="42"/>
        <v>Surgery</v>
      </c>
      <c r="H219">
        <f t="shared" ca="1" si="43"/>
        <v>2</v>
      </c>
      <c r="I219" t="str">
        <f t="shared" ca="1" si="44"/>
        <v>Yes</v>
      </c>
      <c r="J219">
        <f t="shared" ca="1" si="45"/>
        <v>2</v>
      </c>
      <c r="K219" t="str">
        <f t="shared" ca="1" si="46"/>
        <v>Public</v>
      </c>
      <c r="L219" t="str">
        <f t="shared" ca="1" si="47"/>
        <v>General</v>
      </c>
    </row>
    <row r="220" spans="1:12" x14ac:dyDescent="0.25">
      <c r="A220">
        <f t="shared" si="36"/>
        <v>219</v>
      </c>
      <c r="B220">
        <f t="shared" ca="1" si="37"/>
        <v>84</v>
      </c>
      <c r="C220" t="str">
        <f t="shared" ca="1" si="38"/>
        <v>Male</v>
      </c>
      <c r="D220" s="1">
        <f t="shared" ca="1" si="39"/>
        <v>45510</v>
      </c>
      <c r="E220" s="1">
        <f t="shared" ca="1" si="40"/>
        <v>45511</v>
      </c>
      <c r="F220" t="str">
        <f t="shared" ca="1" si="41"/>
        <v>Pneumonia</v>
      </c>
      <c r="G220" t="str">
        <f t="shared" ca="1" si="42"/>
        <v>Medication</v>
      </c>
      <c r="H220">
        <f t="shared" ca="1" si="43"/>
        <v>1</v>
      </c>
      <c r="I220" t="str">
        <f t="shared" ca="1" si="44"/>
        <v>Yes</v>
      </c>
      <c r="J220">
        <f t="shared" ca="1" si="45"/>
        <v>0</v>
      </c>
      <c r="K220" t="str">
        <f t="shared" ca="1" si="46"/>
        <v>Public</v>
      </c>
      <c r="L220" t="str">
        <f t="shared" ca="1" si="47"/>
        <v>Cardiology</v>
      </c>
    </row>
    <row r="221" spans="1:12" x14ac:dyDescent="0.25">
      <c r="A221">
        <f t="shared" si="36"/>
        <v>220</v>
      </c>
      <c r="B221">
        <f t="shared" ca="1" si="37"/>
        <v>42</v>
      </c>
      <c r="C221" t="str">
        <f t="shared" ca="1" si="38"/>
        <v>Male</v>
      </c>
      <c r="D221" s="1">
        <f t="shared" ca="1" si="39"/>
        <v>45491</v>
      </c>
      <c r="E221" s="1">
        <f t="shared" ca="1" si="40"/>
        <v>45498</v>
      </c>
      <c r="F221" t="str">
        <f t="shared" ca="1" si="41"/>
        <v>Diabetes</v>
      </c>
      <c r="G221" t="str">
        <f t="shared" ca="1" si="42"/>
        <v>Medication</v>
      </c>
      <c r="H221">
        <f t="shared" ca="1" si="43"/>
        <v>7</v>
      </c>
      <c r="I221" t="str">
        <f t="shared" ca="1" si="44"/>
        <v>No</v>
      </c>
      <c r="J221">
        <f t="shared" ca="1" si="45"/>
        <v>2</v>
      </c>
      <c r="K221" t="str">
        <f t="shared" ca="1" si="46"/>
        <v>Private</v>
      </c>
      <c r="L221" t="str">
        <f t="shared" ca="1" si="47"/>
        <v>ER</v>
      </c>
    </row>
    <row r="222" spans="1:12" x14ac:dyDescent="0.25">
      <c r="A222">
        <f t="shared" si="36"/>
        <v>221</v>
      </c>
      <c r="B222">
        <f t="shared" ca="1" si="37"/>
        <v>29</v>
      </c>
      <c r="C222" t="str">
        <f t="shared" ca="1" si="38"/>
        <v>Male</v>
      </c>
      <c r="D222" s="1">
        <f t="shared" ca="1" si="39"/>
        <v>45325</v>
      </c>
      <c r="E222" s="1">
        <f t="shared" ca="1" si="40"/>
        <v>45330</v>
      </c>
      <c r="F222" t="str">
        <f t="shared" ca="1" si="41"/>
        <v>Heart Failure</v>
      </c>
      <c r="G222" t="str">
        <f t="shared" ca="1" si="42"/>
        <v>Therapy</v>
      </c>
      <c r="H222">
        <f t="shared" ca="1" si="43"/>
        <v>5</v>
      </c>
      <c r="I222" t="str">
        <f t="shared" ca="1" si="44"/>
        <v>No</v>
      </c>
      <c r="J222">
        <f t="shared" ca="1" si="45"/>
        <v>4</v>
      </c>
      <c r="K222" t="str">
        <f t="shared" ca="1" si="46"/>
        <v>None</v>
      </c>
      <c r="L222" t="str">
        <f t="shared" ca="1" si="47"/>
        <v>ICU</v>
      </c>
    </row>
    <row r="223" spans="1:12" x14ac:dyDescent="0.25">
      <c r="A223">
        <f t="shared" si="36"/>
        <v>222</v>
      </c>
      <c r="B223">
        <f t="shared" ca="1" si="37"/>
        <v>33</v>
      </c>
      <c r="C223" t="str">
        <f t="shared" ca="1" si="38"/>
        <v>Male</v>
      </c>
      <c r="D223" s="1">
        <f t="shared" ca="1" si="39"/>
        <v>45458</v>
      </c>
      <c r="E223" s="1">
        <f t="shared" ca="1" si="40"/>
        <v>45459</v>
      </c>
      <c r="F223" t="str">
        <f t="shared" ca="1" si="41"/>
        <v>Pneumonia</v>
      </c>
      <c r="G223" t="str">
        <f t="shared" ca="1" si="42"/>
        <v>Surgery</v>
      </c>
      <c r="H223">
        <f t="shared" ca="1" si="43"/>
        <v>1</v>
      </c>
      <c r="I223" t="str">
        <f t="shared" ca="1" si="44"/>
        <v>No</v>
      </c>
      <c r="J223">
        <f t="shared" ca="1" si="45"/>
        <v>3</v>
      </c>
      <c r="K223" t="str">
        <f t="shared" ca="1" si="46"/>
        <v>Private</v>
      </c>
      <c r="L223" t="str">
        <f t="shared" ca="1" si="47"/>
        <v>Cardiology</v>
      </c>
    </row>
    <row r="224" spans="1:12" x14ac:dyDescent="0.25">
      <c r="A224">
        <f t="shared" si="36"/>
        <v>223</v>
      </c>
      <c r="B224">
        <f t="shared" ca="1" si="37"/>
        <v>55</v>
      </c>
      <c r="C224" t="str">
        <f t="shared" ca="1" si="38"/>
        <v>Male</v>
      </c>
      <c r="D224" s="1">
        <f t="shared" ca="1" si="39"/>
        <v>45549</v>
      </c>
      <c r="E224" s="1">
        <f t="shared" ca="1" si="40"/>
        <v>45555</v>
      </c>
      <c r="F224" t="str">
        <f t="shared" ca="1" si="41"/>
        <v>Hypertension</v>
      </c>
      <c r="G224" t="str">
        <f t="shared" ca="1" si="42"/>
        <v>Medication</v>
      </c>
      <c r="H224">
        <f t="shared" ca="1" si="43"/>
        <v>6</v>
      </c>
      <c r="I224" t="str">
        <f t="shared" ca="1" si="44"/>
        <v>No</v>
      </c>
      <c r="J224">
        <f t="shared" ca="1" si="45"/>
        <v>3</v>
      </c>
      <c r="K224" t="str">
        <f t="shared" ca="1" si="46"/>
        <v>None</v>
      </c>
      <c r="L224" t="str">
        <f t="shared" ca="1" si="47"/>
        <v>Neurology</v>
      </c>
    </row>
    <row r="225" spans="1:12" x14ac:dyDescent="0.25">
      <c r="A225">
        <f t="shared" si="36"/>
        <v>224</v>
      </c>
      <c r="B225">
        <f t="shared" ca="1" si="37"/>
        <v>40</v>
      </c>
      <c r="C225" t="str">
        <f t="shared" ca="1" si="38"/>
        <v>Male</v>
      </c>
      <c r="D225" s="1">
        <f t="shared" ca="1" si="39"/>
        <v>45364</v>
      </c>
      <c r="E225" s="1">
        <f t="shared" ca="1" si="40"/>
        <v>45374</v>
      </c>
      <c r="F225" t="str">
        <f t="shared" ca="1" si="41"/>
        <v>Stroke</v>
      </c>
      <c r="G225" t="str">
        <f t="shared" ca="1" si="42"/>
        <v>Therapy</v>
      </c>
      <c r="H225">
        <f t="shared" ca="1" si="43"/>
        <v>10</v>
      </c>
      <c r="I225" t="str">
        <f t="shared" ca="1" si="44"/>
        <v>Yes</v>
      </c>
      <c r="J225">
        <f t="shared" ca="1" si="45"/>
        <v>0</v>
      </c>
      <c r="K225" t="str">
        <f t="shared" ca="1" si="46"/>
        <v>Private</v>
      </c>
      <c r="L225" t="str">
        <f t="shared" ca="1" si="47"/>
        <v>Cardiology</v>
      </c>
    </row>
    <row r="226" spans="1:12" x14ac:dyDescent="0.25">
      <c r="A226">
        <f t="shared" si="36"/>
        <v>225</v>
      </c>
      <c r="B226">
        <f t="shared" ca="1" si="37"/>
        <v>88</v>
      </c>
      <c r="C226" t="str">
        <f t="shared" ca="1" si="38"/>
        <v>Female</v>
      </c>
      <c r="D226" s="1">
        <f t="shared" ca="1" si="39"/>
        <v>45554</v>
      </c>
      <c r="E226" s="1">
        <f t="shared" ca="1" si="40"/>
        <v>45556</v>
      </c>
      <c r="F226" t="str">
        <f t="shared" ca="1" si="41"/>
        <v>Diabetes</v>
      </c>
      <c r="G226" t="str">
        <f t="shared" ca="1" si="42"/>
        <v>Surgery</v>
      </c>
      <c r="H226">
        <f t="shared" ca="1" si="43"/>
        <v>2</v>
      </c>
      <c r="I226" t="str">
        <f t="shared" ca="1" si="44"/>
        <v>Yes</v>
      </c>
      <c r="J226">
        <f t="shared" ca="1" si="45"/>
        <v>1</v>
      </c>
      <c r="K226" t="str">
        <f t="shared" ca="1" si="46"/>
        <v>Public</v>
      </c>
      <c r="L226" t="str">
        <f t="shared" ca="1" si="47"/>
        <v>Cardiology</v>
      </c>
    </row>
    <row r="227" spans="1:12" x14ac:dyDescent="0.25">
      <c r="A227">
        <f t="shared" si="36"/>
        <v>226</v>
      </c>
      <c r="B227">
        <f t="shared" ca="1" si="37"/>
        <v>49</v>
      </c>
      <c r="C227" t="str">
        <f t="shared" ca="1" si="38"/>
        <v>Female</v>
      </c>
      <c r="D227" s="1">
        <f t="shared" ca="1" si="39"/>
        <v>45574</v>
      </c>
      <c r="E227" s="1">
        <f t="shared" ca="1" si="40"/>
        <v>45589</v>
      </c>
      <c r="F227" t="str">
        <f t="shared" ca="1" si="41"/>
        <v>Diabetes</v>
      </c>
      <c r="G227" t="str">
        <f t="shared" ca="1" si="42"/>
        <v>Surgery</v>
      </c>
      <c r="H227">
        <f t="shared" ca="1" si="43"/>
        <v>15</v>
      </c>
      <c r="I227" t="str">
        <f t="shared" ca="1" si="44"/>
        <v>No</v>
      </c>
      <c r="J227">
        <f t="shared" ca="1" si="45"/>
        <v>0</v>
      </c>
      <c r="K227" t="str">
        <f t="shared" ca="1" si="46"/>
        <v>Public</v>
      </c>
      <c r="L227" t="str">
        <f t="shared" ca="1" si="47"/>
        <v>ER</v>
      </c>
    </row>
    <row r="228" spans="1:12" x14ac:dyDescent="0.25">
      <c r="A228">
        <f t="shared" si="36"/>
        <v>227</v>
      </c>
      <c r="B228">
        <f t="shared" ca="1" si="37"/>
        <v>84</v>
      </c>
      <c r="C228" t="str">
        <f t="shared" ca="1" si="38"/>
        <v>Female</v>
      </c>
      <c r="D228" s="1">
        <f t="shared" ca="1" si="39"/>
        <v>45391</v>
      </c>
      <c r="E228" s="1">
        <f t="shared" ca="1" si="40"/>
        <v>45392</v>
      </c>
      <c r="F228" t="str">
        <f t="shared" ca="1" si="41"/>
        <v>Stroke</v>
      </c>
      <c r="G228" t="str">
        <f t="shared" ca="1" si="42"/>
        <v>Therapy</v>
      </c>
      <c r="H228">
        <f t="shared" ca="1" si="43"/>
        <v>1</v>
      </c>
      <c r="I228" t="str">
        <f t="shared" ca="1" si="44"/>
        <v>No</v>
      </c>
      <c r="J228">
        <f t="shared" ca="1" si="45"/>
        <v>0</v>
      </c>
      <c r="K228" t="str">
        <f t="shared" ca="1" si="46"/>
        <v>Public</v>
      </c>
      <c r="L228" t="str">
        <f t="shared" ca="1" si="47"/>
        <v>ER</v>
      </c>
    </row>
    <row r="229" spans="1:12" x14ac:dyDescent="0.25">
      <c r="A229">
        <f t="shared" si="36"/>
        <v>228</v>
      </c>
      <c r="B229">
        <f t="shared" ca="1" si="37"/>
        <v>38</v>
      </c>
      <c r="C229" t="str">
        <f t="shared" ca="1" si="38"/>
        <v>Female</v>
      </c>
      <c r="D229" s="1">
        <f t="shared" ca="1" si="39"/>
        <v>45503</v>
      </c>
      <c r="E229" s="1">
        <f t="shared" ca="1" si="40"/>
        <v>45506</v>
      </c>
      <c r="F229" t="str">
        <f t="shared" ca="1" si="41"/>
        <v>Stroke</v>
      </c>
      <c r="G229" t="str">
        <f t="shared" ca="1" si="42"/>
        <v>Surgery</v>
      </c>
      <c r="H229">
        <f t="shared" ca="1" si="43"/>
        <v>3</v>
      </c>
      <c r="I229" t="str">
        <f t="shared" ca="1" si="44"/>
        <v>No</v>
      </c>
      <c r="J229">
        <f t="shared" ca="1" si="45"/>
        <v>0</v>
      </c>
      <c r="K229" t="str">
        <f t="shared" ca="1" si="46"/>
        <v>Public</v>
      </c>
      <c r="L229" t="str">
        <f t="shared" ca="1" si="47"/>
        <v>Cardiology</v>
      </c>
    </row>
    <row r="230" spans="1:12" x14ac:dyDescent="0.25">
      <c r="A230">
        <f t="shared" si="36"/>
        <v>229</v>
      </c>
      <c r="B230">
        <f t="shared" ca="1" si="37"/>
        <v>42</v>
      </c>
      <c r="C230" t="str">
        <f t="shared" ca="1" si="38"/>
        <v>Female</v>
      </c>
      <c r="D230" s="1">
        <f t="shared" ca="1" si="39"/>
        <v>45521</v>
      </c>
      <c r="E230" s="1">
        <f t="shared" ca="1" si="40"/>
        <v>45522</v>
      </c>
      <c r="F230" t="str">
        <f t="shared" ca="1" si="41"/>
        <v>Hypertension</v>
      </c>
      <c r="G230" t="str">
        <f t="shared" ca="1" si="42"/>
        <v>Therapy</v>
      </c>
      <c r="H230">
        <f t="shared" ca="1" si="43"/>
        <v>1</v>
      </c>
      <c r="I230" t="str">
        <f t="shared" ca="1" si="44"/>
        <v>No</v>
      </c>
      <c r="J230">
        <f t="shared" ca="1" si="45"/>
        <v>4</v>
      </c>
      <c r="K230" t="str">
        <f t="shared" ca="1" si="46"/>
        <v>Private</v>
      </c>
      <c r="L230" t="str">
        <f t="shared" ca="1" si="47"/>
        <v>ICU</v>
      </c>
    </row>
    <row r="231" spans="1:12" x14ac:dyDescent="0.25">
      <c r="A231">
        <f t="shared" si="36"/>
        <v>230</v>
      </c>
      <c r="B231">
        <f t="shared" ca="1" si="37"/>
        <v>33</v>
      </c>
      <c r="C231" t="str">
        <f t="shared" ca="1" si="38"/>
        <v>Male</v>
      </c>
      <c r="D231" s="1">
        <f t="shared" ca="1" si="39"/>
        <v>45299</v>
      </c>
      <c r="E231" s="1">
        <f t="shared" ca="1" si="40"/>
        <v>45303</v>
      </c>
      <c r="F231" t="str">
        <f t="shared" ca="1" si="41"/>
        <v>Hypertension</v>
      </c>
      <c r="G231" t="str">
        <f t="shared" ca="1" si="42"/>
        <v>Medication</v>
      </c>
      <c r="H231">
        <f t="shared" ca="1" si="43"/>
        <v>4</v>
      </c>
      <c r="I231" t="str">
        <f t="shared" ca="1" si="44"/>
        <v>No</v>
      </c>
      <c r="J231">
        <f t="shared" ca="1" si="45"/>
        <v>0</v>
      </c>
      <c r="K231" t="str">
        <f t="shared" ca="1" si="46"/>
        <v>Public</v>
      </c>
      <c r="L231" t="str">
        <f t="shared" ca="1" si="47"/>
        <v>ICU</v>
      </c>
    </row>
    <row r="232" spans="1:12" x14ac:dyDescent="0.25">
      <c r="A232">
        <f t="shared" si="36"/>
        <v>231</v>
      </c>
      <c r="B232">
        <f t="shared" ca="1" si="37"/>
        <v>70</v>
      </c>
      <c r="C232" t="str">
        <f t="shared" ca="1" si="38"/>
        <v>Female</v>
      </c>
      <c r="D232" s="1">
        <f t="shared" ca="1" si="39"/>
        <v>45434</v>
      </c>
      <c r="E232" s="1">
        <f t="shared" ca="1" si="40"/>
        <v>45436</v>
      </c>
      <c r="F232" t="str">
        <f t="shared" ca="1" si="41"/>
        <v>Heart Failure</v>
      </c>
      <c r="G232" t="str">
        <f t="shared" ca="1" si="42"/>
        <v>Surgery</v>
      </c>
      <c r="H232">
        <f t="shared" ca="1" si="43"/>
        <v>2</v>
      </c>
      <c r="I232" t="str">
        <f t="shared" ca="1" si="44"/>
        <v>No</v>
      </c>
      <c r="J232">
        <f t="shared" ca="1" si="45"/>
        <v>1</v>
      </c>
      <c r="K232" t="str">
        <f t="shared" ca="1" si="46"/>
        <v>Public</v>
      </c>
      <c r="L232" t="str">
        <f t="shared" ca="1" si="47"/>
        <v>Cardiology</v>
      </c>
    </row>
    <row r="233" spans="1:12" x14ac:dyDescent="0.25">
      <c r="A233">
        <f t="shared" si="36"/>
        <v>232</v>
      </c>
      <c r="B233">
        <f t="shared" ca="1" si="37"/>
        <v>60</v>
      </c>
      <c r="C233" t="str">
        <f t="shared" ca="1" si="38"/>
        <v>Male</v>
      </c>
      <c r="D233" s="1">
        <f t="shared" ca="1" si="39"/>
        <v>45554</v>
      </c>
      <c r="E233" s="1">
        <f t="shared" ca="1" si="40"/>
        <v>45566</v>
      </c>
      <c r="F233" t="str">
        <f t="shared" ca="1" si="41"/>
        <v>Diabetes</v>
      </c>
      <c r="G233" t="str">
        <f t="shared" ca="1" si="42"/>
        <v>Surgery</v>
      </c>
      <c r="H233">
        <f t="shared" ca="1" si="43"/>
        <v>12</v>
      </c>
      <c r="I233" t="str">
        <f t="shared" ca="1" si="44"/>
        <v>Yes</v>
      </c>
      <c r="J233">
        <f t="shared" ca="1" si="45"/>
        <v>0</v>
      </c>
      <c r="K233" t="str">
        <f t="shared" ca="1" si="46"/>
        <v>None</v>
      </c>
      <c r="L233" t="str">
        <f t="shared" ca="1" si="47"/>
        <v>Cardiology</v>
      </c>
    </row>
    <row r="234" spans="1:12" x14ac:dyDescent="0.25">
      <c r="A234">
        <f t="shared" si="36"/>
        <v>233</v>
      </c>
      <c r="B234">
        <f t="shared" ca="1" si="37"/>
        <v>78</v>
      </c>
      <c r="C234" t="str">
        <f t="shared" ca="1" si="38"/>
        <v>Female</v>
      </c>
      <c r="D234" s="1">
        <f t="shared" ca="1" si="39"/>
        <v>45298</v>
      </c>
      <c r="E234" s="1">
        <f t="shared" ca="1" si="40"/>
        <v>45302</v>
      </c>
      <c r="F234" t="str">
        <f t="shared" ca="1" si="41"/>
        <v>Heart Failure</v>
      </c>
      <c r="G234" t="str">
        <f t="shared" ca="1" si="42"/>
        <v>Medication</v>
      </c>
      <c r="H234">
        <f t="shared" ca="1" si="43"/>
        <v>4</v>
      </c>
      <c r="I234" t="str">
        <f t="shared" ca="1" si="44"/>
        <v>No</v>
      </c>
      <c r="J234">
        <f t="shared" ca="1" si="45"/>
        <v>1</v>
      </c>
      <c r="K234" t="str">
        <f t="shared" ca="1" si="46"/>
        <v>Public</v>
      </c>
      <c r="L234" t="str">
        <f t="shared" ca="1" si="47"/>
        <v>ICU</v>
      </c>
    </row>
    <row r="235" spans="1:12" x14ac:dyDescent="0.25">
      <c r="A235">
        <f t="shared" si="36"/>
        <v>234</v>
      </c>
      <c r="B235">
        <f t="shared" ca="1" si="37"/>
        <v>63</v>
      </c>
      <c r="C235" t="str">
        <f t="shared" ca="1" si="38"/>
        <v>Female</v>
      </c>
      <c r="D235" s="1">
        <f t="shared" ca="1" si="39"/>
        <v>45566</v>
      </c>
      <c r="E235" s="1">
        <f t="shared" ca="1" si="40"/>
        <v>45568</v>
      </c>
      <c r="F235" t="str">
        <f t="shared" ca="1" si="41"/>
        <v>Heart Failure</v>
      </c>
      <c r="G235" t="str">
        <f t="shared" ca="1" si="42"/>
        <v>Surgery</v>
      </c>
      <c r="H235">
        <f t="shared" ca="1" si="43"/>
        <v>2</v>
      </c>
      <c r="I235" t="str">
        <f t="shared" ca="1" si="44"/>
        <v>No</v>
      </c>
      <c r="J235">
        <f t="shared" ca="1" si="45"/>
        <v>2</v>
      </c>
      <c r="K235" t="str">
        <f t="shared" ca="1" si="46"/>
        <v>Public</v>
      </c>
      <c r="L235" t="str">
        <f t="shared" ca="1" si="47"/>
        <v>ICU</v>
      </c>
    </row>
    <row r="236" spans="1:12" x14ac:dyDescent="0.25">
      <c r="A236">
        <f t="shared" si="36"/>
        <v>235</v>
      </c>
      <c r="B236">
        <f t="shared" ca="1" si="37"/>
        <v>69</v>
      </c>
      <c r="C236" t="str">
        <f t="shared" ca="1" si="38"/>
        <v>Male</v>
      </c>
      <c r="D236" s="1">
        <f t="shared" ca="1" si="39"/>
        <v>45636</v>
      </c>
      <c r="E236" s="1">
        <f t="shared" ca="1" si="40"/>
        <v>45648</v>
      </c>
      <c r="F236" t="str">
        <f t="shared" ca="1" si="41"/>
        <v>Stroke</v>
      </c>
      <c r="G236" t="str">
        <f t="shared" ca="1" si="42"/>
        <v>Medication</v>
      </c>
      <c r="H236">
        <f t="shared" ca="1" si="43"/>
        <v>12</v>
      </c>
      <c r="I236" t="str">
        <f t="shared" ca="1" si="44"/>
        <v>No</v>
      </c>
      <c r="J236">
        <f t="shared" ca="1" si="45"/>
        <v>0</v>
      </c>
      <c r="K236" t="str">
        <f t="shared" ca="1" si="46"/>
        <v>Public</v>
      </c>
      <c r="L236" t="str">
        <f t="shared" ca="1" si="47"/>
        <v>Cardiology</v>
      </c>
    </row>
    <row r="237" spans="1:12" x14ac:dyDescent="0.25">
      <c r="A237">
        <f t="shared" si="36"/>
        <v>236</v>
      </c>
      <c r="B237">
        <f t="shared" ca="1" si="37"/>
        <v>84</v>
      </c>
      <c r="C237" t="str">
        <f t="shared" ca="1" si="38"/>
        <v>Male</v>
      </c>
      <c r="D237" s="1">
        <f t="shared" ca="1" si="39"/>
        <v>45441</v>
      </c>
      <c r="E237" s="1">
        <f t="shared" ca="1" si="40"/>
        <v>45456</v>
      </c>
      <c r="F237" t="str">
        <f t="shared" ca="1" si="41"/>
        <v>Diabetes</v>
      </c>
      <c r="G237" t="str">
        <f t="shared" ca="1" si="42"/>
        <v>Surgery</v>
      </c>
      <c r="H237">
        <f t="shared" ca="1" si="43"/>
        <v>15</v>
      </c>
      <c r="I237" t="str">
        <f t="shared" ca="1" si="44"/>
        <v>No</v>
      </c>
      <c r="J237">
        <f t="shared" ca="1" si="45"/>
        <v>1</v>
      </c>
      <c r="K237" t="str">
        <f t="shared" ca="1" si="46"/>
        <v>None</v>
      </c>
      <c r="L237" t="str">
        <f t="shared" ca="1" si="47"/>
        <v>General</v>
      </c>
    </row>
    <row r="238" spans="1:12" x14ac:dyDescent="0.25">
      <c r="A238">
        <f t="shared" si="36"/>
        <v>237</v>
      </c>
      <c r="B238">
        <f t="shared" ca="1" si="37"/>
        <v>44</v>
      </c>
      <c r="C238" t="str">
        <f t="shared" ca="1" si="38"/>
        <v>Male</v>
      </c>
      <c r="D238" s="1">
        <f t="shared" ca="1" si="39"/>
        <v>45299</v>
      </c>
      <c r="E238" s="1">
        <f t="shared" ca="1" si="40"/>
        <v>45313</v>
      </c>
      <c r="F238" t="str">
        <f t="shared" ca="1" si="41"/>
        <v>Hypertension</v>
      </c>
      <c r="G238" t="str">
        <f t="shared" ca="1" si="42"/>
        <v>Medication</v>
      </c>
      <c r="H238">
        <f t="shared" ca="1" si="43"/>
        <v>14</v>
      </c>
      <c r="I238" t="str">
        <f t="shared" ca="1" si="44"/>
        <v>Yes</v>
      </c>
      <c r="J238">
        <f t="shared" ca="1" si="45"/>
        <v>0</v>
      </c>
      <c r="K238" t="str">
        <f t="shared" ca="1" si="46"/>
        <v>Public</v>
      </c>
      <c r="L238" t="str">
        <f t="shared" ca="1" si="47"/>
        <v>ICU</v>
      </c>
    </row>
    <row r="239" spans="1:12" x14ac:dyDescent="0.25">
      <c r="A239">
        <f t="shared" si="36"/>
        <v>238</v>
      </c>
      <c r="B239">
        <f t="shared" ca="1" si="37"/>
        <v>90</v>
      </c>
      <c r="C239" t="str">
        <f t="shared" ca="1" si="38"/>
        <v>Female</v>
      </c>
      <c r="D239" s="1">
        <f t="shared" ca="1" si="39"/>
        <v>45446</v>
      </c>
      <c r="E239" s="1">
        <f t="shared" ca="1" si="40"/>
        <v>45459</v>
      </c>
      <c r="F239" t="str">
        <f t="shared" ca="1" si="41"/>
        <v>Pneumonia</v>
      </c>
      <c r="G239" t="str">
        <f t="shared" ca="1" si="42"/>
        <v>Medication</v>
      </c>
      <c r="H239">
        <f t="shared" ca="1" si="43"/>
        <v>13</v>
      </c>
      <c r="I239" t="str">
        <f t="shared" ca="1" si="44"/>
        <v>No</v>
      </c>
      <c r="J239">
        <f t="shared" ca="1" si="45"/>
        <v>4</v>
      </c>
      <c r="K239" t="str">
        <f t="shared" ca="1" si="46"/>
        <v>Private</v>
      </c>
      <c r="L239" t="str">
        <f t="shared" ca="1" si="47"/>
        <v>ICU</v>
      </c>
    </row>
    <row r="240" spans="1:12" x14ac:dyDescent="0.25">
      <c r="A240">
        <f t="shared" si="36"/>
        <v>239</v>
      </c>
      <c r="B240">
        <f t="shared" ca="1" si="37"/>
        <v>57</v>
      </c>
      <c r="C240" t="str">
        <f t="shared" ca="1" si="38"/>
        <v>Female</v>
      </c>
      <c r="D240" s="1">
        <f t="shared" ca="1" si="39"/>
        <v>45500</v>
      </c>
      <c r="E240" s="1">
        <f t="shared" ca="1" si="40"/>
        <v>45515</v>
      </c>
      <c r="F240" t="str">
        <f t="shared" ca="1" si="41"/>
        <v>Heart Failure</v>
      </c>
      <c r="G240" t="str">
        <f t="shared" ca="1" si="42"/>
        <v>Therapy</v>
      </c>
      <c r="H240">
        <f t="shared" ca="1" si="43"/>
        <v>15</v>
      </c>
      <c r="I240" t="str">
        <f t="shared" ca="1" si="44"/>
        <v>No</v>
      </c>
      <c r="J240">
        <f t="shared" ca="1" si="45"/>
        <v>3</v>
      </c>
      <c r="K240" t="str">
        <f t="shared" ca="1" si="46"/>
        <v>Private</v>
      </c>
      <c r="L240" t="str">
        <f t="shared" ca="1" si="47"/>
        <v>Neurology</v>
      </c>
    </row>
    <row r="241" spans="1:12" x14ac:dyDescent="0.25">
      <c r="A241">
        <f t="shared" si="36"/>
        <v>240</v>
      </c>
      <c r="B241">
        <f t="shared" ca="1" si="37"/>
        <v>66</v>
      </c>
      <c r="C241" t="str">
        <f t="shared" ca="1" si="38"/>
        <v>Male</v>
      </c>
      <c r="D241" s="1">
        <f t="shared" ca="1" si="39"/>
        <v>45413</v>
      </c>
      <c r="E241" s="1">
        <f t="shared" ca="1" si="40"/>
        <v>45423</v>
      </c>
      <c r="F241" t="str">
        <f t="shared" ca="1" si="41"/>
        <v>Stroke</v>
      </c>
      <c r="G241" t="str">
        <f t="shared" ca="1" si="42"/>
        <v>Medication</v>
      </c>
      <c r="H241">
        <f t="shared" ca="1" si="43"/>
        <v>10</v>
      </c>
      <c r="I241" t="str">
        <f t="shared" ca="1" si="44"/>
        <v>No</v>
      </c>
      <c r="J241">
        <f t="shared" ca="1" si="45"/>
        <v>0</v>
      </c>
      <c r="K241" t="str">
        <f t="shared" ca="1" si="46"/>
        <v>Public</v>
      </c>
      <c r="L241" t="str">
        <f t="shared" ca="1" si="47"/>
        <v>Neurology</v>
      </c>
    </row>
    <row r="242" spans="1:12" x14ac:dyDescent="0.25">
      <c r="A242">
        <f t="shared" si="36"/>
        <v>241</v>
      </c>
      <c r="B242">
        <f t="shared" ca="1" si="37"/>
        <v>30</v>
      </c>
      <c r="C242" t="str">
        <f t="shared" ca="1" si="38"/>
        <v>Male</v>
      </c>
      <c r="D242" s="1">
        <f t="shared" ca="1" si="39"/>
        <v>45397</v>
      </c>
      <c r="E242" s="1">
        <f t="shared" ca="1" si="40"/>
        <v>45405</v>
      </c>
      <c r="F242" t="str">
        <f t="shared" ca="1" si="41"/>
        <v>Heart Failure</v>
      </c>
      <c r="G242" t="str">
        <f t="shared" ca="1" si="42"/>
        <v>Medication</v>
      </c>
      <c r="H242">
        <f t="shared" ca="1" si="43"/>
        <v>8</v>
      </c>
      <c r="I242" t="str">
        <f t="shared" ca="1" si="44"/>
        <v>No</v>
      </c>
      <c r="J242">
        <f t="shared" ca="1" si="45"/>
        <v>0</v>
      </c>
      <c r="K242" t="str">
        <f t="shared" ca="1" si="46"/>
        <v>None</v>
      </c>
      <c r="L242" t="str">
        <f t="shared" ca="1" si="47"/>
        <v>Cardiology</v>
      </c>
    </row>
    <row r="243" spans="1:12" x14ac:dyDescent="0.25">
      <c r="A243">
        <f t="shared" si="36"/>
        <v>242</v>
      </c>
      <c r="B243">
        <f t="shared" ca="1" si="37"/>
        <v>62</v>
      </c>
      <c r="C243" t="str">
        <f t="shared" ca="1" si="38"/>
        <v>Female</v>
      </c>
      <c r="D243" s="1">
        <f t="shared" ca="1" si="39"/>
        <v>45549</v>
      </c>
      <c r="E243" s="1">
        <f t="shared" ca="1" si="40"/>
        <v>45552</v>
      </c>
      <c r="F243" t="str">
        <f t="shared" ca="1" si="41"/>
        <v>Hypertension</v>
      </c>
      <c r="G243" t="str">
        <f t="shared" ca="1" si="42"/>
        <v>Therapy</v>
      </c>
      <c r="H243">
        <f t="shared" ca="1" si="43"/>
        <v>3</v>
      </c>
      <c r="I243" t="str">
        <f t="shared" ca="1" si="44"/>
        <v>Yes</v>
      </c>
      <c r="J243">
        <f t="shared" ca="1" si="45"/>
        <v>3</v>
      </c>
      <c r="K243" t="str">
        <f t="shared" ca="1" si="46"/>
        <v>None</v>
      </c>
      <c r="L243" t="str">
        <f t="shared" ca="1" si="47"/>
        <v>ER</v>
      </c>
    </row>
    <row r="244" spans="1:12" x14ac:dyDescent="0.25">
      <c r="A244">
        <f t="shared" si="36"/>
        <v>243</v>
      </c>
      <c r="B244">
        <f t="shared" ca="1" si="37"/>
        <v>69</v>
      </c>
      <c r="C244" t="str">
        <f t="shared" ca="1" si="38"/>
        <v>Female</v>
      </c>
      <c r="D244" s="1">
        <f t="shared" ca="1" si="39"/>
        <v>45652</v>
      </c>
      <c r="E244" s="1">
        <f t="shared" ca="1" si="40"/>
        <v>45655</v>
      </c>
      <c r="F244" t="str">
        <f t="shared" ca="1" si="41"/>
        <v>Heart Failure</v>
      </c>
      <c r="G244" t="str">
        <f t="shared" ca="1" si="42"/>
        <v>Therapy</v>
      </c>
      <c r="H244">
        <f t="shared" ca="1" si="43"/>
        <v>3</v>
      </c>
      <c r="I244" t="str">
        <f t="shared" ca="1" si="44"/>
        <v>No</v>
      </c>
      <c r="J244">
        <f t="shared" ca="1" si="45"/>
        <v>4</v>
      </c>
      <c r="K244" t="str">
        <f t="shared" ca="1" si="46"/>
        <v>Private</v>
      </c>
      <c r="L244" t="str">
        <f t="shared" ca="1" si="47"/>
        <v>General</v>
      </c>
    </row>
    <row r="245" spans="1:12" x14ac:dyDescent="0.25">
      <c r="A245">
        <f t="shared" si="36"/>
        <v>244</v>
      </c>
      <c r="B245">
        <f t="shared" ca="1" si="37"/>
        <v>28</v>
      </c>
      <c r="C245" t="str">
        <f t="shared" ca="1" si="38"/>
        <v>Male</v>
      </c>
      <c r="D245" s="1">
        <f t="shared" ca="1" si="39"/>
        <v>45495</v>
      </c>
      <c r="E245" s="1">
        <f t="shared" ca="1" si="40"/>
        <v>45501</v>
      </c>
      <c r="F245" t="str">
        <f t="shared" ca="1" si="41"/>
        <v>Heart Failure</v>
      </c>
      <c r="G245" t="str">
        <f t="shared" ca="1" si="42"/>
        <v>Surgery</v>
      </c>
      <c r="H245">
        <f t="shared" ca="1" si="43"/>
        <v>6</v>
      </c>
      <c r="I245" t="str">
        <f t="shared" ca="1" si="44"/>
        <v>Yes</v>
      </c>
      <c r="J245">
        <f t="shared" ca="1" si="45"/>
        <v>0</v>
      </c>
      <c r="K245" t="str">
        <f t="shared" ca="1" si="46"/>
        <v>Private</v>
      </c>
      <c r="L245" t="str">
        <f t="shared" ca="1" si="47"/>
        <v>General</v>
      </c>
    </row>
    <row r="246" spans="1:12" x14ac:dyDescent="0.25">
      <c r="A246">
        <f t="shared" si="36"/>
        <v>245</v>
      </c>
      <c r="B246">
        <f t="shared" ca="1" si="37"/>
        <v>28</v>
      </c>
      <c r="C246" t="str">
        <f t="shared" ca="1" si="38"/>
        <v>Female</v>
      </c>
      <c r="D246" s="1">
        <f t="shared" ca="1" si="39"/>
        <v>45359</v>
      </c>
      <c r="E246" s="1">
        <f t="shared" ca="1" si="40"/>
        <v>45372</v>
      </c>
      <c r="F246" t="str">
        <f t="shared" ca="1" si="41"/>
        <v>Diabetes</v>
      </c>
      <c r="G246" t="str">
        <f t="shared" ca="1" si="42"/>
        <v>Medication</v>
      </c>
      <c r="H246">
        <f t="shared" ca="1" si="43"/>
        <v>13</v>
      </c>
      <c r="I246" t="str">
        <f t="shared" ca="1" si="44"/>
        <v>Yes</v>
      </c>
      <c r="J246">
        <f t="shared" ca="1" si="45"/>
        <v>1</v>
      </c>
      <c r="K246" t="str">
        <f t="shared" ca="1" si="46"/>
        <v>Public</v>
      </c>
      <c r="L246" t="str">
        <f t="shared" ca="1" si="47"/>
        <v>Neurology</v>
      </c>
    </row>
    <row r="247" spans="1:12" x14ac:dyDescent="0.25">
      <c r="A247">
        <f t="shared" si="36"/>
        <v>246</v>
      </c>
      <c r="B247">
        <f t="shared" ca="1" si="37"/>
        <v>77</v>
      </c>
      <c r="C247" t="str">
        <f t="shared" ca="1" si="38"/>
        <v>Female</v>
      </c>
      <c r="D247" s="1">
        <f t="shared" ca="1" si="39"/>
        <v>45620</v>
      </c>
      <c r="E247" s="1">
        <f t="shared" ca="1" si="40"/>
        <v>45623</v>
      </c>
      <c r="F247" t="str">
        <f t="shared" ca="1" si="41"/>
        <v>Stroke</v>
      </c>
      <c r="G247" t="str">
        <f t="shared" ca="1" si="42"/>
        <v>Medication</v>
      </c>
      <c r="H247">
        <f t="shared" ca="1" si="43"/>
        <v>3</v>
      </c>
      <c r="I247" t="str">
        <f t="shared" ca="1" si="44"/>
        <v>No</v>
      </c>
      <c r="J247">
        <f t="shared" ca="1" si="45"/>
        <v>4</v>
      </c>
      <c r="K247" t="str">
        <f t="shared" ca="1" si="46"/>
        <v>Public</v>
      </c>
      <c r="L247" t="str">
        <f t="shared" ca="1" si="47"/>
        <v>Cardiology</v>
      </c>
    </row>
    <row r="248" spans="1:12" x14ac:dyDescent="0.25">
      <c r="A248">
        <f t="shared" si="36"/>
        <v>247</v>
      </c>
      <c r="B248">
        <f t="shared" ca="1" si="37"/>
        <v>50</v>
      </c>
      <c r="C248" t="str">
        <f t="shared" ca="1" si="38"/>
        <v>Female</v>
      </c>
      <c r="D248" s="1">
        <f t="shared" ca="1" si="39"/>
        <v>45402</v>
      </c>
      <c r="E248" s="1">
        <f t="shared" ca="1" si="40"/>
        <v>45411</v>
      </c>
      <c r="F248" t="str">
        <f t="shared" ca="1" si="41"/>
        <v>Stroke</v>
      </c>
      <c r="G248" t="str">
        <f t="shared" ca="1" si="42"/>
        <v>Medication</v>
      </c>
      <c r="H248">
        <f t="shared" ca="1" si="43"/>
        <v>9</v>
      </c>
      <c r="I248" t="str">
        <f t="shared" ca="1" si="44"/>
        <v>No</v>
      </c>
      <c r="J248">
        <f t="shared" ca="1" si="45"/>
        <v>3</v>
      </c>
      <c r="K248" t="str">
        <f t="shared" ca="1" si="46"/>
        <v>Private</v>
      </c>
      <c r="L248" t="str">
        <f t="shared" ca="1" si="47"/>
        <v>ICU</v>
      </c>
    </row>
    <row r="249" spans="1:12" x14ac:dyDescent="0.25">
      <c r="A249">
        <f t="shared" si="36"/>
        <v>248</v>
      </c>
      <c r="B249">
        <f t="shared" ca="1" si="37"/>
        <v>57</v>
      </c>
      <c r="C249" t="str">
        <f t="shared" ca="1" si="38"/>
        <v>Male</v>
      </c>
      <c r="D249" s="1">
        <f t="shared" ca="1" si="39"/>
        <v>45461</v>
      </c>
      <c r="E249" s="1">
        <f t="shared" ca="1" si="40"/>
        <v>45467</v>
      </c>
      <c r="F249" t="str">
        <f t="shared" ca="1" si="41"/>
        <v>Stroke</v>
      </c>
      <c r="G249" t="str">
        <f t="shared" ca="1" si="42"/>
        <v>Medication</v>
      </c>
      <c r="H249">
        <f t="shared" ca="1" si="43"/>
        <v>6</v>
      </c>
      <c r="I249" t="str">
        <f t="shared" ca="1" si="44"/>
        <v>Yes</v>
      </c>
      <c r="J249">
        <f t="shared" ca="1" si="45"/>
        <v>3</v>
      </c>
      <c r="K249" t="str">
        <f t="shared" ca="1" si="46"/>
        <v>Private</v>
      </c>
      <c r="L249" t="str">
        <f t="shared" ca="1" si="47"/>
        <v>General</v>
      </c>
    </row>
    <row r="250" spans="1:12" x14ac:dyDescent="0.25">
      <c r="A250">
        <f t="shared" si="36"/>
        <v>249</v>
      </c>
      <c r="B250">
        <f t="shared" ca="1" si="37"/>
        <v>77</v>
      </c>
      <c r="C250" t="str">
        <f t="shared" ca="1" si="38"/>
        <v>Male</v>
      </c>
      <c r="D250" s="1">
        <f t="shared" ca="1" si="39"/>
        <v>45650</v>
      </c>
      <c r="E250" s="1">
        <f t="shared" ca="1" si="40"/>
        <v>45662</v>
      </c>
      <c r="F250" t="str">
        <f t="shared" ca="1" si="41"/>
        <v>Hypertension</v>
      </c>
      <c r="G250" t="str">
        <f t="shared" ca="1" si="42"/>
        <v>Surgery</v>
      </c>
      <c r="H250">
        <f t="shared" ca="1" si="43"/>
        <v>12</v>
      </c>
      <c r="I250" t="str">
        <f t="shared" ca="1" si="44"/>
        <v>No</v>
      </c>
      <c r="J250">
        <f t="shared" ca="1" si="45"/>
        <v>1</v>
      </c>
      <c r="K250" t="str">
        <f t="shared" ca="1" si="46"/>
        <v>None</v>
      </c>
      <c r="L250" t="str">
        <f t="shared" ca="1" si="47"/>
        <v>ER</v>
      </c>
    </row>
    <row r="251" spans="1:12" x14ac:dyDescent="0.25">
      <c r="A251">
        <f t="shared" si="36"/>
        <v>250</v>
      </c>
      <c r="B251">
        <f t="shared" ca="1" si="37"/>
        <v>49</v>
      </c>
      <c r="C251" t="str">
        <f t="shared" ca="1" si="38"/>
        <v>Female</v>
      </c>
      <c r="D251" s="1">
        <f t="shared" ca="1" si="39"/>
        <v>45656</v>
      </c>
      <c r="E251" s="1">
        <f t="shared" ca="1" si="40"/>
        <v>45659</v>
      </c>
      <c r="F251" t="str">
        <f t="shared" ca="1" si="41"/>
        <v>Pneumonia</v>
      </c>
      <c r="G251" t="str">
        <f t="shared" ca="1" si="42"/>
        <v>Medication</v>
      </c>
      <c r="H251">
        <f t="shared" ca="1" si="43"/>
        <v>3</v>
      </c>
      <c r="I251" t="str">
        <f t="shared" ca="1" si="44"/>
        <v>No</v>
      </c>
      <c r="J251">
        <f t="shared" ca="1" si="45"/>
        <v>3</v>
      </c>
      <c r="K251" t="str">
        <f t="shared" ca="1" si="46"/>
        <v>Private</v>
      </c>
      <c r="L251" t="str">
        <f t="shared" ca="1" si="47"/>
        <v>General</v>
      </c>
    </row>
    <row r="252" spans="1:12" x14ac:dyDescent="0.25">
      <c r="A252">
        <f t="shared" si="36"/>
        <v>251</v>
      </c>
      <c r="B252">
        <f t="shared" ca="1" si="37"/>
        <v>54</v>
      </c>
      <c r="C252" t="str">
        <f t="shared" ca="1" si="38"/>
        <v>Male</v>
      </c>
      <c r="D252" s="1">
        <f t="shared" ca="1" si="39"/>
        <v>45637</v>
      </c>
      <c r="E252" s="1">
        <f t="shared" ca="1" si="40"/>
        <v>45646</v>
      </c>
      <c r="F252" t="str">
        <f t="shared" ca="1" si="41"/>
        <v>Heart Failure</v>
      </c>
      <c r="G252" t="str">
        <f t="shared" ca="1" si="42"/>
        <v>Therapy</v>
      </c>
      <c r="H252">
        <f t="shared" ca="1" si="43"/>
        <v>9</v>
      </c>
      <c r="I252" t="str">
        <f t="shared" ca="1" si="44"/>
        <v>No</v>
      </c>
      <c r="J252">
        <f t="shared" ca="1" si="45"/>
        <v>1</v>
      </c>
      <c r="K252" t="str">
        <f t="shared" ca="1" si="46"/>
        <v>Public</v>
      </c>
      <c r="L252" t="str">
        <f t="shared" ca="1" si="47"/>
        <v>General</v>
      </c>
    </row>
    <row r="253" spans="1:12" x14ac:dyDescent="0.25">
      <c r="A253">
        <f t="shared" si="36"/>
        <v>252</v>
      </c>
      <c r="B253">
        <f t="shared" ca="1" si="37"/>
        <v>78</v>
      </c>
      <c r="C253" t="str">
        <f t="shared" ca="1" si="38"/>
        <v>Male</v>
      </c>
      <c r="D253" s="1">
        <f t="shared" ca="1" si="39"/>
        <v>45333</v>
      </c>
      <c r="E253" s="1">
        <f t="shared" ca="1" si="40"/>
        <v>45337</v>
      </c>
      <c r="F253" t="str">
        <f t="shared" ca="1" si="41"/>
        <v>Stroke</v>
      </c>
      <c r="G253" t="str">
        <f t="shared" ca="1" si="42"/>
        <v>Therapy</v>
      </c>
      <c r="H253">
        <f t="shared" ca="1" si="43"/>
        <v>4</v>
      </c>
      <c r="I253" t="str">
        <f t="shared" ca="1" si="44"/>
        <v>No</v>
      </c>
      <c r="J253">
        <f t="shared" ca="1" si="45"/>
        <v>2</v>
      </c>
      <c r="K253" t="str">
        <f t="shared" ca="1" si="46"/>
        <v>None</v>
      </c>
      <c r="L253" t="str">
        <f t="shared" ca="1" si="47"/>
        <v>Neurology</v>
      </c>
    </row>
    <row r="254" spans="1:12" x14ac:dyDescent="0.25">
      <c r="A254">
        <f t="shared" si="36"/>
        <v>253</v>
      </c>
      <c r="B254">
        <f t="shared" ca="1" si="37"/>
        <v>69</v>
      </c>
      <c r="C254" t="str">
        <f t="shared" ca="1" si="38"/>
        <v>Male</v>
      </c>
      <c r="D254" s="1">
        <f t="shared" ca="1" si="39"/>
        <v>45618</v>
      </c>
      <c r="E254" s="1">
        <f t="shared" ca="1" si="40"/>
        <v>45632</v>
      </c>
      <c r="F254" t="str">
        <f t="shared" ca="1" si="41"/>
        <v>Stroke</v>
      </c>
      <c r="G254" t="str">
        <f t="shared" ca="1" si="42"/>
        <v>Therapy</v>
      </c>
      <c r="H254">
        <f t="shared" ca="1" si="43"/>
        <v>14</v>
      </c>
      <c r="I254" t="str">
        <f t="shared" ca="1" si="44"/>
        <v>No</v>
      </c>
      <c r="J254">
        <f t="shared" ca="1" si="45"/>
        <v>3</v>
      </c>
      <c r="K254" t="str">
        <f t="shared" ca="1" si="46"/>
        <v>None</v>
      </c>
      <c r="L254" t="str">
        <f t="shared" ca="1" si="47"/>
        <v>Neurology</v>
      </c>
    </row>
    <row r="255" spans="1:12" x14ac:dyDescent="0.25">
      <c r="A255">
        <f t="shared" si="36"/>
        <v>254</v>
      </c>
      <c r="B255">
        <f t="shared" ca="1" si="37"/>
        <v>90</v>
      </c>
      <c r="C255" t="str">
        <f t="shared" ca="1" si="38"/>
        <v>Female</v>
      </c>
      <c r="D255" s="1">
        <f t="shared" ca="1" si="39"/>
        <v>45306</v>
      </c>
      <c r="E255" s="1">
        <f t="shared" ca="1" si="40"/>
        <v>45321</v>
      </c>
      <c r="F255" t="str">
        <f t="shared" ca="1" si="41"/>
        <v>Diabetes</v>
      </c>
      <c r="G255" t="str">
        <f t="shared" ca="1" si="42"/>
        <v>Medication</v>
      </c>
      <c r="H255">
        <f t="shared" ca="1" si="43"/>
        <v>15</v>
      </c>
      <c r="I255" t="str">
        <f t="shared" ca="1" si="44"/>
        <v>No</v>
      </c>
      <c r="J255">
        <f t="shared" ca="1" si="45"/>
        <v>2</v>
      </c>
      <c r="K255" t="str">
        <f t="shared" ca="1" si="46"/>
        <v>None</v>
      </c>
      <c r="L255" t="str">
        <f t="shared" ca="1" si="47"/>
        <v>Neurology</v>
      </c>
    </row>
    <row r="256" spans="1:12" x14ac:dyDescent="0.25">
      <c r="A256">
        <f t="shared" si="36"/>
        <v>255</v>
      </c>
      <c r="B256">
        <f t="shared" ca="1" si="37"/>
        <v>49</v>
      </c>
      <c r="C256" t="str">
        <f t="shared" ca="1" si="38"/>
        <v>Female</v>
      </c>
      <c r="D256" s="1">
        <f t="shared" ca="1" si="39"/>
        <v>45655</v>
      </c>
      <c r="E256" s="1">
        <f t="shared" ca="1" si="40"/>
        <v>45668</v>
      </c>
      <c r="F256" t="str">
        <f t="shared" ca="1" si="41"/>
        <v>Hypertension</v>
      </c>
      <c r="G256" t="str">
        <f t="shared" ca="1" si="42"/>
        <v>Surgery</v>
      </c>
      <c r="H256">
        <f t="shared" ca="1" si="43"/>
        <v>13</v>
      </c>
      <c r="I256" t="str">
        <f t="shared" ca="1" si="44"/>
        <v>Yes</v>
      </c>
      <c r="J256">
        <f t="shared" ca="1" si="45"/>
        <v>1</v>
      </c>
      <c r="K256" t="str">
        <f t="shared" ca="1" si="46"/>
        <v>Private</v>
      </c>
      <c r="L256" t="str">
        <f t="shared" ca="1" si="47"/>
        <v>Cardiology</v>
      </c>
    </row>
    <row r="257" spans="1:12" x14ac:dyDescent="0.25">
      <c r="A257">
        <f t="shared" si="36"/>
        <v>256</v>
      </c>
      <c r="B257">
        <f t="shared" ca="1" si="37"/>
        <v>37</v>
      </c>
      <c r="C257" t="str">
        <f t="shared" ca="1" si="38"/>
        <v>Female</v>
      </c>
      <c r="D257" s="1">
        <f t="shared" ca="1" si="39"/>
        <v>45476</v>
      </c>
      <c r="E257" s="1">
        <f t="shared" ca="1" si="40"/>
        <v>45488</v>
      </c>
      <c r="F257" t="str">
        <f t="shared" ca="1" si="41"/>
        <v>Pneumonia</v>
      </c>
      <c r="G257" t="str">
        <f t="shared" ca="1" si="42"/>
        <v>Medication</v>
      </c>
      <c r="H257">
        <f t="shared" ca="1" si="43"/>
        <v>12</v>
      </c>
      <c r="I257" t="str">
        <f t="shared" ca="1" si="44"/>
        <v>No</v>
      </c>
      <c r="J257">
        <f t="shared" ca="1" si="45"/>
        <v>0</v>
      </c>
      <c r="K257" t="str">
        <f t="shared" ca="1" si="46"/>
        <v>None</v>
      </c>
      <c r="L257" t="str">
        <f t="shared" ca="1" si="47"/>
        <v>Cardiology</v>
      </c>
    </row>
    <row r="258" spans="1:12" x14ac:dyDescent="0.25">
      <c r="A258">
        <f t="shared" si="36"/>
        <v>257</v>
      </c>
      <c r="B258">
        <f t="shared" ca="1" si="37"/>
        <v>23</v>
      </c>
      <c r="C258" t="str">
        <f t="shared" ca="1" si="38"/>
        <v>Female</v>
      </c>
      <c r="D258" s="1">
        <f t="shared" ca="1" si="39"/>
        <v>45385</v>
      </c>
      <c r="E258" s="1">
        <f t="shared" ca="1" si="40"/>
        <v>45390</v>
      </c>
      <c r="F258" t="str">
        <f t="shared" ca="1" si="41"/>
        <v>Hypertension</v>
      </c>
      <c r="G258" t="str">
        <f t="shared" ca="1" si="42"/>
        <v>Medication</v>
      </c>
      <c r="H258">
        <f t="shared" ca="1" si="43"/>
        <v>5</v>
      </c>
      <c r="I258" t="str">
        <f t="shared" ca="1" si="44"/>
        <v>No</v>
      </c>
      <c r="J258">
        <f t="shared" ca="1" si="45"/>
        <v>0</v>
      </c>
      <c r="K258" t="str">
        <f t="shared" ca="1" si="46"/>
        <v>None</v>
      </c>
      <c r="L258" t="str">
        <f t="shared" ca="1" si="47"/>
        <v>ICU</v>
      </c>
    </row>
    <row r="259" spans="1:12" x14ac:dyDescent="0.25">
      <c r="A259">
        <f t="shared" ref="A259:A322" si="48">ROW() -1</f>
        <v>258</v>
      </c>
      <c r="B259">
        <f t="shared" ref="B259:B322" ca="1" si="49">RANDBETWEEN(20,90)</f>
        <v>48</v>
      </c>
      <c r="C259" t="str">
        <f t="shared" ref="C259:C322" ca="1" si="50">IF(RAND()&lt;0.5,"Male","Female")</f>
        <v>Female</v>
      </c>
      <c r="D259" s="1">
        <f t="shared" ref="D259:D322" ca="1" si="51">DATE(2024,1,1)+RANDBETWEEN(0,364)</f>
        <v>45594</v>
      </c>
      <c r="E259" s="1">
        <f t="shared" ref="E259:E322" ca="1" si="52">D259+RANDBETWEEN(1,15)</f>
        <v>45600</v>
      </c>
      <c r="F259" t="str">
        <f t="shared" ref="F259:F322" ca="1" si="53">CHOOSE(RANDBETWEEN(1,5),"Diabetes","Heart Failure","Pneumonia","Stroke","Hypertension")</f>
        <v>Hypertension</v>
      </c>
      <c r="G259" t="str">
        <f t="shared" ref="G259:G322" ca="1" si="54">CHOOSE(RANDBETWEEN(1,3),"Medication","Surgery","Therapy")</f>
        <v>Therapy</v>
      </c>
      <c r="H259">
        <f t="shared" ref="H259:H322" ca="1" si="55">DATEDIF(D259,E259,"D")</f>
        <v>6</v>
      </c>
      <c r="I259" t="str">
        <f t="shared" ref="I259:I322" ca="1" si="56">IF(RAND()&lt;0.3,"Yes","No")</f>
        <v>No</v>
      </c>
      <c r="J259">
        <f t="shared" ref="J259:J322" ca="1" si="57">RANDBETWEEN(0,4)</f>
        <v>2</v>
      </c>
      <c r="K259" t="str">
        <f t="shared" ref="K259:K322" ca="1" si="58">CHOOSE(RANDBETWEEN(1,3),"Private","Public","None")</f>
        <v>None</v>
      </c>
      <c r="L259" t="str">
        <f t="shared" ref="L259:L322" ca="1" si="59">CHOOSE(RANDBETWEEN(1,5),"ER","Cardiology","Neurology","General","ICU")</f>
        <v>ICU</v>
      </c>
    </row>
    <row r="260" spans="1:12" x14ac:dyDescent="0.25">
      <c r="A260">
        <f t="shared" si="48"/>
        <v>259</v>
      </c>
      <c r="B260">
        <f t="shared" ca="1" si="49"/>
        <v>46</v>
      </c>
      <c r="C260" t="str">
        <f t="shared" ca="1" si="50"/>
        <v>Female</v>
      </c>
      <c r="D260" s="1">
        <f t="shared" ca="1" si="51"/>
        <v>45617</v>
      </c>
      <c r="E260" s="1">
        <f t="shared" ca="1" si="52"/>
        <v>45629</v>
      </c>
      <c r="F260" t="str">
        <f t="shared" ca="1" si="53"/>
        <v>Hypertension</v>
      </c>
      <c r="G260" t="str">
        <f t="shared" ca="1" si="54"/>
        <v>Medication</v>
      </c>
      <c r="H260">
        <f t="shared" ca="1" si="55"/>
        <v>12</v>
      </c>
      <c r="I260" t="str">
        <f t="shared" ca="1" si="56"/>
        <v>No</v>
      </c>
      <c r="J260">
        <f t="shared" ca="1" si="57"/>
        <v>3</v>
      </c>
      <c r="K260" t="str">
        <f t="shared" ca="1" si="58"/>
        <v>None</v>
      </c>
      <c r="L260" t="str">
        <f t="shared" ca="1" si="59"/>
        <v>Neurology</v>
      </c>
    </row>
    <row r="261" spans="1:12" x14ac:dyDescent="0.25">
      <c r="A261">
        <f t="shared" si="48"/>
        <v>260</v>
      </c>
      <c r="B261">
        <f t="shared" ca="1" si="49"/>
        <v>55</v>
      </c>
      <c r="C261" t="str">
        <f t="shared" ca="1" si="50"/>
        <v>Male</v>
      </c>
      <c r="D261" s="1">
        <f t="shared" ca="1" si="51"/>
        <v>45600</v>
      </c>
      <c r="E261" s="1">
        <f t="shared" ca="1" si="52"/>
        <v>45604</v>
      </c>
      <c r="F261" t="str">
        <f t="shared" ca="1" si="53"/>
        <v>Diabetes</v>
      </c>
      <c r="G261" t="str">
        <f t="shared" ca="1" si="54"/>
        <v>Surgery</v>
      </c>
      <c r="H261">
        <f t="shared" ca="1" si="55"/>
        <v>4</v>
      </c>
      <c r="I261" t="str">
        <f t="shared" ca="1" si="56"/>
        <v>Yes</v>
      </c>
      <c r="J261">
        <f t="shared" ca="1" si="57"/>
        <v>4</v>
      </c>
      <c r="K261" t="str">
        <f t="shared" ca="1" si="58"/>
        <v>Public</v>
      </c>
      <c r="L261" t="str">
        <f t="shared" ca="1" si="59"/>
        <v>Cardiology</v>
      </c>
    </row>
    <row r="262" spans="1:12" x14ac:dyDescent="0.25">
      <c r="A262">
        <f t="shared" si="48"/>
        <v>261</v>
      </c>
      <c r="B262">
        <f t="shared" ca="1" si="49"/>
        <v>69</v>
      </c>
      <c r="C262" t="str">
        <f t="shared" ca="1" si="50"/>
        <v>Female</v>
      </c>
      <c r="D262" s="1">
        <f t="shared" ca="1" si="51"/>
        <v>45422</v>
      </c>
      <c r="E262" s="1">
        <f t="shared" ca="1" si="52"/>
        <v>45436</v>
      </c>
      <c r="F262" t="str">
        <f t="shared" ca="1" si="53"/>
        <v>Heart Failure</v>
      </c>
      <c r="G262" t="str">
        <f t="shared" ca="1" si="54"/>
        <v>Therapy</v>
      </c>
      <c r="H262">
        <f t="shared" ca="1" si="55"/>
        <v>14</v>
      </c>
      <c r="I262" t="str">
        <f t="shared" ca="1" si="56"/>
        <v>No</v>
      </c>
      <c r="J262">
        <f t="shared" ca="1" si="57"/>
        <v>0</v>
      </c>
      <c r="K262" t="str">
        <f t="shared" ca="1" si="58"/>
        <v>Public</v>
      </c>
      <c r="L262" t="str">
        <f t="shared" ca="1" si="59"/>
        <v>Cardiology</v>
      </c>
    </row>
    <row r="263" spans="1:12" x14ac:dyDescent="0.25">
      <c r="A263">
        <f t="shared" si="48"/>
        <v>262</v>
      </c>
      <c r="B263">
        <f t="shared" ca="1" si="49"/>
        <v>75</v>
      </c>
      <c r="C263" t="str">
        <f t="shared" ca="1" si="50"/>
        <v>Female</v>
      </c>
      <c r="D263" s="1">
        <f t="shared" ca="1" si="51"/>
        <v>45586</v>
      </c>
      <c r="E263" s="1">
        <f t="shared" ca="1" si="52"/>
        <v>45595</v>
      </c>
      <c r="F263" t="str">
        <f t="shared" ca="1" si="53"/>
        <v>Pneumonia</v>
      </c>
      <c r="G263" t="str">
        <f t="shared" ca="1" si="54"/>
        <v>Medication</v>
      </c>
      <c r="H263">
        <f t="shared" ca="1" si="55"/>
        <v>9</v>
      </c>
      <c r="I263" t="str">
        <f t="shared" ca="1" si="56"/>
        <v>Yes</v>
      </c>
      <c r="J263">
        <f t="shared" ca="1" si="57"/>
        <v>3</v>
      </c>
      <c r="K263" t="str">
        <f t="shared" ca="1" si="58"/>
        <v>None</v>
      </c>
      <c r="L263" t="str">
        <f t="shared" ca="1" si="59"/>
        <v>General</v>
      </c>
    </row>
    <row r="264" spans="1:12" x14ac:dyDescent="0.25">
      <c r="A264">
        <f t="shared" si="48"/>
        <v>263</v>
      </c>
      <c r="B264">
        <f t="shared" ca="1" si="49"/>
        <v>57</v>
      </c>
      <c r="C264" t="str">
        <f t="shared" ca="1" si="50"/>
        <v>Female</v>
      </c>
      <c r="D264" s="1">
        <f t="shared" ca="1" si="51"/>
        <v>45651</v>
      </c>
      <c r="E264" s="1">
        <f t="shared" ca="1" si="52"/>
        <v>45652</v>
      </c>
      <c r="F264" t="str">
        <f t="shared" ca="1" si="53"/>
        <v>Hypertension</v>
      </c>
      <c r="G264" t="str">
        <f t="shared" ca="1" si="54"/>
        <v>Medication</v>
      </c>
      <c r="H264">
        <f t="shared" ca="1" si="55"/>
        <v>1</v>
      </c>
      <c r="I264" t="str">
        <f t="shared" ca="1" si="56"/>
        <v>No</v>
      </c>
      <c r="J264">
        <f t="shared" ca="1" si="57"/>
        <v>2</v>
      </c>
      <c r="K264" t="str">
        <f t="shared" ca="1" si="58"/>
        <v>Public</v>
      </c>
      <c r="L264" t="str">
        <f t="shared" ca="1" si="59"/>
        <v>ICU</v>
      </c>
    </row>
    <row r="265" spans="1:12" x14ac:dyDescent="0.25">
      <c r="A265">
        <f t="shared" si="48"/>
        <v>264</v>
      </c>
      <c r="B265">
        <f t="shared" ca="1" si="49"/>
        <v>60</v>
      </c>
      <c r="C265" t="str">
        <f t="shared" ca="1" si="50"/>
        <v>Female</v>
      </c>
      <c r="D265" s="1">
        <f t="shared" ca="1" si="51"/>
        <v>45524</v>
      </c>
      <c r="E265" s="1">
        <f t="shared" ca="1" si="52"/>
        <v>45535</v>
      </c>
      <c r="F265" t="str">
        <f t="shared" ca="1" si="53"/>
        <v>Heart Failure</v>
      </c>
      <c r="G265" t="str">
        <f t="shared" ca="1" si="54"/>
        <v>Surgery</v>
      </c>
      <c r="H265">
        <f t="shared" ca="1" si="55"/>
        <v>11</v>
      </c>
      <c r="I265" t="str">
        <f t="shared" ca="1" si="56"/>
        <v>Yes</v>
      </c>
      <c r="J265">
        <f t="shared" ca="1" si="57"/>
        <v>1</v>
      </c>
      <c r="K265" t="str">
        <f t="shared" ca="1" si="58"/>
        <v>Private</v>
      </c>
      <c r="L265" t="str">
        <f t="shared" ca="1" si="59"/>
        <v>ICU</v>
      </c>
    </row>
    <row r="266" spans="1:12" x14ac:dyDescent="0.25">
      <c r="A266">
        <f t="shared" si="48"/>
        <v>265</v>
      </c>
      <c r="B266">
        <f t="shared" ca="1" si="49"/>
        <v>57</v>
      </c>
      <c r="C266" t="str">
        <f t="shared" ca="1" si="50"/>
        <v>Female</v>
      </c>
      <c r="D266" s="1">
        <f t="shared" ca="1" si="51"/>
        <v>45619</v>
      </c>
      <c r="E266" s="1">
        <f t="shared" ca="1" si="52"/>
        <v>45627</v>
      </c>
      <c r="F266" t="str">
        <f t="shared" ca="1" si="53"/>
        <v>Pneumonia</v>
      </c>
      <c r="G266" t="str">
        <f t="shared" ca="1" si="54"/>
        <v>Medication</v>
      </c>
      <c r="H266">
        <f t="shared" ca="1" si="55"/>
        <v>8</v>
      </c>
      <c r="I266" t="str">
        <f t="shared" ca="1" si="56"/>
        <v>Yes</v>
      </c>
      <c r="J266">
        <f t="shared" ca="1" si="57"/>
        <v>3</v>
      </c>
      <c r="K266" t="str">
        <f t="shared" ca="1" si="58"/>
        <v>Private</v>
      </c>
      <c r="L266" t="str">
        <f t="shared" ca="1" si="59"/>
        <v>ER</v>
      </c>
    </row>
    <row r="267" spans="1:12" x14ac:dyDescent="0.25">
      <c r="A267">
        <f t="shared" si="48"/>
        <v>266</v>
      </c>
      <c r="B267">
        <f t="shared" ca="1" si="49"/>
        <v>79</v>
      </c>
      <c r="C267" t="str">
        <f t="shared" ca="1" si="50"/>
        <v>Female</v>
      </c>
      <c r="D267" s="1">
        <f t="shared" ca="1" si="51"/>
        <v>45496</v>
      </c>
      <c r="E267" s="1">
        <f t="shared" ca="1" si="52"/>
        <v>45511</v>
      </c>
      <c r="F267" t="str">
        <f t="shared" ca="1" si="53"/>
        <v>Heart Failure</v>
      </c>
      <c r="G267" t="str">
        <f t="shared" ca="1" si="54"/>
        <v>Medication</v>
      </c>
      <c r="H267">
        <f t="shared" ca="1" si="55"/>
        <v>15</v>
      </c>
      <c r="I267" t="str">
        <f t="shared" ca="1" si="56"/>
        <v>Yes</v>
      </c>
      <c r="J267">
        <f t="shared" ca="1" si="57"/>
        <v>4</v>
      </c>
      <c r="K267" t="str">
        <f t="shared" ca="1" si="58"/>
        <v>None</v>
      </c>
      <c r="L267" t="str">
        <f t="shared" ca="1" si="59"/>
        <v>General</v>
      </c>
    </row>
    <row r="268" spans="1:12" x14ac:dyDescent="0.25">
      <c r="A268">
        <f t="shared" si="48"/>
        <v>267</v>
      </c>
      <c r="B268">
        <f t="shared" ca="1" si="49"/>
        <v>37</v>
      </c>
      <c r="C268" t="str">
        <f t="shared" ca="1" si="50"/>
        <v>Male</v>
      </c>
      <c r="D268" s="1">
        <f t="shared" ca="1" si="51"/>
        <v>45553</v>
      </c>
      <c r="E268" s="1">
        <f t="shared" ca="1" si="52"/>
        <v>45568</v>
      </c>
      <c r="F268" t="str">
        <f t="shared" ca="1" si="53"/>
        <v>Diabetes</v>
      </c>
      <c r="G268" t="str">
        <f t="shared" ca="1" si="54"/>
        <v>Therapy</v>
      </c>
      <c r="H268">
        <f t="shared" ca="1" si="55"/>
        <v>15</v>
      </c>
      <c r="I268" t="str">
        <f t="shared" ca="1" si="56"/>
        <v>No</v>
      </c>
      <c r="J268">
        <f t="shared" ca="1" si="57"/>
        <v>2</v>
      </c>
      <c r="K268" t="str">
        <f t="shared" ca="1" si="58"/>
        <v>Public</v>
      </c>
      <c r="L268" t="str">
        <f t="shared" ca="1" si="59"/>
        <v>Cardiology</v>
      </c>
    </row>
    <row r="269" spans="1:12" x14ac:dyDescent="0.25">
      <c r="A269">
        <f t="shared" si="48"/>
        <v>268</v>
      </c>
      <c r="B269">
        <f t="shared" ca="1" si="49"/>
        <v>45</v>
      </c>
      <c r="C269" t="str">
        <f t="shared" ca="1" si="50"/>
        <v>Male</v>
      </c>
      <c r="D269" s="1">
        <f t="shared" ca="1" si="51"/>
        <v>45312</v>
      </c>
      <c r="E269" s="1">
        <f t="shared" ca="1" si="52"/>
        <v>45326</v>
      </c>
      <c r="F269" t="str">
        <f t="shared" ca="1" si="53"/>
        <v>Diabetes</v>
      </c>
      <c r="G269" t="str">
        <f t="shared" ca="1" si="54"/>
        <v>Therapy</v>
      </c>
      <c r="H269">
        <f t="shared" ca="1" si="55"/>
        <v>14</v>
      </c>
      <c r="I269" t="str">
        <f t="shared" ca="1" si="56"/>
        <v>No</v>
      </c>
      <c r="J269">
        <f t="shared" ca="1" si="57"/>
        <v>4</v>
      </c>
      <c r="K269" t="str">
        <f t="shared" ca="1" si="58"/>
        <v>None</v>
      </c>
      <c r="L269" t="str">
        <f t="shared" ca="1" si="59"/>
        <v>Cardiology</v>
      </c>
    </row>
    <row r="270" spans="1:12" x14ac:dyDescent="0.25">
      <c r="A270">
        <f t="shared" si="48"/>
        <v>269</v>
      </c>
      <c r="B270">
        <f t="shared" ca="1" si="49"/>
        <v>87</v>
      </c>
      <c r="C270" t="str">
        <f t="shared" ca="1" si="50"/>
        <v>Female</v>
      </c>
      <c r="D270" s="1">
        <f t="shared" ca="1" si="51"/>
        <v>45621</v>
      </c>
      <c r="E270" s="1">
        <f t="shared" ca="1" si="52"/>
        <v>45632</v>
      </c>
      <c r="F270" t="str">
        <f t="shared" ca="1" si="53"/>
        <v>Stroke</v>
      </c>
      <c r="G270" t="str">
        <f t="shared" ca="1" si="54"/>
        <v>Medication</v>
      </c>
      <c r="H270">
        <f t="shared" ca="1" si="55"/>
        <v>11</v>
      </c>
      <c r="I270" t="str">
        <f t="shared" ca="1" si="56"/>
        <v>No</v>
      </c>
      <c r="J270">
        <f t="shared" ca="1" si="57"/>
        <v>1</v>
      </c>
      <c r="K270" t="str">
        <f t="shared" ca="1" si="58"/>
        <v>None</v>
      </c>
      <c r="L270" t="str">
        <f t="shared" ca="1" si="59"/>
        <v>General</v>
      </c>
    </row>
    <row r="271" spans="1:12" x14ac:dyDescent="0.25">
      <c r="A271">
        <f t="shared" si="48"/>
        <v>270</v>
      </c>
      <c r="B271">
        <f t="shared" ca="1" si="49"/>
        <v>78</v>
      </c>
      <c r="C271" t="str">
        <f t="shared" ca="1" si="50"/>
        <v>Female</v>
      </c>
      <c r="D271" s="1">
        <f t="shared" ca="1" si="51"/>
        <v>45441</v>
      </c>
      <c r="E271" s="1">
        <f t="shared" ca="1" si="52"/>
        <v>45455</v>
      </c>
      <c r="F271" t="str">
        <f t="shared" ca="1" si="53"/>
        <v>Hypertension</v>
      </c>
      <c r="G271" t="str">
        <f t="shared" ca="1" si="54"/>
        <v>Surgery</v>
      </c>
      <c r="H271">
        <f t="shared" ca="1" si="55"/>
        <v>14</v>
      </c>
      <c r="I271" t="str">
        <f t="shared" ca="1" si="56"/>
        <v>Yes</v>
      </c>
      <c r="J271">
        <f t="shared" ca="1" si="57"/>
        <v>2</v>
      </c>
      <c r="K271" t="str">
        <f t="shared" ca="1" si="58"/>
        <v>None</v>
      </c>
      <c r="L271" t="str">
        <f t="shared" ca="1" si="59"/>
        <v>Neurology</v>
      </c>
    </row>
    <row r="272" spans="1:12" x14ac:dyDescent="0.25">
      <c r="A272">
        <f t="shared" si="48"/>
        <v>271</v>
      </c>
      <c r="B272">
        <f t="shared" ca="1" si="49"/>
        <v>57</v>
      </c>
      <c r="C272" t="str">
        <f t="shared" ca="1" si="50"/>
        <v>Male</v>
      </c>
      <c r="D272" s="1">
        <f t="shared" ca="1" si="51"/>
        <v>45298</v>
      </c>
      <c r="E272" s="1">
        <f t="shared" ca="1" si="52"/>
        <v>45304</v>
      </c>
      <c r="F272" t="str">
        <f t="shared" ca="1" si="53"/>
        <v>Pneumonia</v>
      </c>
      <c r="G272" t="str">
        <f t="shared" ca="1" si="54"/>
        <v>Medication</v>
      </c>
      <c r="H272">
        <f t="shared" ca="1" si="55"/>
        <v>6</v>
      </c>
      <c r="I272" t="str">
        <f t="shared" ca="1" si="56"/>
        <v>Yes</v>
      </c>
      <c r="J272">
        <f t="shared" ca="1" si="57"/>
        <v>4</v>
      </c>
      <c r="K272" t="str">
        <f t="shared" ca="1" si="58"/>
        <v>None</v>
      </c>
      <c r="L272" t="str">
        <f t="shared" ca="1" si="59"/>
        <v>ICU</v>
      </c>
    </row>
    <row r="273" spans="1:12" x14ac:dyDescent="0.25">
      <c r="A273">
        <f t="shared" si="48"/>
        <v>272</v>
      </c>
      <c r="B273">
        <f t="shared" ca="1" si="49"/>
        <v>76</v>
      </c>
      <c r="C273" t="str">
        <f t="shared" ca="1" si="50"/>
        <v>Female</v>
      </c>
      <c r="D273" s="1">
        <f t="shared" ca="1" si="51"/>
        <v>45460</v>
      </c>
      <c r="E273" s="1">
        <f t="shared" ca="1" si="52"/>
        <v>45472</v>
      </c>
      <c r="F273" t="str">
        <f t="shared" ca="1" si="53"/>
        <v>Hypertension</v>
      </c>
      <c r="G273" t="str">
        <f t="shared" ca="1" si="54"/>
        <v>Medication</v>
      </c>
      <c r="H273">
        <f t="shared" ca="1" si="55"/>
        <v>12</v>
      </c>
      <c r="I273" t="str">
        <f t="shared" ca="1" si="56"/>
        <v>No</v>
      </c>
      <c r="J273">
        <f t="shared" ca="1" si="57"/>
        <v>1</v>
      </c>
      <c r="K273" t="str">
        <f t="shared" ca="1" si="58"/>
        <v>Public</v>
      </c>
      <c r="L273" t="str">
        <f t="shared" ca="1" si="59"/>
        <v>Cardiology</v>
      </c>
    </row>
    <row r="274" spans="1:12" x14ac:dyDescent="0.25">
      <c r="A274">
        <f t="shared" si="48"/>
        <v>273</v>
      </c>
      <c r="B274">
        <f t="shared" ca="1" si="49"/>
        <v>63</v>
      </c>
      <c r="C274" t="str">
        <f t="shared" ca="1" si="50"/>
        <v>Female</v>
      </c>
      <c r="D274" s="1">
        <f t="shared" ca="1" si="51"/>
        <v>45457</v>
      </c>
      <c r="E274" s="1">
        <f t="shared" ca="1" si="52"/>
        <v>45465</v>
      </c>
      <c r="F274" t="str">
        <f t="shared" ca="1" si="53"/>
        <v>Pneumonia</v>
      </c>
      <c r="G274" t="str">
        <f t="shared" ca="1" si="54"/>
        <v>Therapy</v>
      </c>
      <c r="H274">
        <f t="shared" ca="1" si="55"/>
        <v>8</v>
      </c>
      <c r="I274" t="str">
        <f t="shared" ca="1" si="56"/>
        <v>Yes</v>
      </c>
      <c r="J274">
        <f t="shared" ca="1" si="57"/>
        <v>4</v>
      </c>
      <c r="K274" t="str">
        <f t="shared" ca="1" si="58"/>
        <v>Private</v>
      </c>
      <c r="L274" t="str">
        <f t="shared" ca="1" si="59"/>
        <v>General</v>
      </c>
    </row>
    <row r="275" spans="1:12" x14ac:dyDescent="0.25">
      <c r="A275">
        <f t="shared" si="48"/>
        <v>274</v>
      </c>
      <c r="B275">
        <f t="shared" ca="1" si="49"/>
        <v>90</v>
      </c>
      <c r="C275" t="str">
        <f t="shared" ca="1" si="50"/>
        <v>Male</v>
      </c>
      <c r="D275" s="1">
        <f t="shared" ca="1" si="51"/>
        <v>45562</v>
      </c>
      <c r="E275" s="1">
        <f t="shared" ca="1" si="52"/>
        <v>45566</v>
      </c>
      <c r="F275" t="str">
        <f t="shared" ca="1" si="53"/>
        <v>Diabetes</v>
      </c>
      <c r="G275" t="str">
        <f t="shared" ca="1" si="54"/>
        <v>Therapy</v>
      </c>
      <c r="H275">
        <f t="shared" ca="1" si="55"/>
        <v>4</v>
      </c>
      <c r="I275" t="str">
        <f t="shared" ca="1" si="56"/>
        <v>Yes</v>
      </c>
      <c r="J275">
        <f t="shared" ca="1" si="57"/>
        <v>2</v>
      </c>
      <c r="K275" t="str">
        <f t="shared" ca="1" si="58"/>
        <v>Public</v>
      </c>
      <c r="L275" t="str">
        <f t="shared" ca="1" si="59"/>
        <v>Cardiology</v>
      </c>
    </row>
    <row r="276" spans="1:12" x14ac:dyDescent="0.25">
      <c r="A276">
        <f t="shared" si="48"/>
        <v>275</v>
      </c>
      <c r="B276">
        <f t="shared" ca="1" si="49"/>
        <v>24</v>
      </c>
      <c r="C276" t="str">
        <f t="shared" ca="1" si="50"/>
        <v>Female</v>
      </c>
      <c r="D276" s="1">
        <f t="shared" ca="1" si="51"/>
        <v>45315</v>
      </c>
      <c r="E276" s="1">
        <f t="shared" ca="1" si="52"/>
        <v>45324</v>
      </c>
      <c r="F276" t="str">
        <f t="shared" ca="1" si="53"/>
        <v>Heart Failure</v>
      </c>
      <c r="G276" t="str">
        <f t="shared" ca="1" si="54"/>
        <v>Surgery</v>
      </c>
      <c r="H276">
        <f t="shared" ca="1" si="55"/>
        <v>9</v>
      </c>
      <c r="I276" t="str">
        <f t="shared" ca="1" si="56"/>
        <v>No</v>
      </c>
      <c r="J276">
        <f t="shared" ca="1" si="57"/>
        <v>4</v>
      </c>
      <c r="K276" t="str">
        <f t="shared" ca="1" si="58"/>
        <v>Public</v>
      </c>
      <c r="L276" t="str">
        <f t="shared" ca="1" si="59"/>
        <v>Neurology</v>
      </c>
    </row>
    <row r="277" spans="1:12" x14ac:dyDescent="0.25">
      <c r="A277">
        <f t="shared" si="48"/>
        <v>276</v>
      </c>
      <c r="B277">
        <f t="shared" ca="1" si="49"/>
        <v>76</v>
      </c>
      <c r="C277" t="str">
        <f t="shared" ca="1" si="50"/>
        <v>Male</v>
      </c>
      <c r="D277" s="1">
        <f t="shared" ca="1" si="51"/>
        <v>45316</v>
      </c>
      <c r="E277" s="1">
        <f t="shared" ca="1" si="52"/>
        <v>45329</v>
      </c>
      <c r="F277" t="str">
        <f t="shared" ca="1" si="53"/>
        <v>Pneumonia</v>
      </c>
      <c r="G277" t="str">
        <f t="shared" ca="1" si="54"/>
        <v>Therapy</v>
      </c>
      <c r="H277">
        <f t="shared" ca="1" si="55"/>
        <v>13</v>
      </c>
      <c r="I277" t="str">
        <f t="shared" ca="1" si="56"/>
        <v>No</v>
      </c>
      <c r="J277">
        <f t="shared" ca="1" si="57"/>
        <v>3</v>
      </c>
      <c r="K277" t="str">
        <f t="shared" ca="1" si="58"/>
        <v>Public</v>
      </c>
      <c r="L277" t="str">
        <f t="shared" ca="1" si="59"/>
        <v>ER</v>
      </c>
    </row>
    <row r="278" spans="1:12" x14ac:dyDescent="0.25">
      <c r="A278">
        <f t="shared" si="48"/>
        <v>277</v>
      </c>
      <c r="B278">
        <f t="shared" ca="1" si="49"/>
        <v>48</v>
      </c>
      <c r="C278" t="str">
        <f t="shared" ca="1" si="50"/>
        <v>Male</v>
      </c>
      <c r="D278" s="1">
        <f t="shared" ca="1" si="51"/>
        <v>45502</v>
      </c>
      <c r="E278" s="1">
        <f t="shared" ca="1" si="52"/>
        <v>45506</v>
      </c>
      <c r="F278" t="str">
        <f t="shared" ca="1" si="53"/>
        <v>Hypertension</v>
      </c>
      <c r="G278" t="str">
        <f t="shared" ca="1" si="54"/>
        <v>Surgery</v>
      </c>
      <c r="H278">
        <f t="shared" ca="1" si="55"/>
        <v>4</v>
      </c>
      <c r="I278" t="str">
        <f t="shared" ca="1" si="56"/>
        <v>No</v>
      </c>
      <c r="J278">
        <f t="shared" ca="1" si="57"/>
        <v>0</v>
      </c>
      <c r="K278" t="str">
        <f t="shared" ca="1" si="58"/>
        <v>Public</v>
      </c>
      <c r="L278" t="str">
        <f t="shared" ca="1" si="59"/>
        <v>Neurology</v>
      </c>
    </row>
    <row r="279" spans="1:12" x14ac:dyDescent="0.25">
      <c r="A279">
        <f t="shared" si="48"/>
        <v>278</v>
      </c>
      <c r="B279">
        <f t="shared" ca="1" si="49"/>
        <v>54</v>
      </c>
      <c r="C279" t="str">
        <f t="shared" ca="1" si="50"/>
        <v>Male</v>
      </c>
      <c r="D279" s="1">
        <f t="shared" ca="1" si="51"/>
        <v>45566</v>
      </c>
      <c r="E279" s="1">
        <f t="shared" ca="1" si="52"/>
        <v>45569</v>
      </c>
      <c r="F279" t="str">
        <f t="shared" ca="1" si="53"/>
        <v>Hypertension</v>
      </c>
      <c r="G279" t="str">
        <f t="shared" ca="1" si="54"/>
        <v>Therapy</v>
      </c>
      <c r="H279">
        <f t="shared" ca="1" si="55"/>
        <v>3</v>
      </c>
      <c r="I279" t="str">
        <f t="shared" ca="1" si="56"/>
        <v>No</v>
      </c>
      <c r="J279">
        <f t="shared" ca="1" si="57"/>
        <v>1</v>
      </c>
      <c r="K279" t="str">
        <f t="shared" ca="1" si="58"/>
        <v>None</v>
      </c>
      <c r="L279" t="str">
        <f t="shared" ca="1" si="59"/>
        <v>Neurology</v>
      </c>
    </row>
    <row r="280" spans="1:12" x14ac:dyDescent="0.25">
      <c r="A280">
        <f t="shared" si="48"/>
        <v>279</v>
      </c>
      <c r="B280">
        <f t="shared" ca="1" si="49"/>
        <v>20</v>
      </c>
      <c r="C280" t="str">
        <f t="shared" ca="1" si="50"/>
        <v>Male</v>
      </c>
      <c r="D280" s="1">
        <f t="shared" ca="1" si="51"/>
        <v>45399</v>
      </c>
      <c r="E280" s="1">
        <f t="shared" ca="1" si="52"/>
        <v>45414</v>
      </c>
      <c r="F280" t="str">
        <f t="shared" ca="1" si="53"/>
        <v>Hypertension</v>
      </c>
      <c r="G280" t="str">
        <f t="shared" ca="1" si="54"/>
        <v>Surgery</v>
      </c>
      <c r="H280">
        <f t="shared" ca="1" si="55"/>
        <v>15</v>
      </c>
      <c r="I280" t="str">
        <f t="shared" ca="1" si="56"/>
        <v>Yes</v>
      </c>
      <c r="J280">
        <f t="shared" ca="1" si="57"/>
        <v>3</v>
      </c>
      <c r="K280" t="str">
        <f t="shared" ca="1" si="58"/>
        <v>Public</v>
      </c>
      <c r="L280" t="str">
        <f t="shared" ca="1" si="59"/>
        <v>ICU</v>
      </c>
    </row>
    <row r="281" spans="1:12" x14ac:dyDescent="0.25">
      <c r="A281">
        <f t="shared" si="48"/>
        <v>280</v>
      </c>
      <c r="B281">
        <f t="shared" ca="1" si="49"/>
        <v>31</v>
      </c>
      <c r="C281" t="str">
        <f t="shared" ca="1" si="50"/>
        <v>Female</v>
      </c>
      <c r="D281" s="1">
        <f t="shared" ca="1" si="51"/>
        <v>45560</v>
      </c>
      <c r="E281" s="1">
        <f t="shared" ca="1" si="52"/>
        <v>45569</v>
      </c>
      <c r="F281" t="str">
        <f t="shared" ca="1" si="53"/>
        <v>Stroke</v>
      </c>
      <c r="G281" t="str">
        <f t="shared" ca="1" si="54"/>
        <v>Therapy</v>
      </c>
      <c r="H281">
        <f t="shared" ca="1" si="55"/>
        <v>9</v>
      </c>
      <c r="I281" t="str">
        <f t="shared" ca="1" si="56"/>
        <v>Yes</v>
      </c>
      <c r="J281">
        <f t="shared" ca="1" si="57"/>
        <v>3</v>
      </c>
      <c r="K281" t="str">
        <f t="shared" ca="1" si="58"/>
        <v>None</v>
      </c>
      <c r="L281" t="str">
        <f t="shared" ca="1" si="59"/>
        <v>General</v>
      </c>
    </row>
    <row r="282" spans="1:12" x14ac:dyDescent="0.25">
      <c r="A282">
        <f t="shared" si="48"/>
        <v>281</v>
      </c>
      <c r="B282">
        <f t="shared" ca="1" si="49"/>
        <v>64</v>
      </c>
      <c r="C282" t="str">
        <f t="shared" ca="1" si="50"/>
        <v>Male</v>
      </c>
      <c r="D282" s="1">
        <f t="shared" ca="1" si="51"/>
        <v>45455</v>
      </c>
      <c r="E282" s="1">
        <f t="shared" ca="1" si="52"/>
        <v>45458</v>
      </c>
      <c r="F282" t="str">
        <f t="shared" ca="1" si="53"/>
        <v>Hypertension</v>
      </c>
      <c r="G282" t="str">
        <f t="shared" ca="1" si="54"/>
        <v>Medication</v>
      </c>
      <c r="H282">
        <f t="shared" ca="1" si="55"/>
        <v>3</v>
      </c>
      <c r="I282" t="str">
        <f t="shared" ca="1" si="56"/>
        <v>Yes</v>
      </c>
      <c r="J282">
        <f t="shared" ca="1" si="57"/>
        <v>3</v>
      </c>
      <c r="K282" t="str">
        <f t="shared" ca="1" si="58"/>
        <v>Public</v>
      </c>
      <c r="L282" t="str">
        <f t="shared" ca="1" si="59"/>
        <v>ICU</v>
      </c>
    </row>
    <row r="283" spans="1:12" x14ac:dyDescent="0.25">
      <c r="A283">
        <f t="shared" si="48"/>
        <v>282</v>
      </c>
      <c r="B283">
        <f t="shared" ca="1" si="49"/>
        <v>78</v>
      </c>
      <c r="C283" t="str">
        <f t="shared" ca="1" si="50"/>
        <v>Male</v>
      </c>
      <c r="D283" s="1">
        <f t="shared" ca="1" si="51"/>
        <v>45448</v>
      </c>
      <c r="E283" s="1">
        <f t="shared" ca="1" si="52"/>
        <v>45449</v>
      </c>
      <c r="F283" t="str">
        <f t="shared" ca="1" si="53"/>
        <v>Hypertension</v>
      </c>
      <c r="G283" t="str">
        <f t="shared" ca="1" si="54"/>
        <v>Therapy</v>
      </c>
      <c r="H283">
        <f t="shared" ca="1" si="55"/>
        <v>1</v>
      </c>
      <c r="I283" t="str">
        <f t="shared" ca="1" si="56"/>
        <v>No</v>
      </c>
      <c r="J283">
        <f t="shared" ca="1" si="57"/>
        <v>3</v>
      </c>
      <c r="K283" t="str">
        <f t="shared" ca="1" si="58"/>
        <v>Private</v>
      </c>
      <c r="L283" t="str">
        <f t="shared" ca="1" si="59"/>
        <v>ICU</v>
      </c>
    </row>
    <row r="284" spans="1:12" x14ac:dyDescent="0.25">
      <c r="A284">
        <f t="shared" si="48"/>
        <v>283</v>
      </c>
      <c r="B284">
        <f t="shared" ca="1" si="49"/>
        <v>24</v>
      </c>
      <c r="C284" t="str">
        <f t="shared" ca="1" si="50"/>
        <v>Female</v>
      </c>
      <c r="D284" s="1">
        <f t="shared" ca="1" si="51"/>
        <v>45583</v>
      </c>
      <c r="E284" s="1">
        <f t="shared" ca="1" si="52"/>
        <v>45594</v>
      </c>
      <c r="F284" t="str">
        <f t="shared" ca="1" si="53"/>
        <v>Stroke</v>
      </c>
      <c r="G284" t="str">
        <f t="shared" ca="1" si="54"/>
        <v>Surgery</v>
      </c>
      <c r="H284">
        <f t="shared" ca="1" si="55"/>
        <v>11</v>
      </c>
      <c r="I284" t="str">
        <f t="shared" ca="1" si="56"/>
        <v>No</v>
      </c>
      <c r="J284">
        <f t="shared" ca="1" si="57"/>
        <v>4</v>
      </c>
      <c r="K284" t="str">
        <f t="shared" ca="1" si="58"/>
        <v>Private</v>
      </c>
      <c r="L284" t="str">
        <f t="shared" ca="1" si="59"/>
        <v>Neurology</v>
      </c>
    </row>
    <row r="285" spans="1:12" x14ac:dyDescent="0.25">
      <c r="A285">
        <f t="shared" si="48"/>
        <v>284</v>
      </c>
      <c r="B285">
        <f t="shared" ca="1" si="49"/>
        <v>36</v>
      </c>
      <c r="C285" t="str">
        <f t="shared" ca="1" si="50"/>
        <v>Female</v>
      </c>
      <c r="D285" s="1">
        <f t="shared" ca="1" si="51"/>
        <v>45448</v>
      </c>
      <c r="E285" s="1">
        <f t="shared" ca="1" si="52"/>
        <v>45452</v>
      </c>
      <c r="F285" t="str">
        <f t="shared" ca="1" si="53"/>
        <v>Heart Failure</v>
      </c>
      <c r="G285" t="str">
        <f t="shared" ca="1" si="54"/>
        <v>Therapy</v>
      </c>
      <c r="H285">
        <f t="shared" ca="1" si="55"/>
        <v>4</v>
      </c>
      <c r="I285" t="str">
        <f t="shared" ca="1" si="56"/>
        <v>No</v>
      </c>
      <c r="J285">
        <f t="shared" ca="1" si="57"/>
        <v>2</v>
      </c>
      <c r="K285" t="str">
        <f t="shared" ca="1" si="58"/>
        <v>Public</v>
      </c>
      <c r="L285" t="str">
        <f t="shared" ca="1" si="59"/>
        <v>Cardiology</v>
      </c>
    </row>
    <row r="286" spans="1:12" x14ac:dyDescent="0.25">
      <c r="A286">
        <f t="shared" si="48"/>
        <v>285</v>
      </c>
      <c r="B286">
        <f t="shared" ca="1" si="49"/>
        <v>31</v>
      </c>
      <c r="C286" t="str">
        <f t="shared" ca="1" si="50"/>
        <v>Female</v>
      </c>
      <c r="D286" s="1">
        <f t="shared" ca="1" si="51"/>
        <v>45471</v>
      </c>
      <c r="E286" s="1">
        <f t="shared" ca="1" si="52"/>
        <v>45472</v>
      </c>
      <c r="F286" t="str">
        <f t="shared" ca="1" si="53"/>
        <v>Hypertension</v>
      </c>
      <c r="G286" t="str">
        <f t="shared" ca="1" si="54"/>
        <v>Surgery</v>
      </c>
      <c r="H286">
        <f t="shared" ca="1" si="55"/>
        <v>1</v>
      </c>
      <c r="I286" t="str">
        <f t="shared" ca="1" si="56"/>
        <v>No</v>
      </c>
      <c r="J286">
        <f t="shared" ca="1" si="57"/>
        <v>2</v>
      </c>
      <c r="K286" t="str">
        <f t="shared" ca="1" si="58"/>
        <v>Private</v>
      </c>
      <c r="L286" t="str">
        <f t="shared" ca="1" si="59"/>
        <v>Cardiology</v>
      </c>
    </row>
    <row r="287" spans="1:12" x14ac:dyDescent="0.25">
      <c r="A287">
        <f t="shared" si="48"/>
        <v>286</v>
      </c>
      <c r="B287">
        <f t="shared" ca="1" si="49"/>
        <v>73</v>
      </c>
      <c r="C287" t="str">
        <f t="shared" ca="1" si="50"/>
        <v>Female</v>
      </c>
      <c r="D287" s="1">
        <f t="shared" ca="1" si="51"/>
        <v>45368</v>
      </c>
      <c r="E287" s="1">
        <f t="shared" ca="1" si="52"/>
        <v>45378</v>
      </c>
      <c r="F287" t="str">
        <f t="shared" ca="1" si="53"/>
        <v>Pneumonia</v>
      </c>
      <c r="G287" t="str">
        <f t="shared" ca="1" si="54"/>
        <v>Medication</v>
      </c>
      <c r="H287">
        <f t="shared" ca="1" si="55"/>
        <v>10</v>
      </c>
      <c r="I287" t="str">
        <f t="shared" ca="1" si="56"/>
        <v>No</v>
      </c>
      <c r="J287">
        <f t="shared" ca="1" si="57"/>
        <v>4</v>
      </c>
      <c r="K287" t="str">
        <f t="shared" ca="1" si="58"/>
        <v>None</v>
      </c>
      <c r="L287" t="str">
        <f t="shared" ca="1" si="59"/>
        <v>ICU</v>
      </c>
    </row>
    <row r="288" spans="1:12" x14ac:dyDescent="0.25">
      <c r="A288">
        <f t="shared" si="48"/>
        <v>287</v>
      </c>
      <c r="B288">
        <f t="shared" ca="1" si="49"/>
        <v>48</v>
      </c>
      <c r="C288" t="str">
        <f t="shared" ca="1" si="50"/>
        <v>Female</v>
      </c>
      <c r="D288" s="1">
        <f t="shared" ca="1" si="51"/>
        <v>45446</v>
      </c>
      <c r="E288" s="1">
        <f t="shared" ca="1" si="52"/>
        <v>45457</v>
      </c>
      <c r="F288" t="str">
        <f t="shared" ca="1" si="53"/>
        <v>Pneumonia</v>
      </c>
      <c r="G288" t="str">
        <f t="shared" ca="1" si="54"/>
        <v>Therapy</v>
      </c>
      <c r="H288">
        <f t="shared" ca="1" si="55"/>
        <v>11</v>
      </c>
      <c r="I288" t="str">
        <f t="shared" ca="1" si="56"/>
        <v>No</v>
      </c>
      <c r="J288">
        <f t="shared" ca="1" si="57"/>
        <v>3</v>
      </c>
      <c r="K288" t="str">
        <f t="shared" ca="1" si="58"/>
        <v>None</v>
      </c>
      <c r="L288" t="str">
        <f t="shared" ca="1" si="59"/>
        <v>General</v>
      </c>
    </row>
    <row r="289" spans="1:12" x14ac:dyDescent="0.25">
      <c r="A289">
        <f t="shared" si="48"/>
        <v>288</v>
      </c>
      <c r="B289">
        <f t="shared" ca="1" si="49"/>
        <v>26</v>
      </c>
      <c r="C289" t="str">
        <f t="shared" ca="1" si="50"/>
        <v>Male</v>
      </c>
      <c r="D289" s="1">
        <f t="shared" ca="1" si="51"/>
        <v>45379</v>
      </c>
      <c r="E289" s="1">
        <f t="shared" ca="1" si="52"/>
        <v>45380</v>
      </c>
      <c r="F289" t="str">
        <f t="shared" ca="1" si="53"/>
        <v>Pneumonia</v>
      </c>
      <c r="G289" t="str">
        <f t="shared" ca="1" si="54"/>
        <v>Surgery</v>
      </c>
      <c r="H289">
        <f t="shared" ca="1" si="55"/>
        <v>1</v>
      </c>
      <c r="I289" t="str">
        <f t="shared" ca="1" si="56"/>
        <v>No</v>
      </c>
      <c r="J289">
        <f t="shared" ca="1" si="57"/>
        <v>3</v>
      </c>
      <c r="K289" t="str">
        <f t="shared" ca="1" si="58"/>
        <v>Private</v>
      </c>
      <c r="L289" t="str">
        <f t="shared" ca="1" si="59"/>
        <v>ICU</v>
      </c>
    </row>
    <row r="290" spans="1:12" x14ac:dyDescent="0.25">
      <c r="A290">
        <f t="shared" si="48"/>
        <v>289</v>
      </c>
      <c r="B290">
        <f t="shared" ca="1" si="49"/>
        <v>85</v>
      </c>
      <c r="C290" t="str">
        <f t="shared" ca="1" si="50"/>
        <v>Male</v>
      </c>
      <c r="D290" s="1">
        <f t="shared" ca="1" si="51"/>
        <v>45339</v>
      </c>
      <c r="E290" s="1">
        <f t="shared" ca="1" si="52"/>
        <v>45345</v>
      </c>
      <c r="F290" t="str">
        <f t="shared" ca="1" si="53"/>
        <v>Heart Failure</v>
      </c>
      <c r="G290" t="str">
        <f t="shared" ca="1" si="54"/>
        <v>Medication</v>
      </c>
      <c r="H290">
        <f t="shared" ca="1" si="55"/>
        <v>6</v>
      </c>
      <c r="I290" t="str">
        <f t="shared" ca="1" si="56"/>
        <v>No</v>
      </c>
      <c r="J290">
        <f t="shared" ca="1" si="57"/>
        <v>1</v>
      </c>
      <c r="K290" t="str">
        <f t="shared" ca="1" si="58"/>
        <v>None</v>
      </c>
      <c r="L290" t="str">
        <f t="shared" ca="1" si="59"/>
        <v>ICU</v>
      </c>
    </row>
    <row r="291" spans="1:12" x14ac:dyDescent="0.25">
      <c r="A291">
        <f t="shared" si="48"/>
        <v>290</v>
      </c>
      <c r="B291">
        <f t="shared" ca="1" si="49"/>
        <v>89</v>
      </c>
      <c r="C291" t="str">
        <f t="shared" ca="1" si="50"/>
        <v>Male</v>
      </c>
      <c r="D291" s="1">
        <f t="shared" ca="1" si="51"/>
        <v>45602</v>
      </c>
      <c r="E291" s="1">
        <f t="shared" ca="1" si="52"/>
        <v>45605</v>
      </c>
      <c r="F291" t="str">
        <f t="shared" ca="1" si="53"/>
        <v>Pneumonia</v>
      </c>
      <c r="G291" t="str">
        <f t="shared" ca="1" si="54"/>
        <v>Surgery</v>
      </c>
      <c r="H291">
        <f t="shared" ca="1" si="55"/>
        <v>3</v>
      </c>
      <c r="I291" t="str">
        <f t="shared" ca="1" si="56"/>
        <v>No</v>
      </c>
      <c r="J291">
        <f t="shared" ca="1" si="57"/>
        <v>0</v>
      </c>
      <c r="K291" t="str">
        <f t="shared" ca="1" si="58"/>
        <v>None</v>
      </c>
      <c r="L291" t="str">
        <f t="shared" ca="1" si="59"/>
        <v>Neurology</v>
      </c>
    </row>
    <row r="292" spans="1:12" x14ac:dyDescent="0.25">
      <c r="A292">
        <f t="shared" si="48"/>
        <v>291</v>
      </c>
      <c r="B292">
        <f t="shared" ca="1" si="49"/>
        <v>32</v>
      </c>
      <c r="C292" t="str">
        <f t="shared" ca="1" si="50"/>
        <v>Female</v>
      </c>
      <c r="D292" s="1">
        <f t="shared" ca="1" si="51"/>
        <v>45561</v>
      </c>
      <c r="E292" s="1">
        <f t="shared" ca="1" si="52"/>
        <v>45566</v>
      </c>
      <c r="F292" t="str">
        <f t="shared" ca="1" si="53"/>
        <v>Heart Failure</v>
      </c>
      <c r="G292" t="str">
        <f t="shared" ca="1" si="54"/>
        <v>Surgery</v>
      </c>
      <c r="H292">
        <f t="shared" ca="1" si="55"/>
        <v>5</v>
      </c>
      <c r="I292" t="str">
        <f t="shared" ca="1" si="56"/>
        <v>No</v>
      </c>
      <c r="J292">
        <f t="shared" ca="1" si="57"/>
        <v>2</v>
      </c>
      <c r="K292" t="str">
        <f t="shared" ca="1" si="58"/>
        <v>Public</v>
      </c>
      <c r="L292" t="str">
        <f t="shared" ca="1" si="59"/>
        <v>General</v>
      </c>
    </row>
    <row r="293" spans="1:12" x14ac:dyDescent="0.25">
      <c r="A293">
        <f t="shared" si="48"/>
        <v>292</v>
      </c>
      <c r="B293">
        <f t="shared" ca="1" si="49"/>
        <v>28</v>
      </c>
      <c r="C293" t="str">
        <f t="shared" ca="1" si="50"/>
        <v>Female</v>
      </c>
      <c r="D293" s="1">
        <f t="shared" ca="1" si="51"/>
        <v>45559</v>
      </c>
      <c r="E293" s="1">
        <f t="shared" ca="1" si="52"/>
        <v>45560</v>
      </c>
      <c r="F293" t="str">
        <f t="shared" ca="1" si="53"/>
        <v>Hypertension</v>
      </c>
      <c r="G293" t="str">
        <f t="shared" ca="1" si="54"/>
        <v>Therapy</v>
      </c>
      <c r="H293">
        <f t="shared" ca="1" si="55"/>
        <v>1</v>
      </c>
      <c r="I293" t="str">
        <f t="shared" ca="1" si="56"/>
        <v>No</v>
      </c>
      <c r="J293">
        <f t="shared" ca="1" si="57"/>
        <v>0</v>
      </c>
      <c r="K293" t="str">
        <f t="shared" ca="1" si="58"/>
        <v>Public</v>
      </c>
      <c r="L293" t="str">
        <f t="shared" ca="1" si="59"/>
        <v>Cardiology</v>
      </c>
    </row>
    <row r="294" spans="1:12" x14ac:dyDescent="0.25">
      <c r="A294">
        <f t="shared" si="48"/>
        <v>293</v>
      </c>
      <c r="B294">
        <f t="shared" ca="1" si="49"/>
        <v>39</v>
      </c>
      <c r="C294" t="str">
        <f t="shared" ca="1" si="50"/>
        <v>Male</v>
      </c>
      <c r="D294" s="1">
        <f t="shared" ca="1" si="51"/>
        <v>45603</v>
      </c>
      <c r="E294" s="1">
        <f t="shared" ca="1" si="52"/>
        <v>45616</v>
      </c>
      <c r="F294" t="str">
        <f t="shared" ca="1" si="53"/>
        <v>Hypertension</v>
      </c>
      <c r="G294" t="str">
        <f t="shared" ca="1" si="54"/>
        <v>Medication</v>
      </c>
      <c r="H294">
        <f t="shared" ca="1" si="55"/>
        <v>13</v>
      </c>
      <c r="I294" t="str">
        <f t="shared" ca="1" si="56"/>
        <v>Yes</v>
      </c>
      <c r="J294">
        <f t="shared" ca="1" si="57"/>
        <v>2</v>
      </c>
      <c r="K294" t="str">
        <f t="shared" ca="1" si="58"/>
        <v>Public</v>
      </c>
      <c r="L294" t="str">
        <f t="shared" ca="1" si="59"/>
        <v>ICU</v>
      </c>
    </row>
    <row r="295" spans="1:12" x14ac:dyDescent="0.25">
      <c r="A295">
        <f t="shared" si="48"/>
        <v>294</v>
      </c>
      <c r="B295">
        <f t="shared" ca="1" si="49"/>
        <v>83</v>
      </c>
      <c r="C295" t="str">
        <f t="shared" ca="1" si="50"/>
        <v>Male</v>
      </c>
      <c r="D295" s="1">
        <f t="shared" ca="1" si="51"/>
        <v>45539</v>
      </c>
      <c r="E295" s="1">
        <f t="shared" ca="1" si="52"/>
        <v>45546</v>
      </c>
      <c r="F295" t="str">
        <f t="shared" ca="1" si="53"/>
        <v>Stroke</v>
      </c>
      <c r="G295" t="str">
        <f t="shared" ca="1" si="54"/>
        <v>Medication</v>
      </c>
      <c r="H295">
        <f t="shared" ca="1" si="55"/>
        <v>7</v>
      </c>
      <c r="I295" t="str">
        <f t="shared" ca="1" si="56"/>
        <v>No</v>
      </c>
      <c r="J295">
        <f t="shared" ca="1" si="57"/>
        <v>1</v>
      </c>
      <c r="K295" t="str">
        <f t="shared" ca="1" si="58"/>
        <v>Private</v>
      </c>
      <c r="L295" t="str">
        <f t="shared" ca="1" si="59"/>
        <v>Cardiology</v>
      </c>
    </row>
    <row r="296" spans="1:12" x14ac:dyDescent="0.25">
      <c r="A296">
        <f t="shared" si="48"/>
        <v>295</v>
      </c>
      <c r="B296">
        <f t="shared" ca="1" si="49"/>
        <v>24</v>
      </c>
      <c r="C296" t="str">
        <f t="shared" ca="1" si="50"/>
        <v>Female</v>
      </c>
      <c r="D296" s="1">
        <f t="shared" ca="1" si="51"/>
        <v>45335</v>
      </c>
      <c r="E296" s="1">
        <f t="shared" ca="1" si="52"/>
        <v>45349</v>
      </c>
      <c r="F296" t="str">
        <f t="shared" ca="1" si="53"/>
        <v>Diabetes</v>
      </c>
      <c r="G296" t="str">
        <f t="shared" ca="1" si="54"/>
        <v>Medication</v>
      </c>
      <c r="H296">
        <f t="shared" ca="1" si="55"/>
        <v>14</v>
      </c>
      <c r="I296" t="str">
        <f t="shared" ca="1" si="56"/>
        <v>No</v>
      </c>
      <c r="J296">
        <f t="shared" ca="1" si="57"/>
        <v>0</v>
      </c>
      <c r="K296" t="str">
        <f t="shared" ca="1" si="58"/>
        <v>Public</v>
      </c>
      <c r="L296" t="str">
        <f t="shared" ca="1" si="59"/>
        <v>ER</v>
      </c>
    </row>
    <row r="297" spans="1:12" x14ac:dyDescent="0.25">
      <c r="A297">
        <f t="shared" si="48"/>
        <v>296</v>
      </c>
      <c r="B297">
        <f t="shared" ca="1" si="49"/>
        <v>78</v>
      </c>
      <c r="C297" t="str">
        <f t="shared" ca="1" si="50"/>
        <v>Female</v>
      </c>
      <c r="D297" s="1">
        <f t="shared" ca="1" si="51"/>
        <v>45385</v>
      </c>
      <c r="E297" s="1">
        <f t="shared" ca="1" si="52"/>
        <v>45399</v>
      </c>
      <c r="F297" t="str">
        <f t="shared" ca="1" si="53"/>
        <v>Pneumonia</v>
      </c>
      <c r="G297" t="str">
        <f t="shared" ca="1" si="54"/>
        <v>Surgery</v>
      </c>
      <c r="H297">
        <f t="shared" ca="1" si="55"/>
        <v>14</v>
      </c>
      <c r="I297" t="str">
        <f t="shared" ca="1" si="56"/>
        <v>Yes</v>
      </c>
      <c r="J297">
        <f t="shared" ca="1" si="57"/>
        <v>3</v>
      </c>
      <c r="K297" t="str">
        <f t="shared" ca="1" si="58"/>
        <v>None</v>
      </c>
      <c r="L297" t="str">
        <f t="shared" ca="1" si="59"/>
        <v>General</v>
      </c>
    </row>
    <row r="298" spans="1:12" x14ac:dyDescent="0.25">
      <c r="A298">
        <f t="shared" si="48"/>
        <v>297</v>
      </c>
      <c r="B298">
        <f t="shared" ca="1" si="49"/>
        <v>71</v>
      </c>
      <c r="C298" t="str">
        <f t="shared" ca="1" si="50"/>
        <v>Female</v>
      </c>
      <c r="D298" s="1">
        <f t="shared" ca="1" si="51"/>
        <v>45372</v>
      </c>
      <c r="E298" s="1">
        <f t="shared" ca="1" si="52"/>
        <v>45380</v>
      </c>
      <c r="F298" t="str">
        <f t="shared" ca="1" si="53"/>
        <v>Stroke</v>
      </c>
      <c r="G298" t="str">
        <f t="shared" ca="1" si="54"/>
        <v>Surgery</v>
      </c>
      <c r="H298">
        <f t="shared" ca="1" si="55"/>
        <v>8</v>
      </c>
      <c r="I298" t="str">
        <f t="shared" ca="1" si="56"/>
        <v>No</v>
      </c>
      <c r="J298">
        <f t="shared" ca="1" si="57"/>
        <v>1</v>
      </c>
      <c r="K298" t="str">
        <f t="shared" ca="1" si="58"/>
        <v>None</v>
      </c>
      <c r="L298" t="str">
        <f t="shared" ca="1" si="59"/>
        <v>ICU</v>
      </c>
    </row>
    <row r="299" spans="1:12" x14ac:dyDescent="0.25">
      <c r="A299">
        <f t="shared" si="48"/>
        <v>298</v>
      </c>
      <c r="B299">
        <f t="shared" ca="1" si="49"/>
        <v>34</v>
      </c>
      <c r="C299" t="str">
        <f t="shared" ca="1" si="50"/>
        <v>Male</v>
      </c>
      <c r="D299" s="1">
        <f t="shared" ca="1" si="51"/>
        <v>45338</v>
      </c>
      <c r="E299" s="1">
        <f t="shared" ca="1" si="52"/>
        <v>45351</v>
      </c>
      <c r="F299" t="str">
        <f t="shared" ca="1" si="53"/>
        <v>Pneumonia</v>
      </c>
      <c r="G299" t="str">
        <f t="shared" ca="1" si="54"/>
        <v>Therapy</v>
      </c>
      <c r="H299">
        <f t="shared" ca="1" si="55"/>
        <v>13</v>
      </c>
      <c r="I299" t="str">
        <f t="shared" ca="1" si="56"/>
        <v>No</v>
      </c>
      <c r="J299">
        <f t="shared" ca="1" si="57"/>
        <v>2</v>
      </c>
      <c r="K299" t="str">
        <f t="shared" ca="1" si="58"/>
        <v>Public</v>
      </c>
      <c r="L299" t="str">
        <f t="shared" ca="1" si="59"/>
        <v>ICU</v>
      </c>
    </row>
    <row r="300" spans="1:12" x14ac:dyDescent="0.25">
      <c r="A300">
        <f t="shared" si="48"/>
        <v>299</v>
      </c>
      <c r="B300">
        <f t="shared" ca="1" si="49"/>
        <v>79</v>
      </c>
      <c r="C300" t="str">
        <f t="shared" ca="1" si="50"/>
        <v>Male</v>
      </c>
      <c r="D300" s="1">
        <f t="shared" ca="1" si="51"/>
        <v>45526</v>
      </c>
      <c r="E300" s="1">
        <f t="shared" ca="1" si="52"/>
        <v>45535</v>
      </c>
      <c r="F300" t="str">
        <f t="shared" ca="1" si="53"/>
        <v>Pneumonia</v>
      </c>
      <c r="G300" t="str">
        <f t="shared" ca="1" si="54"/>
        <v>Therapy</v>
      </c>
      <c r="H300">
        <f t="shared" ca="1" si="55"/>
        <v>9</v>
      </c>
      <c r="I300" t="str">
        <f t="shared" ca="1" si="56"/>
        <v>Yes</v>
      </c>
      <c r="J300">
        <f t="shared" ca="1" si="57"/>
        <v>2</v>
      </c>
      <c r="K300" t="str">
        <f t="shared" ca="1" si="58"/>
        <v>Private</v>
      </c>
      <c r="L300" t="str">
        <f t="shared" ca="1" si="59"/>
        <v>ICU</v>
      </c>
    </row>
    <row r="301" spans="1:12" x14ac:dyDescent="0.25">
      <c r="A301">
        <f t="shared" si="48"/>
        <v>300</v>
      </c>
      <c r="B301">
        <f t="shared" ca="1" si="49"/>
        <v>47</v>
      </c>
      <c r="C301" t="str">
        <f t="shared" ca="1" si="50"/>
        <v>Male</v>
      </c>
      <c r="D301" s="1">
        <f t="shared" ca="1" si="51"/>
        <v>45466</v>
      </c>
      <c r="E301" s="1">
        <f t="shared" ca="1" si="52"/>
        <v>45468</v>
      </c>
      <c r="F301" t="str">
        <f t="shared" ca="1" si="53"/>
        <v>Pneumonia</v>
      </c>
      <c r="G301" t="str">
        <f t="shared" ca="1" si="54"/>
        <v>Surgery</v>
      </c>
      <c r="H301">
        <f t="shared" ca="1" si="55"/>
        <v>2</v>
      </c>
      <c r="I301" t="str">
        <f t="shared" ca="1" si="56"/>
        <v>No</v>
      </c>
      <c r="J301">
        <f t="shared" ca="1" si="57"/>
        <v>2</v>
      </c>
      <c r="K301" t="str">
        <f t="shared" ca="1" si="58"/>
        <v>Private</v>
      </c>
      <c r="L301" t="str">
        <f t="shared" ca="1" si="59"/>
        <v>Neurology</v>
      </c>
    </row>
    <row r="302" spans="1:12" x14ac:dyDescent="0.25">
      <c r="A302">
        <f t="shared" si="48"/>
        <v>301</v>
      </c>
      <c r="B302">
        <f t="shared" ca="1" si="49"/>
        <v>61</v>
      </c>
      <c r="C302" t="str">
        <f t="shared" ca="1" si="50"/>
        <v>Male</v>
      </c>
      <c r="D302" s="1">
        <f t="shared" ca="1" si="51"/>
        <v>45595</v>
      </c>
      <c r="E302" s="1">
        <f t="shared" ca="1" si="52"/>
        <v>45596</v>
      </c>
      <c r="F302" t="str">
        <f t="shared" ca="1" si="53"/>
        <v>Heart Failure</v>
      </c>
      <c r="G302" t="str">
        <f t="shared" ca="1" si="54"/>
        <v>Medication</v>
      </c>
      <c r="H302">
        <f t="shared" ca="1" si="55"/>
        <v>1</v>
      </c>
      <c r="I302" t="str">
        <f t="shared" ca="1" si="56"/>
        <v>No</v>
      </c>
      <c r="J302">
        <f t="shared" ca="1" si="57"/>
        <v>4</v>
      </c>
      <c r="K302" t="str">
        <f t="shared" ca="1" si="58"/>
        <v>None</v>
      </c>
      <c r="L302" t="str">
        <f t="shared" ca="1" si="59"/>
        <v>ER</v>
      </c>
    </row>
    <row r="303" spans="1:12" x14ac:dyDescent="0.25">
      <c r="A303">
        <f t="shared" si="48"/>
        <v>302</v>
      </c>
      <c r="B303">
        <f t="shared" ca="1" si="49"/>
        <v>68</v>
      </c>
      <c r="C303" t="str">
        <f t="shared" ca="1" si="50"/>
        <v>Male</v>
      </c>
      <c r="D303" s="1">
        <f t="shared" ca="1" si="51"/>
        <v>45339</v>
      </c>
      <c r="E303" s="1">
        <f t="shared" ca="1" si="52"/>
        <v>45345</v>
      </c>
      <c r="F303" t="str">
        <f t="shared" ca="1" si="53"/>
        <v>Pneumonia</v>
      </c>
      <c r="G303" t="str">
        <f t="shared" ca="1" si="54"/>
        <v>Surgery</v>
      </c>
      <c r="H303">
        <f t="shared" ca="1" si="55"/>
        <v>6</v>
      </c>
      <c r="I303" t="str">
        <f t="shared" ca="1" si="56"/>
        <v>No</v>
      </c>
      <c r="J303">
        <f t="shared" ca="1" si="57"/>
        <v>0</v>
      </c>
      <c r="K303" t="str">
        <f t="shared" ca="1" si="58"/>
        <v>Private</v>
      </c>
      <c r="L303" t="str">
        <f t="shared" ca="1" si="59"/>
        <v>General</v>
      </c>
    </row>
    <row r="304" spans="1:12" x14ac:dyDescent="0.25">
      <c r="A304">
        <f t="shared" si="48"/>
        <v>303</v>
      </c>
      <c r="B304">
        <f t="shared" ca="1" si="49"/>
        <v>37</v>
      </c>
      <c r="C304" t="str">
        <f t="shared" ca="1" si="50"/>
        <v>Female</v>
      </c>
      <c r="D304" s="1">
        <f t="shared" ca="1" si="51"/>
        <v>45457</v>
      </c>
      <c r="E304" s="1">
        <f t="shared" ca="1" si="52"/>
        <v>45472</v>
      </c>
      <c r="F304" t="str">
        <f t="shared" ca="1" si="53"/>
        <v>Pneumonia</v>
      </c>
      <c r="G304" t="str">
        <f t="shared" ca="1" si="54"/>
        <v>Therapy</v>
      </c>
      <c r="H304">
        <f t="shared" ca="1" si="55"/>
        <v>15</v>
      </c>
      <c r="I304" t="str">
        <f t="shared" ca="1" si="56"/>
        <v>Yes</v>
      </c>
      <c r="J304">
        <f t="shared" ca="1" si="57"/>
        <v>0</v>
      </c>
      <c r="K304" t="str">
        <f t="shared" ca="1" si="58"/>
        <v>None</v>
      </c>
      <c r="L304" t="str">
        <f t="shared" ca="1" si="59"/>
        <v>Cardiology</v>
      </c>
    </row>
    <row r="305" spans="1:12" x14ac:dyDescent="0.25">
      <c r="A305">
        <f t="shared" si="48"/>
        <v>304</v>
      </c>
      <c r="B305">
        <f t="shared" ca="1" si="49"/>
        <v>33</v>
      </c>
      <c r="C305" t="str">
        <f t="shared" ca="1" si="50"/>
        <v>Male</v>
      </c>
      <c r="D305" s="1">
        <f t="shared" ca="1" si="51"/>
        <v>45568</v>
      </c>
      <c r="E305" s="1">
        <f t="shared" ca="1" si="52"/>
        <v>45577</v>
      </c>
      <c r="F305" t="str">
        <f t="shared" ca="1" si="53"/>
        <v>Heart Failure</v>
      </c>
      <c r="G305" t="str">
        <f t="shared" ca="1" si="54"/>
        <v>Surgery</v>
      </c>
      <c r="H305">
        <f t="shared" ca="1" si="55"/>
        <v>9</v>
      </c>
      <c r="I305" t="str">
        <f t="shared" ca="1" si="56"/>
        <v>Yes</v>
      </c>
      <c r="J305">
        <f t="shared" ca="1" si="57"/>
        <v>1</v>
      </c>
      <c r="K305" t="str">
        <f t="shared" ca="1" si="58"/>
        <v>None</v>
      </c>
      <c r="L305" t="str">
        <f t="shared" ca="1" si="59"/>
        <v>Cardiology</v>
      </c>
    </row>
    <row r="306" spans="1:12" x14ac:dyDescent="0.25">
      <c r="A306">
        <f t="shared" si="48"/>
        <v>305</v>
      </c>
      <c r="B306">
        <f t="shared" ca="1" si="49"/>
        <v>56</v>
      </c>
      <c r="C306" t="str">
        <f t="shared" ca="1" si="50"/>
        <v>Female</v>
      </c>
      <c r="D306" s="1">
        <f t="shared" ca="1" si="51"/>
        <v>45356</v>
      </c>
      <c r="E306" s="1">
        <f t="shared" ca="1" si="52"/>
        <v>45367</v>
      </c>
      <c r="F306" t="str">
        <f t="shared" ca="1" si="53"/>
        <v>Stroke</v>
      </c>
      <c r="G306" t="str">
        <f t="shared" ca="1" si="54"/>
        <v>Surgery</v>
      </c>
      <c r="H306">
        <f t="shared" ca="1" si="55"/>
        <v>11</v>
      </c>
      <c r="I306" t="str">
        <f t="shared" ca="1" si="56"/>
        <v>No</v>
      </c>
      <c r="J306">
        <f t="shared" ca="1" si="57"/>
        <v>4</v>
      </c>
      <c r="K306" t="str">
        <f t="shared" ca="1" si="58"/>
        <v>Public</v>
      </c>
      <c r="L306" t="str">
        <f t="shared" ca="1" si="59"/>
        <v>Cardiology</v>
      </c>
    </row>
    <row r="307" spans="1:12" x14ac:dyDescent="0.25">
      <c r="A307">
        <f t="shared" si="48"/>
        <v>306</v>
      </c>
      <c r="B307">
        <f t="shared" ca="1" si="49"/>
        <v>61</v>
      </c>
      <c r="C307" t="str">
        <f t="shared" ca="1" si="50"/>
        <v>Female</v>
      </c>
      <c r="D307" s="1">
        <f t="shared" ca="1" si="51"/>
        <v>45486</v>
      </c>
      <c r="E307" s="1">
        <f t="shared" ca="1" si="52"/>
        <v>45491</v>
      </c>
      <c r="F307" t="str">
        <f t="shared" ca="1" si="53"/>
        <v>Heart Failure</v>
      </c>
      <c r="G307" t="str">
        <f t="shared" ca="1" si="54"/>
        <v>Surgery</v>
      </c>
      <c r="H307">
        <f t="shared" ca="1" si="55"/>
        <v>5</v>
      </c>
      <c r="I307" t="str">
        <f t="shared" ca="1" si="56"/>
        <v>No</v>
      </c>
      <c r="J307">
        <f t="shared" ca="1" si="57"/>
        <v>4</v>
      </c>
      <c r="K307" t="str">
        <f t="shared" ca="1" si="58"/>
        <v>None</v>
      </c>
      <c r="L307" t="str">
        <f t="shared" ca="1" si="59"/>
        <v>Cardiology</v>
      </c>
    </row>
    <row r="308" spans="1:12" x14ac:dyDescent="0.25">
      <c r="A308">
        <f t="shared" si="48"/>
        <v>307</v>
      </c>
      <c r="B308">
        <f t="shared" ca="1" si="49"/>
        <v>52</v>
      </c>
      <c r="C308" t="str">
        <f t="shared" ca="1" si="50"/>
        <v>Male</v>
      </c>
      <c r="D308" s="1">
        <f t="shared" ca="1" si="51"/>
        <v>45409</v>
      </c>
      <c r="E308" s="1">
        <f t="shared" ca="1" si="52"/>
        <v>45420</v>
      </c>
      <c r="F308" t="str">
        <f t="shared" ca="1" si="53"/>
        <v>Heart Failure</v>
      </c>
      <c r="G308" t="str">
        <f t="shared" ca="1" si="54"/>
        <v>Medication</v>
      </c>
      <c r="H308">
        <f t="shared" ca="1" si="55"/>
        <v>11</v>
      </c>
      <c r="I308" t="str">
        <f t="shared" ca="1" si="56"/>
        <v>No</v>
      </c>
      <c r="J308">
        <f t="shared" ca="1" si="57"/>
        <v>1</v>
      </c>
      <c r="K308" t="str">
        <f t="shared" ca="1" si="58"/>
        <v>Public</v>
      </c>
      <c r="L308" t="str">
        <f t="shared" ca="1" si="59"/>
        <v>General</v>
      </c>
    </row>
    <row r="309" spans="1:12" x14ac:dyDescent="0.25">
      <c r="A309">
        <f t="shared" si="48"/>
        <v>308</v>
      </c>
      <c r="B309">
        <f t="shared" ca="1" si="49"/>
        <v>51</v>
      </c>
      <c r="C309" t="str">
        <f t="shared" ca="1" si="50"/>
        <v>Female</v>
      </c>
      <c r="D309" s="1">
        <f t="shared" ca="1" si="51"/>
        <v>45309</v>
      </c>
      <c r="E309" s="1">
        <f t="shared" ca="1" si="52"/>
        <v>45323</v>
      </c>
      <c r="F309" t="str">
        <f t="shared" ca="1" si="53"/>
        <v>Pneumonia</v>
      </c>
      <c r="G309" t="str">
        <f t="shared" ca="1" si="54"/>
        <v>Medication</v>
      </c>
      <c r="H309">
        <f t="shared" ca="1" si="55"/>
        <v>14</v>
      </c>
      <c r="I309" t="str">
        <f t="shared" ca="1" si="56"/>
        <v>Yes</v>
      </c>
      <c r="J309">
        <f t="shared" ca="1" si="57"/>
        <v>2</v>
      </c>
      <c r="K309" t="str">
        <f t="shared" ca="1" si="58"/>
        <v>None</v>
      </c>
      <c r="L309" t="str">
        <f t="shared" ca="1" si="59"/>
        <v>General</v>
      </c>
    </row>
    <row r="310" spans="1:12" x14ac:dyDescent="0.25">
      <c r="A310">
        <f t="shared" si="48"/>
        <v>309</v>
      </c>
      <c r="B310">
        <f t="shared" ca="1" si="49"/>
        <v>38</v>
      </c>
      <c r="C310" t="str">
        <f t="shared" ca="1" si="50"/>
        <v>Female</v>
      </c>
      <c r="D310" s="1">
        <f t="shared" ca="1" si="51"/>
        <v>45406</v>
      </c>
      <c r="E310" s="1">
        <f t="shared" ca="1" si="52"/>
        <v>45419</v>
      </c>
      <c r="F310" t="str">
        <f t="shared" ca="1" si="53"/>
        <v>Stroke</v>
      </c>
      <c r="G310" t="str">
        <f t="shared" ca="1" si="54"/>
        <v>Therapy</v>
      </c>
      <c r="H310">
        <f t="shared" ca="1" si="55"/>
        <v>13</v>
      </c>
      <c r="I310" t="str">
        <f t="shared" ca="1" si="56"/>
        <v>No</v>
      </c>
      <c r="J310">
        <f t="shared" ca="1" si="57"/>
        <v>4</v>
      </c>
      <c r="K310" t="str">
        <f t="shared" ca="1" si="58"/>
        <v>Public</v>
      </c>
      <c r="L310" t="str">
        <f t="shared" ca="1" si="59"/>
        <v>Cardiology</v>
      </c>
    </row>
    <row r="311" spans="1:12" x14ac:dyDescent="0.25">
      <c r="A311">
        <f t="shared" si="48"/>
        <v>310</v>
      </c>
      <c r="B311">
        <f t="shared" ca="1" si="49"/>
        <v>33</v>
      </c>
      <c r="C311" t="str">
        <f t="shared" ca="1" si="50"/>
        <v>Male</v>
      </c>
      <c r="D311" s="1">
        <f t="shared" ca="1" si="51"/>
        <v>45543</v>
      </c>
      <c r="E311" s="1">
        <f t="shared" ca="1" si="52"/>
        <v>45551</v>
      </c>
      <c r="F311" t="str">
        <f t="shared" ca="1" si="53"/>
        <v>Pneumonia</v>
      </c>
      <c r="G311" t="str">
        <f t="shared" ca="1" si="54"/>
        <v>Therapy</v>
      </c>
      <c r="H311">
        <f t="shared" ca="1" si="55"/>
        <v>8</v>
      </c>
      <c r="I311" t="str">
        <f t="shared" ca="1" si="56"/>
        <v>No</v>
      </c>
      <c r="J311">
        <f t="shared" ca="1" si="57"/>
        <v>1</v>
      </c>
      <c r="K311" t="str">
        <f t="shared" ca="1" si="58"/>
        <v>Public</v>
      </c>
      <c r="L311" t="str">
        <f t="shared" ca="1" si="59"/>
        <v>Cardiology</v>
      </c>
    </row>
    <row r="312" spans="1:12" x14ac:dyDescent="0.25">
      <c r="A312">
        <f t="shared" si="48"/>
        <v>311</v>
      </c>
      <c r="B312">
        <f t="shared" ca="1" si="49"/>
        <v>35</v>
      </c>
      <c r="C312" t="str">
        <f t="shared" ca="1" si="50"/>
        <v>Female</v>
      </c>
      <c r="D312" s="1">
        <f t="shared" ca="1" si="51"/>
        <v>45503</v>
      </c>
      <c r="E312" s="1">
        <f t="shared" ca="1" si="52"/>
        <v>45507</v>
      </c>
      <c r="F312" t="str">
        <f t="shared" ca="1" si="53"/>
        <v>Pneumonia</v>
      </c>
      <c r="G312" t="str">
        <f t="shared" ca="1" si="54"/>
        <v>Surgery</v>
      </c>
      <c r="H312">
        <f t="shared" ca="1" si="55"/>
        <v>4</v>
      </c>
      <c r="I312" t="str">
        <f t="shared" ca="1" si="56"/>
        <v>Yes</v>
      </c>
      <c r="J312">
        <f t="shared" ca="1" si="57"/>
        <v>4</v>
      </c>
      <c r="K312" t="str">
        <f t="shared" ca="1" si="58"/>
        <v>Private</v>
      </c>
      <c r="L312" t="str">
        <f t="shared" ca="1" si="59"/>
        <v>Cardiology</v>
      </c>
    </row>
    <row r="313" spans="1:12" x14ac:dyDescent="0.25">
      <c r="A313">
        <f t="shared" si="48"/>
        <v>312</v>
      </c>
      <c r="B313">
        <f t="shared" ca="1" si="49"/>
        <v>78</v>
      </c>
      <c r="C313" t="str">
        <f t="shared" ca="1" si="50"/>
        <v>Female</v>
      </c>
      <c r="D313" s="1">
        <f t="shared" ca="1" si="51"/>
        <v>45342</v>
      </c>
      <c r="E313" s="1">
        <f t="shared" ca="1" si="52"/>
        <v>45357</v>
      </c>
      <c r="F313" t="str">
        <f t="shared" ca="1" si="53"/>
        <v>Diabetes</v>
      </c>
      <c r="G313" t="str">
        <f t="shared" ca="1" si="54"/>
        <v>Therapy</v>
      </c>
      <c r="H313">
        <f t="shared" ca="1" si="55"/>
        <v>15</v>
      </c>
      <c r="I313" t="str">
        <f t="shared" ca="1" si="56"/>
        <v>No</v>
      </c>
      <c r="J313">
        <f t="shared" ca="1" si="57"/>
        <v>2</v>
      </c>
      <c r="K313" t="str">
        <f t="shared" ca="1" si="58"/>
        <v>None</v>
      </c>
      <c r="L313" t="str">
        <f t="shared" ca="1" si="59"/>
        <v>General</v>
      </c>
    </row>
    <row r="314" spans="1:12" x14ac:dyDescent="0.25">
      <c r="A314">
        <f t="shared" si="48"/>
        <v>313</v>
      </c>
      <c r="B314">
        <f t="shared" ca="1" si="49"/>
        <v>52</v>
      </c>
      <c r="C314" t="str">
        <f t="shared" ca="1" si="50"/>
        <v>Male</v>
      </c>
      <c r="D314" s="1">
        <f t="shared" ca="1" si="51"/>
        <v>45448</v>
      </c>
      <c r="E314" s="1">
        <f t="shared" ca="1" si="52"/>
        <v>45449</v>
      </c>
      <c r="F314" t="str">
        <f t="shared" ca="1" si="53"/>
        <v>Stroke</v>
      </c>
      <c r="G314" t="str">
        <f t="shared" ca="1" si="54"/>
        <v>Therapy</v>
      </c>
      <c r="H314">
        <f t="shared" ca="1" si="55"/>
        <v>1</v>
      </c>
      <c r="I314" t="str">
        <f t="shared" ca="1" si="56"/>
        <v>No</v>
      </c>
      <c r="J314">
        <f t="shared" ca="1" si="57"/>
        <v>3</v>
      </c>
      <c r="K314" t="str">
        <f t="shared" ca="1" si="58"/>
        <v>None</v>
      </c>
      <c r="L314" t="str">
        <f t="shared" ca="1" si="59"/>
        <v>ICU</v>
      </c>
    </row>
    <row r="315" spans="1:12" x14ac:dyDescent="0.25">
      <c r="A315">
        <f t="shared" si="48"/>
        <v>314</v>
      </c>
      <c r="B315">
        <f t="shared" ca="1" si="49"/>
        <v>52</v>
      </c>
      <c r="C315" t="str">
        <f t="shared" ca="1" si="50"/>
        <v>Male</v>
      </c>
      <c r="D315" s="1">
        <f t="shared" ca="1" si="51"/>
        <v>45388</v>
      </c>
      <c r="E315" s="1">
        <f t="shared" ca="1" si="52"/>
        <v>45401</v>
      </c>
      <c r="F315" t="str">
        <f t="shared" ca="1" si="53"/>
        <v>Stroke</v>
      </c>
      <c r="G315" t="str">
        <f t="shared" ca="1" si="54"/>
        <v>Surgery</v>
      </c>
      <c r="H315">
        <f t="shared" ca="1" si="55"/>
        <v>13</v>
      </c>
      <c r="I315" t="str">
        <f t="shared" ca="1" si="56"/>
        <v>Yes</v>
      </c>
      <c r="J315">
        <f t="shared" ca="1" si="57"/>
        <v>2</v>
      </c>
      <c r="K315" t="str">
        <f t="shared" ca="1" si="58"/>
        <v>Private</v>
      </c>
      <c r="L315" t="str">
        <f t="shared" ca="1" si="59"/>
        <v>Cardiology</v>
      </c>
    </row>
    <row r="316" spans="1:12" x14ac:dyDescent="0.25">
      <c r="A316">
        <f t="shared" si="48"/>
        <v>315</v>
      </c>
      <c r="B316">
        <f t="shared" ca="1" si="49"/>
        <v>38</v>
      </c>
      <c r="C316" t="str">
        <f t="shared" ca="1" si="50"/>
        <v>Male</v>
      </c>
      <c r="D316" s="1">
        <f t="shared" ca="1" si="51"/>
        <v>45383</v>
      </c>
      <c r="E316" s="1">
        <f t="shared" ca="1" si="52"/>
        <v>45395</v>
      </c>
      <c r="F316" t="str">
        <f t="shared" ca="1" si="53"/>
        <v>Hypertension</v>
      </c>
      <c r="G316" t="str">
        <f t="shared" ca="1" si="54"/>
        <v>Medication</v>
      </c>
      <c r="H316">
        <f t="shared" ca="1" si="55"/>
        <v>12</v>
      </c>
      <c r="I316" t="str">
        <f t="shared" ca="1" si="56"/>
        <v>No</v>
      </c>
      <c r="J316">
        <f t="shared" ca="1" si="57"/>
        <v>2</v>
      </c>
      <c r="K316" t="str">
        <f t="shared" ca="1" si="58"/>
        <v>None</v>
      </c>
      <c r="L316" t="str">
        <f t="shared" ca="1" si="59"/>
        <v>General</v>
      </c>
    </row>
    <row r="317" spans="1:12" x14ac:dyDescent="0.25">
      <c r="A317">
        <f t="shared" si="48"/>
        <v>316</v>
      </c>
      <c r="B317">
        <f t="shared" ca="1" si="49"/>
        <v>50</v>
      </c>
      <c r="C317" t="str">
        <f t="shared" ca="1" si="50"/>
        <v>Female</v>
      </c>
      <c r="D317" s="1">
        <f t="shared" ca="1" si="51"/>
        <v>45593</v>
      </c>
      <c r="E317" s="1">
        <f t="shared" ca="1" si="52"/>
        <v>45607</v>
      </c>
      <c r="F317" t="str">
        <f t="shared" ca="1" si="53"/>
        <v>Hypertension</v>
      </c>
      <c r="G317" t="str">
        <f t="shared" ca="1" si="54"/>
        <v>Surgery</v>
      </c>
      <c r="H317">
        <f t="shared" ca="1" si="55"/>
        <v>14</v>
      </c>
      <c r="I317" t="str">
        <f t="shared" ca="1" si="56"/>
        <v>Yes</v>
      </c>
      <c r="J317">
        <f t="shared" ca="1" si="57"/>
        <v>0</v>
      </c>
      <c r="K317" t="str">
        <f t="shared" ca="1" si="58"/>
        <v>Private</v>
      </c>
      <c r="L317" t="str">
        <f t="shared" ca="1" si="59"/>
        <v>Neurology</v>
      </c>
    </row>
    <row r="318" spans="1:12" x14ac:dyDescent="0.25">
      <c r="A318">
        <f t="shared" si="48"/>
        <v>317</v>
      </c>
      <c r="B318">
        <f t="shared" ca="1" si="49"/>
        <v>70</v>
      </c>
      <c r="C318" t="str">
        <f t="shared" ca="1" si="50"/>
        <v>Female</v>
      </c>
      <c r="D318" s="1">
        <f t="shared" ca="1" si="51"/>
        <v>45589</v>
      </c>
      <c r="E318" s="1">
        <f t="shared" ca="1" si="52"/>
        <v>45596</v>
      </c>
      <c r="F318" t="str">
        <f t="shared" ca="1" si="53"/>
        <v>Heart Failure</v>
      </c>
      <c r="G318" t="str">
        <f t="shared" ca="1" si="54"/>
        <v>Medication</v>
      </c>
      <c r="H318">
        <f t="shared" ca="1" si="55"/>
        <v>7</v>
      </c>
      <c r="I318" t="str">
        <f t="shared" ca="1" si="56"/>
        <v>No</v>
      </c>
      <c r="J318">
        <f t="shared" ca="1" si="57"/>
        <v>2</v>
      </c>
      <c r="K318" t="str">
        <f t="shared" ca="1" si="58"/>
        <v>Private</v>
      </c>
      <c r="L318" t="str">
        <f t="shared" ca="1" si="59"/>
        <v>Neurology</v>
      </c>
    </row>
    <row r="319" spans="1:12" x14ac:dyDescent="0.25">
      <c r="A319">
        <f t="shared" si="48"/>
        <v>318</v>
      </c>
      <c r="B319">
        <f t="shared" ca="1" si="49"/>
        <v>59</v>
      </c>
      <c r="C319" t="str">
        <f t="shared" ca="1" si="50"/>
        <v>Female</v>
      </c>
      <c r="D319" s="1">
        <f t="shared" ca="1" si="51"/>
        <v>45478</v>
      </c>
      <c r="E319" s="1">
        <f t="shared" ca="1" si="52"/>
        <v>45483</v>
      </c>
      <c r="F319" t="str">
        <f t="shared" ca="1" si="53"/>
        <v>Diabetes</v>
      </c>
      <c r="G319" t="str">
        <f t="shared" ca="1" si="54"/>
        <v>Therapy</v>
      </c>
      <c r="H319">
        <f t="shared" ca="1" si="55"/>
        <v>5</v>
      </c>
      <c r="I319" t="str">
        <f t="shared" ca="1" si="56"/>
        <v>No</v>
      </c>
      <c r="J319">
        <f t="shared" ca="1" si="57"/>
        <v>2</v>
      </c>
      <c r="K319" t="str">
        <f t="shared" ca="1" si="58"/>
        <v>Private</v>
      </c>
      <c r="L319" t="str">
        <f t="shared" ca="1" si="59"/>
        <v>Cardiology</v>
      </c>
    </row>
    <row r="320" spans="1:12" x14ac:dyDescent="0.25">
      <c r="A320">
        <f t="shared" si="48"/>
        <v>319</v>
      </c>
      <c r="B320">
        <f t="shared" ca="1" si="49"/>
        <v>71</v>
      </c>
      <c r="C320" t="str">
        <f t="shared" ca="1" si="50"/>
        <v>Female</v>
      </c>
      <c r="D320" s="1">
        <f t="shared" ca="1" si="51"/>
        <v>45298</v>
      </c>
      <c r="E320" s="1">
        <f t="shared" ca="1" si="52"/>
        <v>45308</v>
      </c>
      <c r="F320" t="str">
        <f t="shared" ca="1" si="53"/>
        <v>Stroke</v>
      </c>
      <c r="G320" t="str">
        <f t="shared" ca="1" si="54"/>
        <v>Medication</v>
      </c>
      <c r="H320">
        <f t="shared" ca="1" si="55"/>
        <v>10</v>
      </c>
      <c r="I320" t="str">
        <f t="shared" ca="1" si="56"/>
        <v>Yes</v>
      </c>
      <c r="J320">
        <f t="shared" ca="1" si="57"/>
        <v>0</v>
      </c>
      <c r="K320" t="str">
        <f t="shared" ca="1" si="58"/>
        <v>Public</v>
      </c>
      <c r="L320" t="str">
        <f t="shared" ca="1" si="59"/>
        <v>Cardiology</v>
      </c>
    </row>
    <row r="321" spans="1:12" x14ac:dyDescent="0.25">
      <c r="A321">
        <f t="shared" si="48"/>
        <v>320</v>
      </c>
      <c r="B321">
        <f t="shared" ca="1" si="49"/>
        <v>73</v>
      </c>
      <c r="C321" t="str">
        <f t="shared" ca="1" si="50"/>
        <v>Male</v>
      </c>
      <c r="D321" s="1">
        <f t="shared" ca="1" si="51"/>
        <v>45520</v>
      </c>
      <c r="E321" s="1">
        <f t="shared" ca="1" si="52"/>
        <v>45526</v>
      </c>
      <c r="F321" t="str">
        <f t="shared" ca="1" si="53"/>
        <v>Hypertension</v>
      </c>
      <c r="G321" t="str">
        <f t="shared" ca="1" si="54"/>
        <v>Medication</v>
      </c>
      <c r="H321">
        <f t="shared" ca="1" si="55"/>
        <v>6</v>
      </c>
      <c r="I321" t="str">
        <f t="shared" ca="1" si="56"/>
        <v>Yes</v>
      </c>
      <c r="J321">
        <f t="shared" ca="1" si="57"/>
        <v>1</v>
      </c>
      <c r="K321" t="str">
        <f t="shared" ca="1" si="58"/>
        <v>None</v>
      </c>
      <c r="L321" t="str">
        <f t="shared" ca="1" si="59"/>
        <v>Neurology</v>
      </c>
    </row>
    <row r="322" spans="1:12" x14ac:dyDescent="0.25">
      <c r="A322">
        <f t="shared" si="48"/>
        <v>321</v>
      </c>
      <c r="B322">
        <f t="shared" ca="1" si="49"/>
        <v>35</v>
      </c>
      <c r="C322" t="str">
        <f t="shared" ca="1" si="50"/>
        <v>Male</v>
      </c>
      <c r="D322" s="1">
        <f t="shared" ca="1" si="51"/>
        <v>45644</v>
      </c>
      <c r="E322" s="1">
        <f t="shared" ca="1" si="52"/>
        <v>45656</v>
      </c>
      <c r="F322" t="str">
        <f t="shared" ca="1" si="53"/>
        <v>Diabetes</v>
      </c>
      <c r="G322" t="str">
        <f t="shared" ca="1" si="54"/>
        <v>Therapy</v>
      </c>
      <c r="H322">
        <f t="shared" ca="1" si="55"/>
        <v>12</v>
      </c>
      <c r="I322" t="str">
        <f t="shared" ca="1" si="56"/>
        <v>Yes</v>
      </c>
      <c r="J322">
        <f t="shared" ca="1" si="57"/>
        <v>3</v>
      </c>
      <c r="K322" t="str">
        <f t="shared" ca="1" si="58"/>
        <v>Public</v>
      </c>
      <c r="L322" t="str">
        <f t="shared" ca="1" si="59"/>
        <v>ICU</v>
      </c>
    </row>
    <row r="323" spans="1:12" x14ac:dyDescent="0.25">
      <c r="A323">
        <f t="shared" ref="A323:A386" si="60">ROW() -1</f>
        <v>322</v>
      </c>
      <c r="B323">
        <f t="shared" ref="B323:B386" ca="1" si="61">RANDBETWEEN(20,90)</f>
        <v>46</v>
      </c>
      <c r="C323" t="str">
        <f t="shared" ref="C323:C386" ca="1" si="62">IF(RAND()&lt;0.5,"Male","Female")</f>
        <v>Male</v>
      </c>
      <c r="D323" s="1">
        <f t="shared" ref="D323:D386" ca="1" si="63">DATE(2024,1,1)+RANDBETWEEN(0,364)</f>
        <v>45611</v>
      </c>
      <c r="E323" s="1">
        <f t="shared" ref="E323:E386" ca="1" si="64">D323+RANDBETWEEN(1,15)</f>
        <v>45624</v>
      </c>
      <c r="F323" t="str">
        <f t="shared" ref="F323:F386" ca="1" si="65">CHOOSE(RANDBETWEEN(1,5),"Diabetes","Heart Failure","Pneumonia","Stroke","Hypertension")</f>
        <v>Diabetes</v>
      </c>
      <c r="G323" t="str">
        <f t="shared" ref="G323:G386" ca="1" si="66">CHOOSE(RANDBETWEEN(1,3),"Medication","Surgery","Therapy")</f>
        <v>Surgery</v>
      </c>
      <c r="H323">
        <f t="shared" ref="H323:H386" ca="1" si="67">DATEDIF(D323,E323,"D")</f>
        <v>13</v>
      </c>
      <c r="I323" t="str">
        <f t="shared" ref="I323:I386" ca="1" si="68">IF(RAND()&lt;0.3,"Yes","No")</f>
        <v>Yes</v>
      </c>
      <c r="J323">
        <f t="shared" ref="J323:J386" ca="1" si="69">RANDBETWEEN(0,4)</f>
        <v>1</v>
      </c>
      <c r="K323" t="str">
        <f t="shared" ref="K323:K386" ca="1" si="70">CHOOSE(RANDBETWEEN(1,3),"Private","Public","None")</f>
        <v>Public</v>
      </c>
      <c r="L323" t="str">
        <f t="shared" ref="L323:L386" ca="1" si="71">CHOOSE(RANDBETWEEN(1,5),"ER","Cardiology","Neurology","General","ICU")</f>
        <v>ICU</v>
      </c>
    </row>
    <row r="324" spans="1:12" x14ac:dyDescent="0.25">
      <c r="A324">
        <f t="shared" si="60"/>
        <v>323</v>
      </c>
      <c r="B324">
        <f t="shared" ca="1" si="61"/>
        <v>86</v>
      </c>
      <c r="C324" t="str">
        <f t="shared" ca="1" si="62"/>
        <v>Male</v>
      </c>
      <c r="D324" s="1">
        <f t="shared" ca="1" si="63"/>
        <v>45388</v>
      </c>
      <c r="E324" s="1">
        <f t="shared" ca="1" si="64"/>
        <v>45397</v>
      </c>
      <c r="F324" t="str">
        <f t="shared" ca="1" si="65"/>
        <v>Diabetes</v>
      </c>
      <c r="G324" t="str">
        <f t="shared" ca="1" si="66"/>
        <v>Surgery</v>
      </c>
      <c r="H324">
        <f t="shared" ca="1" si="67"/>
        <v>9</v>
      </c>
      <c r="I324" t="str">
        <f t="shared" ca="1" si="68"/>
        <v>Yes</v>
      </c>
      <c r="J324">
        <f t="shared" ca="1" si="69"/>
        <v>0</v>
      </c>
      <c r="K324" t="str">
        <f t="shared" ca="1" si="70"/>
        <v>Private</v>
      </c>
      <c r="L324" t="str">
        <f t="shared" ca="1" si="71"/>
        <v>Cardiology</v>
      </c>
    </row>
    <row r="325" spans="1:12" x14ac:dyDescent="0.25">
      <c r="A325">
        <f t="shared" si="60"/>
        <v>324</v>
      </c>
      <c r="B325">
        <f t="shared" ca="1" si="61"/>
        <v>81</v>
      </c>
      <c r="C325" t="str">
        <f t="shared" ca="1" si="62"/>
        <v>Male</v>
      </c>
      <c r="D325" s="1">
        <f t="shared" ca="1" si="63"/>
        <v>45515</v>
      </c>
      <c r="E325" s="1">
        <f t="shared" ca="1" si="64"/>
        <v>45530</v>
      </c>
      <c r="F325" t="str">
        <f t="shared" ca="1" si="65"/>
        <v>Heart Failure</v>
      </c>
      <c r="G325" t="str">
        <f t="shared" ca="1" si="66"/>
        <v>Surgery</v>
      </c>
      <c r="H325">
        <f t="shared" ca="1" si="67"/>
        <v>15</v>
      </c>
      <c r="I325" t="str">
        <f t="shared" ca="1" si="68"/>
        <v>No</v>
      </c>
      <c r="J325">
        <f t="shared" ca="1" si="69"/>
        <v>4</v>
      </c>
      <c r="K325" t="str">
        <f t="shared" ca="1" si="70"/>
        <v>Private</v>
      </c>
      <c r="L325" t="str">
        <f t="shared" ca="1" si="71"/>
        <v>Cardiology</v>
      </c>
    </row>
    <row r="326" spans="1:12" x14ac:dyDescent="0.25">
      <c r="A326">
        <f t="shared" si="60"/>
        <v>325</v>
      </c>
      <c r="B326">
        <f t="shared" ca="1" si="61"/>
        <v>53</v>
      </c>
      <c r="C326" t="str">
        <f t="shared" ca="1" si="62"/>
        <v>Female</v>
      </c>
      <c r="D326" s="1">
        <f t="shared" ca="1" si="63"/>
        <v>45330</v>
      </c>
      <c r="E326" s="1">
        <f t="shared" ca="1" si="64"/>
        <v>45331</v>
      </c>
      <c r="F326" t="str">
        <f t="shared" ca="1" si="65"/>
        <v>Pneumonia</v>
      </c>
      <c r="G326" t="str">
        <f t="shared" ca="1" si="66"/>
        <v>Therapy</v>
      </c>
      <c r="H326">
        <f t="shared" ca="1" si="67"/>
        <v>1</v>
      </c>
      <c r="I326" t="str">
        <f t="shared" ca="1" si="68"/>
        <v>No</v>
      </c>
      <c r="J326">
        <f t="shared" ca="1" si="69"/>
        <v>1</v>
      </c>
      <c r="K326" t="str">
        <f t="shared" ca="1" si="70"/>
        <v>Private</v>
      </c>
      <c r="L326" t="str">
        <f t="shared" ca="1" si="71"/>
        <v>Neurology</v>
      </c>
    </row>
    <row r="327" spans="1:12" x14ac:dyDescent="0.25">
      <c r="A327">
        <f t="shared" si="60"/>
        <v>326</v>
      </c>
      <c r="B327">
        <f t="shared" ca="1" si="61"/>
        <v>72</v>
      </c>
      <c r="C327" t="str">
        <f t="shared" ca="1" si="62"/>
        <v>Female</v>
      </c>
      <c r="D327" s="1">
        <f t="shared" ca="1" si="63"/>
        <v>45476</v>
      </c>
      <c r="E327" s="1">
        <f t="shared" ca="1" si="64"/>
        <v>45491</v>
      </c>
      <c r="F327" t="str">
        <f t="shared" ca="1" si="65"/>
        <v>Heart Failure</v>
      </c>
      <c r="G327" t="str">
        <f t="shared" ca="1" si="66"/>
        <v>Surgery</v>
      </c>
      <c r="H327">
        <f t="shared" ca="1" si="67"/>
        <v>15</v>
      </c>
      <c r="I327" t="str">
        <f t="shared" ca="1" si="68"/>
        <v>No</v>
      </c>
      <c r="J327">
        <f t="shared" ca="1" si="69"/>
        <v>0</v>
      </c>
      <c r="K327" t="str">
        <f t="shared" ca="1" si="70"/>
        <v>Private</v>
      </c>
      <c r="L327" t="str">
        <f t="shared" ca="1" si="71"/>
        <v>General</v>
      </c>
    </row>
    <row r="328" spans="1:12" x14ac:dyDescent="0.25">
      <c r="A328">
        <f t="shared" si="60"/>
        <v>327</v>
      </c>
      <c r="B328">
        <f t="shared" ca="1" si="61"/>
        <v>72</v>
      </c>
      <c r="C328" t="str">
        <f t="shared" ca="1" si="62"/>
        <v>Female</v>
      </c>
      <c r="D328" s="1">
        <f t="shared" ca="1" si="63"/>
        <v>45428</v>
      </c>
      <c r="E328" s="1">
        <f t="shared" ca="1" si="64"/>
        <v>45431</v>
      </c>
      <c r="F328" t="str">
        <f t="shared" ca="1" si="65"/>
        <v>Hypertension</v>
      </c>
      <c r="G328" t="str">
        <f t="shared" ca="1" si="66"/>
        <v>Therapy</v>
      </c>
      <c r="H328">
        <f t="shared" ca="1" si="67"/>
        <v>3</v>
      </c>
      <c r="I328" t="str">
        <f t="shared" ca="1" si="68"/>
        <v>Yes</v>
      </c>
      <c r="J328">
        <f t="shared" ca="1" si="69"/>
        <v>2</v>
      </c>
      <c r="K328" t="str">
        <f t="shared" ca="1" si="70"/>
        <v>None</v>
      </c>
      <c r="L328" t="str">
        <f t="shared" ca="1" si="71"/>
        <v>General</v>
      </c>
    </row>
    <row r="329" spans="1:12" x14ac:dyDescent="0.25">
      <c r="A329">
        <f t="shared" si="60"/>
        <v>328</v>
      </c>
      <c r="B329">
        <f t="shared" ca="1" si="61"/>
        <v>52</v>
      </c>
      <c r="C329" t="str">
        <f t="shared" ca="1" si="62"/>
        <v>Male</v>
      </c>
      <c r="D329" s="1">
        <f t="shared" ca="1" si="63"/>
        <v>45600</v>
      </c>
      <c r="E329" s="1">
        <f t="shared" ca="1" si="64"/>
        <v>45601</v>
      </c>
      <c r="F329" t="str">
        <f t="shared" ca="1" si="65"/>
        <v>Hypertension</v>
      </c>
      <c r="G329" t="str">
        <f t="shared" ca="1" si="66"/>
        <v>Therapy</v>
      </c>
      <c r="H329">
        <f t="shared" ca="1" si="67"/>
        <v>1</v>
      </c>
      <c r="I329" t="str">
        <f t="shared" ca="1" si="68"/>
        <v>Yes</v>
      </c>
      <c r="J329">
        <f t="shared" ca="1" si="69"/>
        <v>1</v>
      </c>
      <c r="K329" t="str">
        <f t="shared" ca="1" si="70"/>
        <v>Private</v>
      </c>
      <c r="L329" t="str">
        <f t="shared" ca="1" si="71"/>
        <v>Cardiology</v>
      </c>
    </row>
    <row r="330" spans="1:12" x14ac:dyDescent="0.25">
      <c r="A330">
        <f t="shared" si="60"/>
        <v>329</v>
      </c>
      <c r="B330">
        <f t="shared" ca="1" si="61"/>
        <v>29</v>
      </c>
      <c r="C330" t="str">
        <f t="shared" ca="1" si="62"/>
        <v>Female</v>
      </c>
      <c r="D330" s="1">
        <f t="shared" ca="1" si="63"/>
        <v>45403</v>
      </c>
      <c r="E330" s="1">
        <f t="shared" ca="1" si="64"/>
        <v>45404</v>
      </c>
      <c r="F330" t="str">
        <f t="shared" ca="1" si="65"/>
        <v>Diabetes</v>
      </c>
      <c r="G330" t="str">
        <f t="shared" ca="1" si="66"/>
        <v>Surgery</v>
      </c>
      <c r="H330">
        <f t="shared" ca="1" si="67"/>
        <v>1</v>
      </c>
      <c r="I330" t="str">
        <f t="shared" ca="1" si="68"/>
        <v>Yes</v>
      </c>
      <c r="J330">
        <f t="shared" ca="1" si="69"/>
        <v>2</v>
      </c>
      <c r="K330" t="str">
        <f t="shared" ca="1" si="70"/>
        <v>Public</v>
      </c>
      <c r="L330" t="str">
        <f t="shared" ca="1" si="71"/>
        <v>Cardiology</v>
      </c>
    </row>
    <row r="331" spans="1:12" x14ac:dyDescent="0.25">
      <c r="A331">
        <f t="shared" si="60"/>
        <v>330</v>
      </c>
      <c r="B331">
        <f t="shared" ca="1" si="61"/>
        <v>80</v>
      </c>
      <c r="C331" t="str">
        <f t="shared" ca="1" si="62"/>
        <v>Male</v>
      </c>
      <c r="D331" s="1">
        <f t="shared" ca="1" si="63"/>
        <v>45651</v>
      </c>
      <c r="E331" s="1">
        <f t="shared" ca="1" si="64"/>
        <v>45666</v>
      </c>
      <c r="F331" t="str">
        <f t="shared" ca="1" si="65"/>
        <v>Hypertension</v>
      </c>
      <c r="G331" t="str">
        <f t="shared" ca="1" si="66"/>
        <v>Therapy</v>
      </c>
      <c r="H331">
        <f t="shared" ca="1" si="67"/>
        <v>15</v>
      </c>
      <c r="I331" t="str">
        <f t="shared" ca="1" si="68"/>
        <v>No</v>
      </c>
      <c r="J331">
        <f t="shared" ca="1" si="69"/>
        <v>0</v>
      </c>
      <c r="K331" t="str">
        <f t="shared" ca="1" si="70"/>
        <v>Private</v>
      </c>
      <c r="L331" t="str">
        <f t="shared" ca="1" si="71"/>
        <v>ER</v>
      </c>
    </row>
    <row r="332" spans="1:12" x14ac:dyDescent="0.25">
      <c r="A332">
        <f t="shared" si="60"/>
        <v>331</v>
      </c>
      <c r="B332">
        <f t="shared" ca="1" si="61"/>
        <v>51</v>
      </c>
      <c r="C332" t="str">
        <f t="shared" ca="1" si="62"/>
        <v>Male</v>
      </c>
      <c r="D332" s="1">
        <f t="shared" ca="1" si="63"/>
        <v>45641</v>
      </c>
      <c r="E332" s="1">
        <f t="shared" ca="1" si="64"/>
        <v>45643</v>
      </c>
      <c r="F332" t="str">
        <f t="shared" ca="1" si="65"/>
        <v>Hypertension</v>
      </c>
      <c r="G332" t="str">
        <f t="shared" ca="1" si="66"/>
        <v>Surgery</v>
      </c>
      <c r="H332">
        <f t="shared" ca="1" si="67"/>
        <v>2</v>
      </c>
      <c r="I332" t="str">
        <f t="shared" ca="1" si="68"/>
        <v>No</v>
      </c>
      <c r="J332">
        <f t="shared" ca="1" si="69"/>
        <v>4</v>
      </c>
      <c r="K332" t="str">
        <f t="shared" ca="1" si="70"/>
        <v>Private</v>
      </c>
      <c r="L332" t="str">
        <f t="shared" ca="1" si="71"/>
        <v>ER</v>
      </c>
    </row>
    <row r="333" spans="1:12" x14ac:dyDescent="0.25">
      <c r="A333">
        <f t="shared" si="60"/>
        <v>332</v>
      </c>
      <c r="B333">
        <f t="shared" ca="1" si="61"/>
        <v>49</v>
      </c>
      <c r="C333" t="str">
        <f t="shared" ca="1" si="62"/>
        <v>Male</v>
      </c>
      <c r="D333" s="1">
        <f t="shared" ca="1" si="63"/>
        <v>45379</v>
      </c>
      <c r="E333" s="1">
        <f t="shared" ca="1" si="64"/>
        <v>45382</v>
      </c>
      <c r="F333" t="str">
        <f t="shared" ca="1" si="65"/>
        <v>Diabetes</v>
      </c>
      <c r="G333" t="str">
        <f t="shared" ca="1" si="66"/>
        <v>Therapy</v>
      </c>
      <c r="H333">
        <f t="shared" ca="1" si="67"/>
        <v>3</v>
      </c>
      <c r="I333" t="str">
        <f t="shared" ca="1" si="68"/>
        <v>No</v>
      </c>
      <c r="J333">
        <f t="shared" ca="1" si="69"/>
        <v>4</v>
      </c>
      <c r="K333" t="str">
        <f t="shared" ca="1" si="70"/>
        <v>Public</v>
      </c>
      <c r="L333" t="str">
        <f t="shared" ca="1" si="71"/>
        <v>General</v>
      </c>
    </row>
    <row r="334" spans="1:12" x14ac:dyDescent="0.25">
      <c r="A334">
        <f t="shared" si="60"/>
        <v>333</v>
      </c>
      <c r="B334">
        <f t="shared" ca="1" si="61"/>
        <v>24</v>
      </c>
      <c r="C334" t="str">
        <f t="shared" ca="1" si="62"/>
        <v>Female</v>
      </c>
      <c r="D334" s="1">
        <f t="shared" ca="1" si="63"/>
        <v>45647</v>
      </c>
      <c r="E334" s="1">
        <f t="shared" ca="1" si="64"/>
        <v>45648</v>
      </c>
      <c r="F334" t="str">
        <f t="shared" ca="1" si="65"/>
        <v>Diabetes</v>
      </c>
      <c r="G334" t="str">
        <f t="shared" ca="1" si="66"/>
        <v>Therapy</v>
      </c>
      <c r="H334">
        <f t="shared" ca="1" si="67"/>
        <v>1</v>
      </c>
      <c r="I334" t="str">
        <f t="shared" ca="1" si="68"/>
        <v>No</v>
      </c>
      <c r="J334">
        <f t="shared" ca="1" si="69"/>
        <v>0</v>
      </c>
      <c r="K334" t="str">
        <f t="shared" ca="1" si="70"/>
        <v>Private</v>
      </c>
      <c r="L334" t="str">
        <f t="shared" ca="1" si="71"/>
        <v>ICU</v>
      </c>
    </row>
    <row r="335" spans="1:12" x14ac:dyDescent="0.25">
      <c r="A335">
        <f t="shared" si="60"/>
        <v>334</v>
      </c>
      <c r="B335">
        <f t="shared" ca="1" si="61"/>
        <v>57</v>
      </c>
      <c r="C335" t="str">
        <f t="shared" ca="1" si="62"/>
        <v>Male</v>
      </c>
      <c r="D335" s="1">
        <f t="shared" ca="1" si="63"/>
        <v>45351</v>
      </c>
      <c r="E335" s="1">
        <f t="shared" ca="1" si="64"/>
        <v>45366</v>
      </c>
      <c r="F335" t="str">
        <f t="shared" ca="1" si="65"/>
        <v>Hypertension</v>
      </c>
      <c r="G335" t="str">
        <f t="shared" ca="1" si="66"/>
        <v>Therapy</v>
      </c>
      <c r="H335">
        <f t="shared" ca="1" si="67"/>
        <v>15</v>
      </c>
      <c r="I335" t="str">
        <f t="shared" ca="1" si="68"/>
        <v>No</v>
      </c>
      <c r="J335">
        <f t="shared" ca="1" si="69"/>
        <v>3</v>
      </c>
      <c r="K335" t="str">
        <f t="shared" ca="1" si="70"/>
        <v>Public</v>
      </c>
      <c r="L335" t="str">
        <f t="shared" ca="1" si="71"/>
        <v>ICU</v>
      </c>
    </row>
    <row r="336" spans="1:12" x14ac:dyDescent="0.25">
      <c r="A336">
        <f t="shared" si="60"/>
        <v>335</v>
      </c>
      <c r="B336">
        <f t="shared" ca="1" si="61"/>
        <v>41</v>
      </c>
      <c r="C336" t="str">
        <f t="shared" ca="1" si="62"/>
        <v>Male</v>
      </c>
      <c r="D336" s="1">
        <f t="shared" ca="1" si="63"/>
        <v>45327</v>
      </c>
      <c r="E336" s="1">
        <f t="shared" ca="1" si="64"/>
        <v>45340</v>
      </c>
      <c r="F336" t="str">
        <f t="shared" ca="1" si="65"/>
        <v>Pneumonia</v>
      </c>
      <c r="G336" t="str">
        <f t="shared" ca="1" si="66"/>
        <v>Therapy</v>
      </c>
      <c r="H336">
        <f t="shared" ca="1" si="67"/>
        <v>13</v>
      </c>
      <c r="I336" t="str">
        <f t="shared" ca="1" si="68"/>
        <v>No</v>
      </c>
      <c r="J336">
        <f t="shared" ca="1" si="69"/>
        <v>1</v>
      </c>
      <c r="K336" t="str">
        <f t="shared" ca="1" si="70"/>
        <v>Public</v>
      </c>
      <c r="L336" t="str">
        <f t="shared" ca="1" si="71"/>
        <v>ER</v>
      </c>
    </row>
    <row r="337" spans="1:12" x14ac:dyDescent="0.25">
      <c r="A337">
        <f t="shared" si="60"/>
        <v>336</v>
      </c>
      <c r="B337">
        <f t="shared" ca="1" si="61"/>
        <v>62</v>
      </c>
      <c r="C337" t="str">
        <f t="shared" ca="1" si="62"/>
        <v>Male</v>
      </c>
      <c r="D337" s="1">
        <f t="shared" ca="1" si="63"/>
        <v>45541</v>
      </c>
      <c r="E337" s="1">
        <f t="shared" ca="1" si="64"/>
        <v>45546</v>
      </c>
      <c r="F337" t="str">
        <f t="shared" ca="1" si="65"/>
        <v>Pneumonia</v>
      </c>
      <c r="G337" t="str">
        <f t="shared" ca="1" si="66"/>
        <v>Therapy</v>
      </c>
      <c r="H337">
        <f t="shared" ca="1" si="67"/>
        <v>5</v>
      </c>
      <c r="I337" t="str">
        <f t="shared" ca="1" si="68"/>
        <v>No</v>
      </c>
      <c r="J337">
        <f t="shared" ca="1" si="69"/>
        <v>0</v>
      </c>
      <c r="K337" t="str">
        <f t="shared" ca="1" si="70"/>
        <v>None</v>
      </c>
      <c r="L337" t="str">
        <f t="shared" ca="1" si="71"/>
        <v>General</v>
      </c>
    </row>
    <row r="338" spans="1:12" x14ac:dyDescent="0.25">
      <c r="A338">
        <f t="shared" si="60"/>
        <v>337</v>
      </c>
      <c r="B338">
        <f t="shared" ca="1" si="61"/>
        <v>45</v>
      </c>
      <c r="C338" t="str">
        <f t="shared" ca="1" si="62"/>
        <v>Male</v>
      </c>
      <c r="D338" s="1">
        <f t="shared" ca="1" si="63"/>
        <v>45399</v>
      </c>
      <c r="E338" s="1">
        <f t="shared" ca="1" si="64"/>
        <v>45408</v>
      </c>
      <c r="F338" t="str">
        <f t="shared" ca="1" si="65"/>
        <v>Heart Failure</v>
      </c>
      <c r="G338" t="str">
        <f t="shared" ca="1" si="66"/>
        <v>Surgery</v>
      </c>
      <c r="H338">
        <f t="shared" ca="1" si="67"/>
        <v>9</v>
      </c>
      <c r="I338" t="str">
        <f t="shared" ca="1" si="68"/>
        <v>No</v>
      </c>
      <c r="J338">
        <f t="shared" ca="1" si="69"/>
        <v>3</v>
      </c>
      <c r="K338" t="str">
        <f t="shared" ca="1" si="70"/>
        <v>Private</v>
      </c>
      <c r="L338" t="str">
        <f t="shared" ca="1" si="71"/>
        <v>Neurology</v>
      </c>
    </row>
    <row r="339" spans="1:12" x14ac:dyDescent="0.25">
      <c r="A339">
        <f t="shared" si="60"/>
        <v>338</v>
      </c>
      <c r="B339">
        <f t="shared" ca="1" si="61"/>
        <v>48</v>
      </c>
      <c r="C339" t="str">
        <f t="shared" ca="1" si="62"/>
        <v>Female</v>
      </c>
      <c r="D339" s="1">
        <f t="shared" ca="1" si="63"/>
        <v>45406</v>
      </c>
      <c r="E339" s="1">
        <f t="shared" ca="1" si="64"/>
        <v>45414</v>
      </c>
      <c r="F339" t="str">
        <f t="shared" ca="1" si="65"/>
        <v>Heart Failure</v>
      </c>
      <c r="G339" t="str">
        <f t="shared" ca="1" si="66"/>
        <v>Medication</v>
      </c>
      <c r="H339">
        <f t="shared" ca="1" si="67"/>
        <v>8</v>
      </c>
      <c r="I339" t="str">
        <f t="shared" ca="1" si="68"/>
        <v>No</v>
      </c>
      <c r="J339">
        <f t="shared" ca="1" si="69"/>
        <v>4</v>
      </c>
      <c r="K339" t="str">
        <f t="shared" ca="1" si="70"/>
        <v>None</v>
      </c>
      <c r="L339" t="str">
        <f t="shared" ca="1" si="71"/>
        <v>Neurology</v>
      </c>
    </row>
    <row r="340" spans="1:12" x14ac:dyDescent="0.25">
      <c r="A340">
        <f t="shared" si="60"/>
        <v>339</v>
      </c>
      <c r="B340">
        <f t="shared" ca="1" si="61"/>
        <v>28</v>
      </c>
      <c r="C340" t="str">
        <f t="shared" ca="1" si="62"/>
        <v>Female</v>
      </c>
      <c r="D340" s="1">
        <f t="shared" ca="1" si="63"/>
        <v>45517</v>
      </c>
      <c r="E340" s="1">
        <f t="shared" ca="1" si="64"/>
        <v>45528</v>
      </c>
      <c r="F340" t="str">
        <f t="shared" ca="1" si="65"/>
        <v>Diabetes</v>
      </c>
      <c r="G340" t="str">
        <f t="shared" ca="1" si="66"/>
        <v>Therapy</v>
      </c>
      <c r="H340">
        <f t="shared" ca="1" si="67"/>
        <v>11</v>
      </c>
      <c r="I340" t="str">
        <f t="shared" ca="1" si="68"/>
        <v>Yes</v>
      </c>
      <c r="J340">
        <f t="shared" ca="1" si="69"/>
        <v>2</v>
      </c>
      <c r="K340" t="str">
        <f t="shared" ca="1" si="70"/>
        <v>Public</v>
      </c>
      <c r="L340" t="str">
        <f t="shared" ca="1" si="71"/>
        <v>ER</v>
      </c>
    </row>
    <row r="341" spans="1:12" x14ac:dyDescent="0.25">
      <c r="A341">
        <f t="shared" si="60"/>
        <v>340</v>
      </c>
      <c r="B341">
        <f t="shared" ca="1" si="61"/>
        <v>25</v>
      </c>
      <c r="C341" t="str">
        <f t="shared" ca="1" si="62"/>
        <v>Male</v>
      </c>
      <c r="D341" s="1">
        <f t="shared" ca="1" si="63"/>
        <v>45637</v>
      </c>
      <c r="E341" s="1">
        <f t="shared" ca="1" si="64"/>
        <v>45644</v>
      </c>
      <c r="F341" t="str">
        <f t="shared" ca="1" si="65"/>
        <v>Pneumonia</v>
      </c>
      <c r="G341" t="str">
        <f t="shared" ca="1" si="66"/>
        <v>Medication</v>
      </c>
      <c r="H341">
        <f t="shared" ca="1" si="67"/>
        <v>7</v>
      </c>
      <c r="I341" t="str">
        <f t="shared" ca="1" si="68"/>
        <v>No</v>
      </c>
      <c r="J341">
        <f t="shared" ca="1" si="69"/>
        <v>4</v>
      </c>
      <c r="K341" t="str">
        <f t="shared" ca="1" si="70"/>
        <v>Private</v>
      </c>
      <c r="L341" t="str">
        <f t="shared" ca="1" si="71"/>
        <v>General</v>
      </c>
    </row>
    <row r="342" spans="1:12" x14ac:dyDescent="0.25">
      <c r="A342">
        <f t="shared" si="60"/>
        <v>341</v>
      </c>
      <c r="B342">
        <f t="shared" ca="1" si="61"/>
        <v>28</v>
      </c>
      <c r="C342" t="str">
        <f t="shared" ca="1" si="62"/>
        <v>Female</v>
      </c>
      <c r="D342" s="1">
        <f t="shared" ca="1" si="63"/>
        <v>45530</v>
      </c>
      <c r="E342" s="1">
        <f t="shared" ca="1" si="64"/>
        <v>45534</v>
      </c>
      <c r="F342" t="str">
        <f t="shared" ca="1" si="65"/>
        <v>Hypertension</v>
      </c>
      <c r="G342" t="str">
        <f t="shared" ca="1" si="66"/>
        <v>Medication</v>
      </c>
      <c r="H342">
        <f t="shared" ca="1" si="67"/>
        <v>4</v>
      </c>
      <c r="I342" t="str">
        <f t="shared" ca="1" si="68"/>
        <v>No</v>
      </c>
      <c r="J342">
        <f t="shared" ca="1" si="69"/>
        <v>3</v>
      </c>
      <c r="K342" t="str">
        <f t="shared" ca="1" si="70"/>
        <v>Public</v>
      </c>
      <c r="L342" t="str">
        <f t="shared" ca="1" si="71"/>
        <v>ICU</v>
      </c>
    </row>
    <row r="343" spans="1:12" x14ac:dyDescent="0.25">
      <c r="A343">
        <f t="shared" si="60"/>
        <v>342</v>
      </c>
      <c r="B343">
        <f t="shared" ca="1" si="61"/>
        <v>25</v>
      </c>
      <c r="C343" t="str">
        <f t="shared" ca="1" si="62"/>
        <v>Male</v>
      </c>
      <c r="D343" s="1">
        <f t="shared" ca="1" si="63"/>
        <v>45441</v>
      </c>
      <c r="E343" s="1">
        <f t="shared" ca="1" si="64"/>
        <v>45449</v>
      </c>
      <c r="F343" t="str">
        <f t="shared" ca="1" si="65"/>
        <v>Heart Failure</v>
      </c>
      <c r="G343" t="str">
        <f t="shared" ca="1" si="66"/>
        <v>Surgery</v>
      </c>
      <c r="H343">
        <f t="shared" ca="1" si="67"/>
        <v>8</v>
      </c>
      <c r="I343" t="str">
        <f t="shared" ca="1" si="68"/>
        <v>No</v>
      </c>
      <c r="J343">
        <f t="shared" ca="1" si="69"/>
        <v>2</v>
      </c>
      <c r="K343" t="str">
        <f t="shared" ca="1" si="70"/>
        <v>Private</v>
      </c>
      <c r="L343" t="str">
        <f t="shared" ca="1" si="71"/>
        <v>ER</v>
      </c>
    </row>
    <row r="344" spans="1:12" x14ac:dyDescent="0.25">
      <c r="A344">
        <f t="shared" si="60"/>
        <v>343</v>
      </c>
      <c r="B344">
        <f t="shared" ca="1" si="61"/>
        <v>57</v>
      </c>
      <c r="C344" t="str">
        <f t="shared" ca="1" si="62"/>
        <v>Male</v>
      </c>
      <c r="D344" s="1">
        <f t="shared" ca="1" si="63"/>
        <v>45306</v>
      </c>
      <c r="E344" s="1">
        <f t="shared" ca="1" si="64"/>
        <v>45321</v>
      </c>
      <c r="F344" t="str">
        <f t="shared" ca="1" si="65"/>
        <v>Stroke</v>
      </c>
      <c r="G344" t="str">
        <f t="shared" ca="1" si="66"/>
        <v>Therapy</v>
      </c>
      <c r="H344">
        <f t="shared" ca="1" si="67"/>
        <v>15</v>
      </c>
      <c r="I344" t="str">
        <f t="shared" ca="1" si="68"/>
        <v>No</v>
      </c>
      <c r="J344">
        <f t="shared" ca="1" si="69"/>
        <v>4</v>
      </c>
      <c r="K344" t="str">
        <f t="shared" ca="1" si="70"/>
        <v>Public</v>
      </c>
      <c r="L344" t="str">
        <f t="shared" ca="1" si="71"/>
        <v>Cardiology</v>
      </c>
    </row>
    <row r="345" spans="1:12" x14ac:dyDescent="0.25">
      <c r="A345">
        <f t="shared" si="60"/>
        <v>344</v>
      </c>
      <c r="B345">
        <f t="shared" ca="1" si="61"/>
        <v>67</v>
      </c>
      <c r="C345" t="str">
        <f t="shared" ca="1" si="62"/>
        <v>Male</v>
      </c>
      <c r="D345" s="1">
        <f t="shared" ca="1" si="63"/>
        <v>45409</v>
      </c>
      <c r="E345" s="1">
        <f t="shared" ca="1" si="64"/>
        <v>45423</v>
      </c>
      <c r="F345" t="str">
        <f t="shared" ca="1" si="65"/>
        <v>Hypertension</v>
      </c>
      <c r="G345" t="str">
        <f t="shared" ca="1" si="66"/>
        <v>Therapy</v>
      </c>
      <c r="H345">
        <f t="shared" ca="1" si="67"/>
        <v>14</v>
      </c>
      <c r="I345" t="str">
        <f t="shared" ca="1" si="68"/>
        <v>Yes</v>
      </c>
      <c r="J345">
        <f t="shared" ca="1" si="69"/>
        <v>3</v>
      </c>
      <c r="K345" t="str">
        <f t="shared" ca="1" si="70"/>
        <v>None</v>
      </c>
      <c r="L345" t="str">
        <f t="shared" ca="1" si="71"/>
        <v>Cardiology</v>
      </c>
    </row>
    <row r="346" spans="1:12" x14ac:dyDescent="0.25">
      <c r="A346">
        <f t="shared" si="60"/>
        <v>345</v>
      </c>
      <c r="B346">
        <f t="shared" ca="1" si="61"/>
        <v>48</v>
      </c>
      <c r="C346" t="str">
        <f t="shared" ca="1" si="62"/>
        <v>Male</v>
      </c>
      <c r="D346" s="1">
        <f t="shared" ca="1" si="63"/>
        <v>45387</v>
      </c>
      <c r="E346" s="1">
        <f t="shared" ca="1" si="64"/>
        <v>45389</v>
      </c>
      <c r="F346" t="str">
        <f t="shared" ca="1" si="65"/>
        <v>Hypertension</v>
      </c>
      <c r="G346" t="str">
        <f t="shared" ca="1" si="66"/>
        <v>Therapy</v>
      </c>
      <c r="H346">
        <f t="shared" ca="1" si="67"/>
        <v>2</v>
      </c>
      <c r="I346" t="str">
        <f t="shared" ca="1" si="68"/>
        <v>Yes</v>
      </c>
      <c r="J346">
        <f t="shared" ca="1" si="69"/>
        <v>1</v>
      </c>
      <c r="K346" t="str">
        <f t="shared" ca="1" si="70"/>
        <v>Public</v>
      </c>
      <c r="L346" t="str">
        <f t="shared" ca="1" si="71"/>
        <v>ICU</v>
      </c>
    </row>
    <row r="347" spans="1:12" x14ac:dyDescent="0.25">
      <c r="A347">
        <f t="shared" si="60"/>
        <v>346</v>
      </c>
      <c r="B347">
        <f t="shared" ca="1" si="61"/>
        <v>44</v>
      </c>
      <c r="C347" t="str">
        <f t="shared" ca="1" si="62"/>
        <v>Male</v>
      </c>
      <c r="D347" s="1">
        <f t="shared" ca="1" si="63"/>
        <v>45511</v>
      </c>
      <c r="E347" s="1">
        <f t="shared" ca="1" si="64"/>
        <v>45512</v>
      </c>
      <c r="F347" t="str">
        <f t="shared" ca="1" si="65"/>
        <v>Hypertension</v>
      </c>
      <c r="G347" t="str">
        <f t="shared" ca="1" si="66"/>
        <v>Medication</v>
      </c>
      <c r="H347">
        <f t="shared" ca="1" si="67"/>
        <v>1</v>
      </c>
      <c r="I347" t="str">
        <f t="shared" ca="1" si="68"/>
        <v>No</v>
      </c>
      <c r="J347">
        <f t="shared" ca="1" si="69"/>
        <v>1</v>
      </c>
      <c r="K347" t="str">
        <f t="shared" ca="1" si="70"/>
        <v>None</v>
      </c>
      <c r="L347" t="str">
        <f t="shared" ca="1" si="71"/>
        <v>ICU</v>
      </c>
    </row>
    <row r="348" spans="1:12" x14ac:dyDescent="0.25">
      <c r="A348">
        <f t="shared" si="60"/>
        <v>347</v>
      </c>
      <c r="B348">
        <f t="shared" ca="1" si="61"/>
        <v>89</v>
      </c>
      <c r="C348" t="str">
        <f t="shared" ca="1" si="62"/>
        <v>Male</v>
      </c>
      <c r="D348" s="1">
        <f t="shared" ca="1" si="63"/>
        <v>45389</v>
      </c>
      <c r="E348" s="1">
        <f t="shared" ca="1" si="64"/>
        <v>45391</v>
      </c>
      <c r="F348" t="str">
        <f t="shared" ca="1" si="65"/>
        <v>Hypertension</v>
      </c>
      <c r="G348" t="str">
        <f t="shared" ca="1" si="66"/>
        <v>Surgery</v>
      </c>
      <c r="H348">
        <f t="shared" ca="1" si="67"/>
        <v>2</v>
      </c>
      <c r="I348" t="str">
        <f t="shared" ca="1" si="68"/>
        <v>No</v>
      </c>
      <c r="J348">
        <f t="shared" ca="1" si="69"/>
        <v>1</v>
      </c>
      <c r="K348" t="str">
        <f t="shared" ca="1" si="70"/>
        <v>Public</v>
      </c>
      <c r="L348" t="str">
        <f t="shared" ca="1" si="71"/>
        <v>ER</v>
      </c>
    </row>
    <row r="349" spans="1:12" x14ac:dyDescent="0.25">
      <c r="A349">
        <f t="shared" si="60"/>
        <v>348</v>
      </c>
      <c r="B349">
        <f t="shared" ca="1" si="61"/>
        <v>40</v>
      </c>
      <c r="C349" t="str">
        <f t="shared" ca="1" si="62"/>
        <v>Male</v>
      </c>
      <c r="D349" s="1">
        <f t="shared" ca="1" si="63"/>
        <v>45502</v>
      </c>
      <c r="E349" s="1">
        <f t="shared" ca="1" si="64"/>
        <v>45517</v>
      </c>
      <c r="F349" t="str">
        <f t="shared" ca="1" si="65"/>
        <v>Stroke</v>
      </c>
      <c r="G349" t="str">
        <f t="shared" ca="1" si="66"/>
        <v>Surgery</v>
      </c>
      <c r="H349">
        <f t="shared" ca="1" si="67"/>
        <v>15</v>
      </c>
      <c r="I349" t="str">
        <f t="shared" ca="1" si="68"/>
        <v>No</v>
      </c>
      <c r="J349">
        <f t="shared" ca="1" si="69"/>
        <v>0</v>
      </c>
      <c r="K349" t="str">
        <f t="shared" ca="1" si="70"/>
        <v>Public</v>
      </c>
      <c r="L349" t="str">
        <f t="shared" ca="1" si="71"/>
        <v>General</v>
      </c>
    </row>
    <row r="350" spans="1:12" x14ac:dyDescent="0.25">
      <c r="A350">
        <f t="shared" si="60"/>
        <v>349</v>
      </c>
      <c r="B350">
        <f t="shared" ca="1" si="61"/>
        <v>82</v>
      </c>
      <c r="C350" t="str">
        <f t="shared" ca="1" si="62"/>
        <v>Male</v>
      </c>
      <c r="D350" s="1">
        <f t="shared" ca="1" si="63"/>
        <v>45469</v>
      </c>
      <c r="E350" s="1">
        <f t="shared" ca="1" si="64"/>
        <v>45482</v>
      </c>
      <c r="F350" t="str">
        <f t="shared" ca="1" si="65"/>
        <v>Diabetes</v>
      </c>
      <c r="G350" t="str">
        <f t="shared" ca="1" si="66"/>
        <v>Surgery</v>
      </c>
      <c r="H350">
        <f t="shared" ca="1" si="67"/>
        <v>13</v>
      </c>
      <c r="I350" t="str">
        <f t="shared" ca="1" si="68"/>
        <v>No</v>
      </c>
      <c r="J350">
        <f t="shared" ca="1" si="69"/>
        <v>4</v>
      </c>
      <c r="K350" t="str">
        <f t="shared" ca="1" si="70"/>
        <v>Public</v>
      </c>
      <c r="L350" t="str">
        <f t="shared" ca="1" si="71"/>
        <v>Neurology</v>
      </c>
    </row>
    <row r="351" spans="1:12" x14ac:dyDescent="0.25">
      <c r="A351">
        <f t="shared" si="60"/>
        <v>350</v>
      </c>
      <c r="B351">
        <f t="shared" ca="1" si="61"/>
        <v>31</v>
      </c>
      <c r="C351" t="str">
        <f t="shared" ca="1" si="62"/>
        <v>Male</v>
      </c>
      <c r="D351" s="1">
        <f t="shared" ca="1" si="63"/>
        <v>45433</v>
      </c>
      <c r="E351" s="1">
        <f t="shared" ca="1" si="64"/>
        <v>45439</v>
      </c>
      <c r="F351" t="str">
        <f t="shared" ca="1" si="65"/>
        <v>Pneumonia</v>
      </c>
      <c r="G351" t="str">
        <f t="shared" ca="1" si="66"/>
        <v>Surgery</v>
      </c>
      <c r="H351">
        <f t="shared" ca="1" si="67"/>
        <v>6</v>
      </c>
      <c r="I351" t="str">
        <f t="shared" ca="1" si="68"/>
        <v>Yes</v>
      </c>
      <c r="J351">
        <f t="shared" ca="1" si="69"/>
        <v>4</v>
      </c>
      <c r="K351" t="str">
        <f t="shared" ca="1" si="70"/>
        <v>Private</v>
      </c>
      <c r="L351" t="str">
        <f t="shared" ca="1" si="71"/>
        <v>Neurology</v>
      </c>
    </row>
    <row r="352" spans="1:12" x14ac:dyDescent="0.25">
      <c r="A352">
        <f t="shared" si="60"/>
        <v>351</v>
      </c>
      <c r="B352">
        <f t="shared" ca="1" si="61"/>
        <v>31</v>
      </c>
      <c r="C352" t="str">
        <f t="shared" ca="1" si="62"/>
        <v>Female</v>
      </c>
      <c r="D352" s="1">
        <f t="shared" ca="1" si="63"/>
        <v>45564</v>
      </c>
      <c r="E352" s="1">
        <f t="shared" ca="1" si="64"/>
        <v>45579</v>
      </c>
      <c r="F352" t="str">
        <f t="shared" ca="1" si="65"/>
        <v>Heart Failure</v>
      </c>
      <c r="G352" t="str">
        <f t="shared" ca="1" si="66"/>
        <v>Medication</v>
      </c>
      <c r="H352">
        <f t="shared" ca="1" si="67"/>
        <v>15</v>
      </c>
      <c r="I352" t="str">
        <f t="shared" ca="1" si="68"/>
        <v>No</v>
      </c>
      <c r="J352">
        <f t="shared" ca="1" si="69"/>
        <v>4</v>
      </c>
      <c r="K352" t="str">
        <f t="shared" ca="1" si="70"/>
        <v>Public</v>
      </c>
      <c r="L352" t="str">
        <f t="shared" ca="1" si="71"/>
        <v>ICU</v>
      </c>
    </row>
    <row r="353" spans="1:12" x14ac:dyDescent="0.25">
      <c r="A353">
        <f t="shared" si="60"/>
        <v>352</v>
      </c>
      <c r="B353">
        <f t="shared" ca="1" si="61"/>
        <v>37</v>
      </c>
      <c r="C353" t="str">
        <f t="shared" ca="1" si="62"/>
        <v>Male</v>
      </c>
      <c r="D353" s="1">
        <f t="shared" ca="1" si="63"/>
        <v>45479</v>
      </c>
      <c r="E353" s="1">
        <f t="shared" ca="1" si="64"/>
        <v>45483</v>
      </c>
      <c r="F353" t="str">
        <f t="shared" ca="1" si="65"/>
        <v>Heart Failure</v>
      </c>
      <c r="G353" t="str">
        <f t="shared" ca="1" si="66"/>
        <v>Therapy</v>
      </c>
      <c r="H353">
        <f t="shared" ca="1" si="67"/>
        <v>4</v>
      </c>
      <c r="I353" t="str">
        <f t="shared" ca="1" si="68"/>
        <v>No</v>
      </c>
      <c r="J353">
        <f t="shared" ca="1" si="69"/>
        <v>2</v>
      </c>
      <c r="K353" t="str">
        <f t="shared" ca="1" si="70"/>
        <v>Public</v>
      </c>
      <c r="L353" t="str">
        <f t="shared" ca="1" si="71"/>
        <v>ICU</v>
      </c>
    </row>
    <row r="354" spans="1:12" x14ac:dyDescent="0.25">
      <c r="A354">
        <f t="shared" si="60"/>
        <v>353</v>
      </c>
      <c r="B354">
        <f t="shared" ca="1" si="61"/>
        <v>55</v>
      </c>
      <c r="C354" t="str">
        <f t="shared" ca="1" si="62"/>
        <v>Male</v>
      </c>
      <c r="D354" s="1">
        <f t="shared" ca="1" si="63"/>
        <v>45415</v>
      </c>
      <c r="E354" s="1">
        <f t="shared" ca="1" si="64"/>
        <v>45423</v>
      </c>
      <c r="F354" t="str">
        <f t="shared" ca="1" si="65"/>
        <v>Diabetes</v>
      </c>
      <c r="G354" t="str">
        <f t="shared" ca="1" si="66"/>
        <v>Medication</v>
      </c>
      <c r="H354">
        <f t="shared" ca="1" si="67"/>
        <v>8</v>
      </c>
      <c r="I354" t="str">
        <f t="shared" ca="1" si="68"/>
        <v>No</v>
      </c>
      <c r="J354">
        <f t="shared" ca="1" si="69"/>
        <v>2</v>
      </c>
      <c r="K354" t="str">
        <f t="shared" ca="1" si="70"/>
        <v>None</v>
      </c>
      <c r="L354" t="str">
        <f t="shared" ca="1" si="71"/>
        <v>General</v>
      </c>
    </row>
    <row r="355" spans="1:12" x14ac:dyDescent="0.25">
      <c r="A355">
        <f t="shared" si="60"/>
        <v>354</v>
      </c>
      <c r="B355">
        <f t="shared" ca="1" si="61"/>
        <v>41</v>
      </c>
      <c r="C355" t="str">
        <f t="shared" ca="1" si="62"/>
        <v>Female</v>
      </c>
      <c r="D355" s="1">
        <f t="shared" ca="1" si="63"/>
        <v>45387</v>
      </c>
      <c r="E355" s="1">
        <f t="shared" ca="1" si="64"/>
        <v>45400</v>
      </c>
      <c r="F355" t="str">
        <f t="shared" ca="1" si="65"/>
        <v>Pneumonia</v>
      </c>
      <c r="G355" t="str">
        <f t="shared" ca="1" si="66"/>
        <v>Medication</v>
      </c>
      <c r="H355">
        <f t="shared" ca="1" si="67"/>
        <v>13</v>
      </c>
      <c r="I355" t="str">
        <f t="shared" ca="1" si="68"/>
        <v>No</v>
      </c>
      <c r="J355">
        <f t="shared" ca="1" si="69"/>
        <v>3</v>
      </c>
      <c r="K355" t="str">
        <f t="shared" ca="1" si="70"/>
        <v>None</v>
      </c>
      <c r="L355" t="str">
        <f t="shared" ca="1" si="71"/>
        <v>ER</v>
      </c>
    </row>
    <row r="356" spans="1:12" x14ac:dyDescent="0.25">
      <c r="A356">
        <f t="shared" si="60"/>
        <v>355</v>
      </c>
      <c r="B356">
        <f t="shared" ca="1" si="61"/>
        <v>78</v>
      </c>
      <c r="C356" t="str">
        <f t="shared" ca="1" si="62"/>
        <v>Female</v>
      </c>
      <c r="D356" s="1">
        <f t="shared" ca="1" si="63"/>
        <v>45427</v>
      </c>
      <c r="E356" s="1">
        <f t="shared" ca="1" si="64"/>
        <v>45435</v>
      </c>
      <c r="F356" t="str">
        <f t="shared" ca="1" si="65"/>
        <v>Diabetes</v>
      </c>
      <c r="G356" t="str">
        <f t="shared" ca="1" si="66"/>
        <v>Surgery</v>
      </c>
      <c r="H356">
        <f t="shared" ca="1" si="67"/>
        <v>8</v>
      </c>
      <c r="I356" t="str">
        <f t="shared" ca="1" si="68"/>
        <v>Yes</v>
      </c>
      <c r="J356">
        <f t="shared" ca="1" si="69"/>
        <v>0</v>
      </c>
      <c r="K356" t="str">
        <f t="shared" ca="1" si="70"/>
        <v>Private</v>
      </c>
      <c r="L356" t="str">
        <f t="shared" ca="1" si="71"/>
        <v>ICU</v>
      </c>
    </row>
    <row r="357" spans="1:12" x14ac:dyDescent="0.25">
      <c r="A357">
        <f t="shared" si="60"/>
        <v>356</v>
      </c>
      <c r="B357">
        <f t="shared" ca="1" si="61"/>
        <v>33</v>
      </c>
      <c r="C357" t="str">
        <f t="shared" ca="1" si="62"/>
        <v>Male</v>
      </c>
      <c r="D357" s="1">
        <f t="shared" ca="1" si="63"/>
        <v>45497</v>
      </c>
      <c r="E357" s="1">
        <f t="shared" ca="1" si="64"/>
        <v>45508</v>
      </c>
      <c r="F357" t="str">
        <f t="shared" ca="1" si="65"/>
        <v>Diabetes</v>
      </c>
      <c r="G357" t="str">
        <f t="shared" ca="1" si="66"/>
        <v>Therapy</v>
      </c>
      <c r="H357">
        <f t="shared" ca="1" si="67"/>
        <v>11</v>
      </c>
      <c r="I357" t="str">
        <f t="shared" ca="1" si="68"/>
        <v>No</v>
      </c>
      <c r="J357">
        <f t="shared" ca="1" si="69"/>
        <v>1</v>
      </c>
      <c r="K357" t="str">
        <f t="shared" ca="1" si="70"/>
        <v>None</v>
      </c>
      <c r="L357" t="str">
        <f t="shared" ca="1" si="71"/>
        <v>Cardiology</v>
      </c>
    </row>
    <row r="358" spans="1:12" x14ac:dyDescent="0.25">
      <c r="A358">
        <f t="shared" si="60"/>
        <v>357</v>
      </c>
      <c r="B358">
        <f t="shared" ca="1" si="61"/>
        <v>88</v>
      </c>
      <c r="C358" t="str">
        <f t="shared" ca="1" si="62"/>
        <v>Female</v>
      </c>
      <c r="D358" s="1">
        <f t="shared" ca="1" si="63"/>
        <v>45323</v>
      </c>
      <c r="E358" s="1">
        <f t="shared" ca="1" si="64"/>
        <v>45335</v>
      </c>
      <c r="F358" t="str">
        <f t="shared" ca="1" si="65"/>
        <v>Pneumonia</v>
      </c>
      <c r="G358" t="str">
        <f t="shared" ca="1" si="66"/>
        <v>Surgery</v>
      </c>
      <c r="H358">
        <f t="shared" ca="1" si="67"/>
        <v>12</v>
      </c>
      <c r="I358" t="str">
        <f t="shared" ca="1" si="68"/>
        <v>No</v>
      </c>
      <c r="J358">
        <f t="shared" ca="1" si="69"/>
        <v>4</v>
      </c>
      <c r="K358" t="str">
        <f t="shared" ca="1" si="70"/>
        <v>Private</v>
      </c>
      <c r="L358" t="str">
        <f t="shared" ca="1" si="71"/>
        <v>ER</v>
      </c>
    </row>
    <row r="359" spans="1:12" x14ac:dyDescent="0.25">
      <c r="A359">
        <f t="shared" si="60"/>
        <v>358</v>
      </c>
      <c r="B359">
        <f t="shared" ca="1" si="61"/>
        <v>27</v>
      </c>
      <c r="C359" t="str">
        <f t="shared" ca="1" si="62"/>
        <v>Male</v>
      </c>
      <c r="D359" s="1">
        <f t="shared" ca="1" si="63"/>
        <v>45390</v>
      </c>
      <c r="E359" s="1">
        <f t="shared" ca="1" si="64"/>
        <v>45403</v>
      </c>
      <c r="F359" t="str">
        <f t="shared" ca="1" si="65"/>
        <v>Pneumonia</v>
      </c>
      <c r="G359" t="str">
        <f t="shared" ca="1" si="66"/>
        <v>Therapy</v>
      </c>
      <c r="H359">
        <f t="shared" ca="1" si="67"/>
        <v>13</v>
      </c>
      <c r="I359" t="str">
        <f t="shared" ca="1" si="68"/>
        <v>Yes</v>
      </c>
      <c r="J359">
        <f t="shared" ca="1" si="69"/>
        <v>4</v>
      </c>
      <c r="K359" t="str">
        <f t="shared" ca="1" si="70"/>
        <v>Public</v>
      </c>
      <c r="L359" t="str">
        <f t="shared" ca="1" si="71"/>
        <v>Cardiology</v>
      </c>
    </row>
    <row r="360" spans="1:12" x14ac:dyDescent="0.25">
      <c r="A360">
        <f t="shared" si="60"/>
        <v>359</v>
      </c>
      <c r="B360">
        <f t="shared" ca="1" si="61"/>
        <v>35</v>
      </c>
      <c r="C360" t="str">
        <f t="shared" ca="1" si="62"/>
        <v>Male</v>
      </c>
      <c r="D360" s="1">
        <f t="shared" ca="1" si="63"/>
        <v>45498</v>
      </c>
      <c r="E360" s="1">
        <f t="shared" ca="1" si="64"/>
        <v>45509</v>
      </c>
      <c r="F360" t="str">
        <f t="shared" ca="1" si="65"/>
        <v>Heart Failure</v>
      </c>
      <c r="G360" t="str">
        <f t="shared" ca="1" si="66"/>
        <v>Medication</v>
      </c>
      <c r="H360">
        <f t="shared" ca="1" si="67"/>
        <v>11</v>
      </c>
      <c r="I360" t="str">
        <f t="shared" ca="1" si="68"/>
        <v>Yes</v>
      </c>
      <c r="J360">
        <f t="shared" ca="1" si="69"/>
        <v>3</v>
      </c>
      <c r="K360" t="str">
        <f t="shared" ca="1" si="70"/>
        <v>None</v>
      </c>
      <c r="L360" t="str">
        <f t="shared" ca="1" si="71"/>
        <v>Neurology</v>
      </c>
    </row>
    <row r="361" spans="1:12" x14ac:dyDescent="0.25">
      <c r="A361">
        <f t="shared" si="60"/>
        <v>360</v>
      </c>
      <c r="B361">
        <f t="shared" ca="1" si="61"/>
        <v>62</v>
      </c>
      <c r="C361" t="str">
        <f t="shared" ca="1" si="62"/>
        <v>Female</v>
      </c>
      <c r="D361" s="1">
        <f t="shared" ca="1" si="63"/>
        <v>45510</v>
      </c>
      <c r="E361" s="1">
        <f t="shared" ca="1" si="64"/>
        <v>45523</v>
      </c>
      <c r="F361" t="str">
        <f t="shared" ca="1" si="65"/>
        <v>Heart Failure</v>
      </c>
      <c r="G361" t="str">
        <f t="shared" ca="1" si="66"/>
        <v>Therapy</v>
      </c>
      <c r="H361">
        <f t="shared" ca="1" si="67"/>
        <v>13</v>
      </c>
      <c r="I361" t="str">
        <f t="shared" ca="1" si="68"/>
        <v>Yes</v>
      </c>
      <c r="J361">
        <f t="shared" ca="1" si="69"/>
        <v>4</v>
      </c>
      <c r="K361" t="str">
        <f t="shared" ca="1" si="70"/>
        <v>Public</v>
      </c>
      <c r="L361" t="str">
        <f t="shared" ca="1" si="71"/>
        <v>ICU</v>
      </c>
    </row>
    <row r="362" spans="1:12" x14ac:dyDescent="0.25">
      <c r="A362">
        <f t="shared" si="60"/>
        <v>361</v>
      </c>
      <c r="B362">
        <f t="shared" ca="1" si="61"/>
        <v>32</v>
      </c>
      <c r="C362" t="str">
        <f t="shared" ca="1" si="62"/>
        <v>Female</v>
      </c>
      <c r="D362" s="1">
        <f t="shared" ca="1" si="63"/>
        <v>45614</v>
      </c>
      <c r="E362" s="1">
        <f t="shared" ca="1" si="64"/>
        <v>45629</v>
      </c>
      <c r="F362" t="str">
        <f t="shared" ca="1" si="65"/>
        <v>Stroke</v>
      </c>
      <c r="G362" t="str">
        <f t="shared" ca="1" si="66"/>
        <v>Surgery</v>
      </c>
      <c r="H362">
        <f t="shared" ca="1" si="67"/>
        <v>15</v>
      </c>
      <c r="I362" t="str">
        <f t="shared" ca="1" si="68"/>
        <v>No</v>
      </c>
      <c r="J362">
        <f t="shared" ca="1" si="69"/>
        <v>3</v>
      </c>
      <c r="K362" t="str">
        <f t="shared" ca="1" si="70"/>
        <v>Public</v>
      </c>
      <c r="L362" t="str">
        <f t="shared" ca="1" si="71"/>
        <v>Neurology</v>
      </c>
    </row>
    <row r="363" spans="1:12" x14ac:dyDescent="0.25">
      <c r="A363">
        <f t="shared" si="60"/>
        <v>362</v>
      </c>
      <c r="B363">
        <f t="shared" ca="1" si="61"/>
        <v>89</v>
      </c>
      <c r="C363" t="str">
        <f t="shared" ca="1" si="62"/>
        <v>Female</v>
      </c>
      <c r="D363" s="1">
        <f t="shared" ca="1" si="63"/>
        <v>45521</v>
      </c>
      <c r="E363" s="1">
        <f t="shared" ca="1" si="64"/>
        <v>45528</v>
      </c>
      <c r="F363" t="str">
        <f t="shared" ca="1" si="65"/>
        <v>Heart Failure</v>
      </c>
      <c r="G363" t="str">
        <f t="shared" ca="1" si="66"/>
        <v>Therapy</v>
      </c>
      <c r="H363">
        <f t="shared" ca="1" si="67"/>
        <v>7</v>
      </c>
      <c r="I363" t="str">
        <f t="shared" ca="1" si="68"/>
        <v>Yes</v>
      </c>
      <c r="J363">
        <f t="shared" ca="1" si="69"/>
        <v>2</v>
      </c>
      <c r="K363" t="str">
        <f t="shared" ca="1" si="70"/>
        <v>Private</v>
      </c>
      <c r="L363" t="str">
        <f t="shared" ca="1" si="71"/>
        <v>ICU</v>
      </c>
    </row>
    <row r="364" spans="1:12" x14ac:dyDescent="0.25">
      <c r="A364">
        <f t="shared" si="60"/>
        <v>363</v>
      </c>
      <c r="B364">
        <f t="shared" ca="1" si="61"/>
        <v>43</v>
      </c>
      <c r="C364" t="str">
        <f t="shared" ca="1" si="62"/>
        <v>Male</v>
      </c>
      <c r="D364" s="1">
        <f t="shared" ca="1" si="63"/>
        <v>45584</v>
      </c>
      <c r="E364" s="1">
        <f t="shared" ca="1" si="64"/>
        <v>45599</v>
      </c>
      <c r="F364" t="str">
        <f t="shared" ca="1" si="65"/>
        <v>Stroke</v>
      </c>
      <c r="G364" t="str">
        <f t="shared" ca="1" si="66"/>
        <v>Medication</v>
      </c>
      <c r="H364">
        <f t="shared" ca="1" si="67"/>
        <v>15</v>
      </c>
      <c r="I364" t="str">
        <f t="shared" ca="1" si="68"/>
        <v>No</v>
      </c>
      <c r="J364">
        <f t="shared" ca="1" si="69"/>
        <v>3</v>
      </c>
      <c r="K364" t="str">
        <f t="shared" ca="1" si="70"/>
        <v>Private</v>
      </c>
      <c r="L364" t="str">
        <f t="shared" ca="1" si="71"/>
        <v>ER</v>
      </c>
    </row>
    <row r="365" spans="1:12" x14ac:dyDescent="0.25">
      <c r="A365">
        <f t="shared" si="60"/>
        <v>364</v>
      </c>
      <c r="B365">
        <f t="shared" ca="1" si="61"/>
        <v>59</v>
      </c>
      <c r="C365" t="str">
        <f t="shared" ca="1" si="62"/>
        <v>Male</v>
      </c>
      <c r="D365" s="1">
        <f t="shared" ca="1" si="63"/>
        <v>45392</v>
      </c>
      <c r="E365" s="1">
        <f t="shared" ca="1" si="64"/>
        <v>45397</v>
      </c>
      <c r="F365" t="str">
        <f t="shared" ca="1" si="65"/>
        <v>Stroke</v>
      </c>
      <c r="G365" t="str">
        <f t="shared" ca="1" si="66"/>
        <v>Medication</v>
      </c>
      <c r="H365">
        <f t="shared" ca="1" si="67"/>
        <v>5</v>
      </c>
      <c r="I365" t="str">
        <f t="shared" ca="1" si="68"/>
        <v>No</v>
      </c>
      <c r="J365">
        <f t="shared" ca="1" si="69"/>
        <v>4</v>
      </c>
      <c r="K365" t="str">
        <f t="shared" ca="1" si="70"/>
        <v>None</v>
      </c>
      <c r="L365" t="str">
        <f t="shared" ca="1" si="71"/>
        <v>ER</v>
      </c>
    </row>
    <row r="366" spans="1:12" x14ac:dyDescent="0.25">
      <c r="A366">
        <f t="shared" si="60"/>
        <v>365</v>
      </c>
      <c r="B366">
        <f t="shared" ca="1" si="61"/>
        <v>35</v>
      </c>
      <c r="C366" t="str">
        <f t="shared" ca="1" si="62"/>
        <v>Male</v>
      </c>
      <c r="D366" s="1">
        <f t="shared" ca="1" si="63"/>
        <v>45621</v>
      </c>
      <c r="E366" s="1">
        <f t="shared" ca="1" si="64"/>
        <v>45636</v>
      </c>
      <c r="F366" t="str">
        <f t="shared" ca="1" si="65"/>
        <v>Hypertension</v>
      </c>
      <c r="G366" t="str">
        <f t="shared" ca="1" si="66"/>
        <v>Medication</v>
      </c>
      <c r="H366">
        <f t="shared" ca="1" si="67"/>
        <v>15</v>
      </c>
      <c r="I366" t="str">
        <f t="shared" ca="1" si="68"/>
        <v>No</v>
      </c>
      <c r="J366">
        <f t="shared" ca="1" si="69"/>
        <v>2</v>
      </c>
      <c r="K366" t="str">
        <f t="shared" ca="1" si="70"/>
        <v>None</v>
      </c>
      <c r="L366" t="str">
        <f t="shared" ca="1" si="71"/>
        <v>General</v>
      </c>
    </row>
    <row r="367" spans="1:12" x14ac:dyDescent="0.25">
      <c r="A367">
        <f t="shared" si="60"/>
        <v>366</v>
      </c>
      <c r="B367">
        <f t="shared" ca="1" si="61"/>
        <v>62</v>
      </c>
      <c r="C367" t="str">
        <f t="shared" ca="1" si="62"/>
        <v>Male</v>
      </c>
      <c r="D367" s="1">
        <f t="shared" ca="1" si="63"/>
        <v>45581</v>
      </c>
      <c r="E367" s="1">
        <f t="shared" ca="1" si="64"/>
        <v>45582</v>
      </c>
      <c r="F367" t="str">
        <f t="shared" ca="1" si="65"/>
        <v>Diabetes</v>
      </c>
      <c r="G367" t="str">
        <f t="shared" ca="1" si="66"/>
        <v>Therapy</v>
      </c>
      <c r="H367">
        <f t="shared" ca="1" si="67"/>
        <v>1</v>
      </c>
      <c r="I367" t="str">
        <f t="shared" ca="1" si="68"/>
        <v>No</v>
      </c>
      <c r="J367">
        <f t="shared" ca="1" si="69"/>
        <v>2</v>
      </c>
      <c r="K367" t="str">
        <f t="shared" ca="1" si="70"/>
        <v>None</v>
      </c>
      <c r="L367" t="str">
        <f t="shared" ca="1" si="71"/>
        <v>General</v>
      </c>
    </row>
    <row r="368" spans="1:12" x14ac:dyDescent="0.25">
      <c r="A368">
        <f t="shared" si="60"/>
        <v>367</v>
      </c>
      <c r="B368">
        <f t="shared" ca="1" si="61"/>
        <v>32</v>
      </c>
      <c r="C368" t="str">
        <f t="shared" ca="1" si="62"/>
        <v>Female</v>
      </c>
      <c r="D368" s="1">
        <f t="shared" ca="1" si="63"/>
        <v>45585</v>
      </c>
      <c r="E368" s="1">
        <f t="shared" ca="1" si="64"/>
        <v>45592</v>
      </c>
      <c r="F368" t="str">
        <f t="shared" ca="1" si="65"/>
        <v>Stroke</v>
      </c>
      <c r="G368" t="str">
        <f t="shared" ca="1" si="66"/>
        <v>Surgery</v>
      </c>
      <c r="H368">
        <f t="shared" ca="1" si="67"/>
        <v>7</v>
      </c>
      <c r="I368" t="str">
        <f t="shared" ca="1" si="68"/>
        <v>No</v>
      </c>
      <c r="J368">
        <f t="shared" ca="1" si="69"/>
        <v>0</v>
      </c>
      <c r="K368" t="str">
        <f t="shared" ca="1" si="70"/>
        <v>None</v>
      </c>
      <c r="L368" t="str">
        <f t="shared" ca="1" si="71"/>
        <v>Neurology</v>
      </c>
    </row>
    <row r="369" spans="1:12" x14ac:dyDescent="0.25">
      <c r="A369">
        <f t="shared" si="60"/>
        <v>368</v>
      </c>
      <c r="B369">
        <f t="shared" ca="1" si="61"/>
        <v>79</v>
      </c>
      <c r="C369" t="str">
        <f t="shared" ca="1" si="62"/>
        <v>Male</v>
      </c>
      <c r="D369" s="1">
        <f t="shared" ca="1" si="63"/>
        <v>45538</v>
      </c>
      <c r="E369" s="1">
        <f t="shared" ca="1" si="64"/>
        <v>45539</v>
      </c>
      <c r="F369" t="str">
        <f t="shared" ca="1" si="65"/>
        <v>Heart Failure</v>
      </c>
      <c r="G369" t="str">
        <f t="shared" ca="1" si="66"/>
        <v>Medication</v>
      </c>
      <c r="H369">
        <f t="shared" ca="1" si="67"/>
        <v>1</v>
      </c>
      <c r="I369" t="str">
        <f t="shared" ca="1" si="68"/>
        <v>No</v>
      </c>
      <c r="J369">
        <f t="shared" ca="1" si="69"/>
        <v>3</v>
      </c>
      <c r="K369" t="str">
        <f t="shared" ca="1" si="70"/>
        <v>None</v>
      </c>
      <c r="L369" t="str">
        <f t="shared" ca="1" si="71"/>
        <v>Cardiology</v>
      </c>
    </row>
    <row r="370" spans="1:12" x14ac:dyDescent="0.25">
      <c r="A370">
        <f t="shared" si="60"/>
        <v>369</v>
      </c>
      <c r="B370">
        <f t="shared" ca="1" si="61"/>
        <v>85</v>
      </c>
      <c r="C370" t="str">
        <f t="shared" ca="1" si="62"/>
        <v>Male</v>
      </c>
      <c r="D370" s="1">
        <f t="shared" ca="1" si="63"/>
        <v>45383</v>
      </c>
      <c r="E370" s="1">
        <f t="shared" ca="1" si="64"/>
        <v>45391</v>
      </c>
      <c r="F370" t="str">
        <f t="shared" ca="1" si="65"/>
        <v>Hypertension</v>
      </c>
      <c r="G370" t="str">
        <f t="shared" ca="1" si="66"/>
        <v>Medication</v>
      </c>
      <c r="H370">
        <f t="shared" ca="1" si="67"/>
        <v>8</v>
      </c>
      <c r="I370" t="str">
        <f t="shared" ca="1" si="68"/>
        <v>No</v>
      </c>
      <c r="J370">
        <f t="shared" ca="1" si="69"/>
        <v>2</v>
      </c>
      <c r="K370" t="str">
        <f t="shared" ca="1" si="70"/>
        <v>Private</v>
      </c>
      <c r="L370" t="str">
        <f t="shared" ca="1" si="71"/>
        <v>Cardiology</v>
      </c>
    </row>
    <row r="371" spans="1:12" x14ac:dyDescent="0.25">
      <c r="A371">
        <f t="shared" si="60"/>
        <v>370</v>
      </c>
      <c r="B371">
        <f t="shared" ca="1" si="61"/>
        <v>58</v>
      </c>
      <c r="C371" t="str">
        <f t="shared" ca="1" si="62"/>
        <v>Male</v>
      </c>
      <c r="D371" s="1">
        <f t="shared" ca="1" si="63"/>
        <v>45400</v>
      </c>
      <c r="E371" s="1">
        <f t="shared" ca="1" si="64"/>
        <v>45401</v>
      </c>
      <c r="F371" t="str">
        <f t="shared" ca="1" si="65"/>
        <v>Diabetes</v>
      </c>
      <c r="G371" t="str">
        <f t="shared" ca="1" si="66"/>
        <v>Therapy</v>
      </c>
      <c r="H371">
        <f t="shared" ca="1" si="67"/>
        <v>1</v>
      </c>
      <c r="I371" t="str">
        <f t="shared" ca="1" si="68"/>
        <v>No</v>
      </c>
      <c r="J371">
        <f t="shared" ca="1" si="69"/>
        <v>0</v>
      </c>
      <c r="K371" t="str">
        <f t="shared" ca="1" si="70"/>
        <v>None</v>
      </c>
      <c r="L371" t="str">
        <f t="shared" ca="1" si="71"/>
        <v>Neurology</v>
      </c>
    </row>
    <row r="372" spans="1:12" x14ac:dyDescent="0.25">
      <c r="A372">
        <f t="shared" si="60"/>
        <v>371</v>
      </c>
      <c r="B372">
        <f t="shared" ca="1" si="61"/>
        <v>71</v>
      </c>
      <c r="C372" t="str">
        <f t="shared" ca="1" si="62"/>
        <v>Male</v>
      </c>
      <c r="D372" s="1">
        <f t="shared" ca="1" si="63"/>
        <v>45448</v>
      </c>
      <c r="E372" s="1">
        <f t="shared" ca="1" si="64"/>
        <v>45453</v>
      </c>
      <c r="F372" t="str">
        <f t="shared" ca="1" si="65"/>
        <v>Hypertension</v>
      </c>
      <c r="G372" t="str">
        <f t="shared" ca="1" si="66"/>
        <v>Medication</v>
      </c>
      <c r="H372">
        <f t="shared" ca="1" si="67"/>
        <v>5</v>
      </c>
      <c r="I372" t="str">
        <f t="shared" ca="1" si="68"/>
        <v>No</v>
      </c>
      <c r="J372">
        <f t="shared" ca="1" si="69"/>
        <v>4</v>
      </c>
      <c r="K372" t="str">
        <f t="shared" ca="1" si="70"/>
        <v>Public</v>
      </c>
      <c r="L372" t="str">
        <f t="shared" ca="1" si="71"/>
        <v>General</v>
      </c>
    </row>
    <row r="373" spans="1:12" x14ac:dyDescent="0.25">
      <c r="A373">
        <f t="shared" si="60"/>
        <v>372</v>
      </c>
      <c r="B373">
        <f t="shared" ca="1" si="61"/>
        <v>90</v>
      </c>
      <c r="C373" t="str">
        <f t="shared" ca="1" si="62"/>
        <v>Female</v>
      </c>
      <c r="D373" s="1">
        <f t="shared" ca="1" si="63"/>
        <v>45471</v>
      </c>
      <c r="E373" s="1">
        <f t="shared" ca="1" si="64"/>
        <v>45474</v>
      </c>
      <c r="F373" t="str">
        <f t="shared" ca="1" si="65"/>
        <v>Heart Failure</v>
      </c>
      <c r="G373" t="str">
        <f t="shared" ca="1" si="66"/>
        <v>Therapy</v>
      </c>
      <c r="H373">
        <f t="shared" ca="1" si="67"/>
        <v>3</v>
      </c>
      <c r="I373" t="str">
        <f t="shared" ca="1" si="68"/>
        <v>No</v>
      </c>
      <c r="J373">
        <f t="shared" ca="1" si="69"/>
        <v>2</v>
      </c>
      <c r="K373" t="str">
        <f t="shared" ca="1" si="70"/>
        <v>Public</v>
      </c>
      <c r="L373" t="str">
        <f t="shared" ca="1" si="71"/>
        <v>General</v>
      </c>
    </row>
    <row r="374" spans="1:12" x14ac:dyDescent="0.25">
      <c r="A374">
        <f t="shared" si="60"/>
        <v>373</v>
      </c>
      <c r="B374">
        <f t="shared" ca="1" si="61"/>
        <v>74</v>
      </c>
      <c r="C374" t="str">
        <f t="shared" ca="1" si="62"/>
        <v>Male</v>
      </c>
      <c r="D374" s="1">
        <f t="shared" ca="1" si="63"/>
        <v>45392</v>
      </c>
      <c r="E374" s="1">
        <f t="shared" ca="1" si="64"/>
        <v>45399</v>
      </c>
      <c r="F374" t="str">
        <f t="shared" ca="1" si="65"/>
        <v>Pneumonia</v>
      </c>
      <c r="G374" t="str">
        <f t="shared" ca="1" si="66"/>
        <v>Therapy</v>
      </c>
      <c r="H374">
        <f t="shared" ca="1" si="67"/>
        <v>7</v>
      </c>
      <c r="I374" t="str">
        <f t="shared" ca="1" si="68"/>
        <v>Yes</v>
      </c>
      <c r="J374">
        <f t="shared" ca="1" si="69"/>
        <v>1</v>
      </c>
      <c r="K374" t="str">
        <f t="shared" ca="1" si="70"/>
        <v>Private</v>
      </c>
      <c r="L374" t="str">
        <f t="shared" ca="1" si="71"/>
        <v>Neurology</v>
      </c>
    </row>
    <row r="375" spans="1:12" x14ac:dyDescent="0.25">
      <c r="A375">
        <f t="shared" si="60"/>
        <v>374</v>
      </c>
      <c r="B375">
        <f t="shared" ca="1" si="61"/>
        <v>54</v>
      </c>
      <c r="C375" t="str">
        <f t="shared" ca="1" si="62"/>
        <v>Female</v>
      </c>
      <c r="D375" s="1">
        <f t="shared" ca="1" si="63"/>
        <v>45325</v>
      </c>
      <c r="E375" s="1">
        <f t="shared" ca="1" si="64"/>
        <v>45339</v>
      </c>
      <c r="F375" t="str">
        <f t="shared" ca="1" si="65"/>
        <v>Pneumonia</v>
      </c>
      <c r="G375" t="str">
        <f t="shared" ca="1" si="66"/>
        <v>Medication</v>
      </c>
      <c r="H375">
        <f t="shared" ca="1" si="67"/>
        <v>14</v>
      </c>
      <c r="I375" t="str">
        <f t="shared" ca="1" si="68"/>
        <v>Yes</v>
      </c>
      <c r="J375">
        <f t="shared" ca="1" si="69"/>
        <v>1</v>
      </c>
      <c r="K375" t="str">
        <f t="shared" ca="1" si="70"/>
        <v>Public</v>
      </c>
      <c r="L375" t="str">
        <f t="shared" ca="1" si="71"/>
        <v>ICU</v>
      </c>
    </row>
    <row r="376" spans="1:12" x14ac:dyDescent="0.25">
      <c r="A376">
        <f t="shared" si="60"/>
        <v>375</v>
      </c>
      <c r="B376">
        <f t="shared" ca="1" si="61"/>
        <v>48</v>
      </c>
      <c r="C376" t="str">
        <f t="shared" ca="1" si="62"/>
        <v>Male</v>
      </c>
      <c r="D376" s="1">
        <f t="shared" ca="1" si="63"/>
        <v>45626</v>
      </c>
      <c r="E376" s="1">
        <f t="shared" ca="1" si="64"/>
        <v>45631</v>
      </c>
      <c r="F376" t="str">
        <f t="shared" ca="1" si="65"/>
        <v>Heart Failure</v>
      </c>
      <c r="G376" t="str">
        <f t="shared" ca="1" si="66"/>
        <v>Surgery</v>
      </c>
      <c r="H376">
        <f t="shared" ca="1" si="67"/>
        <v>5</v>
      </c>
      <c r="I376" t="str">
        <f t="shared" ca="1" si="68"/>
        <v>No</v>
      </c>
      <c r="J376">
        <f t="shared" ca="1" si="69"/>
        <v>4</v>
      </c>
      <c r="K376" t="str">
        <f t="shared" ca="1" si="70"/>
        <v>Private</v>
      </c>
      <c r="L376" t="str">
        <f t="shared" ca="1" si="71"/>
        <v>General</v>
      </c>
    </row>
    <row r="377" spans="1:12" x14ac:dyDescent="0.25">
      <c r="A377">
        <f t="shared" si="60"/>
        <v>376</v>
      </c>
      <c r="B377">
        <f t="shared" ca="1" si="61"/>
        <v>81</v>
      </c>
      <c r="C377" t="str">
        <f t="shared" ca="1" si="62"/>
        <v>Female</v>
      </c>
      <c r="D377" s="1">
        <f t="shared" ca="1" si="63"/>
        <v>45356</v>
      </c>
      <c r="E377" s="1">
        <f t="shared" ca="1" si="64"/>
        <v>45366</v>
      </c>
      <c r="F377" t="str">
        <f t="shared" ca="1" si="65"/>
        <v>Hypertension</v>
      </c>
      <c r="G377" t="str">
        <f t="shared" ca="1" si="66"/>
        <v>Surgery</v>
      </c>
      <c r="H377">
        <f t="shared" ca="1" si="67"/>
        <v>10</v>
      </c>
      <c r="I377" t="str">
        <f t="shared" ca="1" si="68"/>
        <v>No</v>
      </c>
      <c r="J377">
        <f t="shared" ca="1" si="69"/>
        <v>3</v>
      </c>
      <c r="K377" t="str">
        <f t="shared" ca="1" si="70"/>
        <v>Private</v>
      </c>
      <c r="L377" t="str">
        <f t="shared" ca="1" si="71"/>
        <v>Cardiology</v>
      </c>
    </row>
    <row r="378" spans="1:12" x14ac:dyDescent="0.25">
      <c r="A378">
        <f t="shared" si="60"/>
        <v>377</v>
      </c>
      <c r="B378">
        <f t="shared" ca="1" si="61"/>
        <v>88</v>
      </c>
      <c r="C378" t="str">
        <f t="shared" ca="1" si="62"/>
        <v>Female</v>
      </c>
      <c r="D378" s="1">
        <f t="shared" ca="1" si="63"/>
        <v>45482</v>
      </c>
      <c r="E378" s="1">
        <f t="shared" ca="1" si="64"/>
        <v>45484</v>
      </c>
      <c r="F378" t="str">
        <f t="shared" ca="1" si="65"/>
        <v>Diabetes</v>
      </c>
      <c r="G378" t="str">
        <f t="shared" ca="1" si="66"/>
        <v>Therapy</v>
      </c>
      <c r="H378">
        <f t="shared" ca="1" si="67"/>
        <v>2</v>
      </c>
      <c r="I378" t="str">
        <f t="shared" ca="1" si="68"/>
        <v>Yes</v>
      </c>
      <c r="J378">
        <f t="shared" ca="1" si="69"/>
        <v>2</v>
      </c>
      <c r="K378" t="str">
        <f t="shared" ca="1" si="70"/>
        <v>Private</v>
      </c>
      <c r="L378" t="str">
        <f t="shared" ca="1" si="71"/>
        <v>Neurology</v>
      </c>
    </row>
    <row r="379" spans="1:12" x14ac:dyDescent="0.25">
      <c r="A379">
        <f t="shared" si="60"/>
        <v>378</v>
      </c>
      <c r="B379">
        <f t="shared" ca="1" si="61"/>
        <v>37</v>
      </c>
      <c r="C379" t="str">
        <f t="shared" ca="1" si="62"/>
        <v>Female</v>
      </c>
      <c r="D379" s="1">
        <f t="shared" ca="1" si="63"/>
        <v>45631</v>
      </c>
      <c r="E379" s="1">
        <f t="shared" ca="1" si="64"/>
        <v>45643</v>
      </c>
      <c r="F379" t="str">
        <f t="shared" ca="1" si="65"/>
        <v>Pneumonia</v>
      </c>
      <c r="G379" t="str">
        <f t="shared" ca="1" si="66"/>
        <v>Therapy</v>
      </c>
      <c r="H379">
        <f t="shared" ca="1" si="67"/>
        <v>12</v>
      </c>
      <c r="I379" t="str">
        <f t="shared" ca="1" si="68"/>
        <v>Yes</v>
      </c>
      <c r="J379">
        <f t="shared" ca="1" si="69"/>
        <v>2</v>
      </c>
      <c r="K379" t="str">
        <f t="shared" ca="1" si="70"/>
        <v>Private</v>
      </c>
      <c r="L379" t="str">
        <f t="shared" ca="1" si="71"/>
        <v>ICU</v>
      </c>
    </row>
    <row r="380" spans="1:12" x14ac:dyDescent="0.25">
      <c r="A380">
        <f t="shared" si="60"/>
        <v>379</v>
      </c>
      <c r="B380">
        <f t="shared" ca="1" si="61"/>
        <v>42</v>
      </c>
      <c r="C380" t="str">
        <f t="shared" ca="1" si="62"/>
        <v>Female</v>
      </c>
      <c r="D380" s="1">
        <f t="shared" ca="1" si="63"/>
        <v>45298</v>
      </c>
      <c r="E380" s="1">
        <f t="shared" ca="1" si="64"/>
        <v>45312</v>
      </c>
      <c r="F380" t="str">
        <f t="shared" ca="1" si="65"/>
        <v>Stroke</v>
      </c>
      <c r="G380" t="str">
        <f t="shared" ca="1" si="66"/>
        <v>Therapy</v>
      </c>
      <c r="H380">
        <f t="shared" ca="1" si="67"/>
        <v>14</v>
      </c>
      <c r="I380" t="str">
        <f t="shared" ca="1" si="68"/>
        <v>Yes</v>
      </c>
      <c r="J380">
        <f t="shared" ca="1" si="69"/>
        <v>2</v>
      </c>
      <c r="K380" t="str">
        <f t="shared" ca="1" si="70"/>
        <v>None</v>
      </c>
      <c r="L380" t="str">
        <f t="shared" ca="1" si="71"/>
        <v>ER</v>
      </c>
    </row>
    <row r="381" spans="1:12" x14ac:dyDescent="0.25">
      <c r="A381">
        <f t="shared" si="60"/>
        <v>380</v>
      </c>
      <c r="B381">
        <f t="shared" ca="1" si="61"/>
        <v>43</v>
      </c>
      <c r="C381" t="str">
        <f t="shared" ca="1" si="62"/>
        <v>Female</v>
      </c>
      <c r="D381" s="1">
        <f t="shared" ca="1" si="63"/>
        <v>45572</v>
      </c>
      <c r="E381" s="1">
        <f t="shared" ca="1" si="64"/>
        <v>45587</v>
      </c>
      <c r="F381" t="str">
        <f t="shared" ca="1" si="65"/>
        <v>Stroke</v>
      </c>
      <c r="G381" t="str">
        <f t="shared" ca="1" si="66"/>
        <v>Therapy</v>
      </c>
      <c r="H381">
        <f t="shared" ca="1" si="67"/>
        <v>15</v>
      </c>
      <c r="I381" t="str">
        <f t="shared" ca="1" si="68"/>
        <v>Yes</v>
      </c>
      <c r="J381">
        <f t="shared" ca="1" si="69"/>
        <v>2</v>
      </c>
      <c r="K381" t="str">
        <f t="shared" ca="1" si="70"/>
        <v>Private</v>
      </c>
      <c r="L381" t="str">
        <f t="shared" ca="1" si="71"/>
        <v>Cardiology</v>
      </c>
    </row>
    <row r="382" spans="1:12" x14ac:dyDescent="0.25">
      <c r="A382">
        <f t="shared" si="60"/>
        <v>381</v>
      </c>
      <c r="B382">
        <f t="shared" ca="1" si="61"/>
        <v>44</v>
      </c>
      <c r="C382" t="str">
        <f t="shared" ca="1" si="62"/>
        <v>Male</v>
      </c>
      <c r="D382" s="1">
        <f t="shared" ca="1" si="63"/>
        <v>45497</v>
      </c>
      <c r="E382" s="1">
        <f t="shared" ca="1" si="64"/>
        <v>45500</v>
      </c>
      <c r="F382" t="str">
        <f t="shared" ca="1" si="65"/>
        <v>Stroke</v>
      </c>
      <c r="G382" t="str">
        <f t="shared" ca="1" si="66"/>
        <v>Surgery</v>
      </c>
      <c r="H382">
        <f t="shared" ca="1" si="67"/>
        <v>3</v>
      </c>
      <c r="I382" t="str">
        <f t="shared" ca="1" si="68"/>
        <v>Yes</v>
      </c>
      <c r="J382">
        <f t="shared" ca="1" si="69"/>
        <v>0</v>
      </c>
      <c r="K382" t="str">
        <f t="shared" ca="1" si="70"/>
        <v>Public</v>
      </c>
      <c r="L382" t="str">
        <f t="shared" ca="1" si="71"/>
        <v>ER</v>
      </c>
    </row>
    <row r="383" spans="1:12" x14ac:dyDescent="0.25">
      <c r="A383">
        <f t="shared" si="60"/>
        <v>382</v>
      </c>
      <c r="B383">
        <f t="shared" ca="1" si="61"/>
        <v>81</v>
      </c>
      <c r="C383" t="str">
        <f t="shared" ca="1" si="62"/>
        <v>Female</v>
      </c>
      <c r="D383" s="1">
        <f t="shared" ca="1" si="63"/>
        <v>45389</v>
      </c>
      <c r="E383" s="1">
        <f t="shared" ca="1" si="64"/>
        <v>45403</v>
      </c>
      <c r="F383" t="str">
        <f t="shared" ca="1" si="65"/>
        <v>Heart Failure</v>
      </c>
      <c r="G383" t="str">
        <f t="shared" ca="1" si="66"/>
        <v>Surgery</v>
      </c>
      <c r="H383">
        <f t="shared" ca="1" si="67"/>
        <v>14</v>
      </c>
      <c r="I383" t="str">
        <f t="shared" ca="1" si="68"/>
        <v>No</v>
      </c>
      <c r="J383">
        <f t="shared" ca="1" si="69"/>
        <v>3</v>
      </c>
      <c r="K383" t="str">
        <f t="shared" ca="1" si="70"/>
        <v>None</v>
      </c>
      <c r="L383" t="str">
        <f t="shared" ca="1" si="71"/>
        <v>Cardiology</v>
      </c>
    </row>
    <row r="384" spans="1:12" x14ac:dyDescent="0.25">
      <c r="A384">
        <f t="shared" si="60"/>
        <v>383</v>
      </c>
      <c r="B384">
        <f t="shared" ca="1" si="61"/>
        <v>81</v>
      </c>
      <c r="C384" t="str">
        <f t="shared" ca="1" si="62"/>
        <v>Female</v>
      </c>
      <c r="D384" s="1">
        <f t="shared" ca="1" si="63"/>
        <v>45566</v>
      </c>
      <c r="E384" s="1">
        <f t="shared" ca="1" si="64"/>
        <v>45580</v>
      </c>
      <c r="F384" t="str">
        <f t="shared" ca="1" si="65"/>
        <v>Diabetes</v>
      </c>
      <c r="G384" t="str">
        <f t="shared" ca="1" si="66"/>
        <v>Medication</v>
      </c>
      <c r="H384">
        <f t="shared" ca="1" si="67"/>
        <v>14</v>
      </c>
      <c r="I384" t="str">
        <f t="shared" ca="1" si="68"/>
        <v>Yes</v>
      </c>
      <c r="J384">
        <f t="shared" ca="1" si="69"/>
        <v>2</v>
      </c>
      <c r="K384" t="str">
        <f t="shared" ca="1" si="70"/>
        <v>None</v>
      </c>
      <c r="L384" t="str">
        <f t="shared" ca="1" si="71"/>
        <v>General</v>
      </c>
    </row>
    <row r="385" spans="1:12" x14ac:dyDescent="0.25">
      <c r="A385">
        <f t="shared" si="60"/>
        <v>384</v>
      </c>
      <c r="B385">
        <f t="shared" ca="1" si="61"/>
        <v>30</v>
      </c>
      <c r="C385" t="str">
        <f t="shared" ca="1" si="62"/>
        <v>Male</v>
      </c>
      <c r="D385" s="1">
        <f t="shared" ca="1" si="63"/>
        <v>45389</v>
      </c>
      <c r="E385" s="1">
        <f t="shared" ca="1" si="64"/>
        <v>45397</v>
      </c>
      <c r="F385" t="str">
        <f t="shared" ca="1" si="65"/>
        <v>Heart Failure</v>
      </c>
      <c r="G385" t="str">
        <f t="shared" ca="1" si="66"/>
        <v>Medication</v>
      </c>
      <c r="H385">
        <f t="shared" ca="1" si="67"/>
        <v>8</v>
      </c>
      <c r="I385" t="str">
        <f t="shared" ca="1" si="68"/>
        <v>Yes</v>
      </c>
      <c r="J385">
        <f t="shared" ca="1" si="69"/>
        <v>2</v>
      </c>
      <c r="K385" t="str">
        <f t="shared" ca="1" si="70"/>
        <v>Public</v>
      </c>
      <c r="L385" t="str">
        <f t="shared" ca="1" si="71"/>
        <v>General</v>
      </c>
    </row>
    <row r="386" spans="1:12" x14ac:dyDescent="0.25">
      <c r="A386">
        <f t="shared" si="60"/>
        <v>385</v>
      </c>
      <c r="B386">
        <f t="shared" ca="1" si="61"/>
        <v>81</v>
      </c>
      <c r="C386" t="str">
        <f t="shared" ca="1" si="62"/>
        <v>Female</v>
      </c>
      <c r="D386" s="1">
        <f t="shared" ca="1" si="63"/>
        <v>45510</v>
      </c>
      <c r="E386" s="1">
        <f t="shared" ca="1" si="64"/>
        <v>45520</v>
      </c>
      <c r="F386" t="str">
        <f t="shared" ca="1" si="65"/>
        <v>Heart Failure</v>
      </c>
      <c r="G386" t="str">
        <f t="shared" ca="1" si="66"/>
        <v>Surgery</v>
      </c>
      <c r="H386">
        <f t="shared" ca="1" si="67"/>
        <v>10</v>
      </c>
      <c r="I386" t="str">
        <f t="shared" ca="1" si="68"/>
        <v>No</v>
      </c>
      <c r="J386">
        <f t="shared" ca="1" si="69"/>
        <v>4</v>
      </c>
      <c r="K386" t="str">
        <f t="shared" ca="1" si="70"/>
        <v>Private</v>
      </c>
      <c r="L386" t="str">
        <f t="shared" ca="1" si="71"/>
        <v>ER</v>
      </c>
    </row>
    <row r="387" spans="1:12" x14ac:dyDescent="0.25">
      <c r="A387">
        <f t="shared" ref="A387:A450" si="72">ROW() -1</f>
        <v>386</v>
      </c>
      <c r="B387">
        <f t="shared" ref="B387:B450" ca="1" si="73">RANDBETWEEN(20,90)</f>
        <v>89</v>
      </c>
      <c r="C387" t="str">
        <f t="shared" ref="C387:C450" ca="1" si="74">IF(RAND()&lt;0.5,"Male","Female")</f>
        <v>Male</v>
      </c>
      <c r="D387" s="1">
        <f t="shared" ref="D387:D450" ca="1" si="75">DATE(2024,1,1)+RANDBETWEEN(0,364)</f>
        <v>45649</v>
      </c>
      <c r="E387" s="1">
        <f t="shared" ref="E387:E450" ca="1" si="76">D387+RANDBETWEEN(1,15)</f>
        <v>45652</v>
      </c>
      <c r="F387" t="str">
        <f t="shared" ref="F387:F450" ca="1" si="77">CHOOSE(RANDBETWEEN(1,5),"Diabetes","Heart Failure","Pneumonia","Stroke","Hypertension")</f>
        <v>Heart Failure</v>
      </c>
      <c r="G387" t="str">
        <f t="shared" ref="G387:G450" ca="1" si="78">CHOOSE(RANDBETWEEN(1,3),"Medication","Surgery","Therapy")</f>
        <v>Medication</v>
      </c>
      <c r="H387">
        <f t="shared" ref="H387:H450" ca="1" si="79">DATEDIF(D387,E387,"D")</f>
        <v>3</v>
      </c>
      <c r="I387" t="str">
        <f t="shared" ref="I387:I450" ca="1" si="80">IF(RAND()&lt;0.3,"Yes","No")</f>
        <v>No</v>
      </c>
      <c r="J387">
        <f t="shared" ref="J387:J450" ca="1" si="81">RANDBETWEEN(0,4)</f>
        <v>3</v>
      </c>
      <c r="K387" t="str">
        <f t="shared" ref="K387:K450" ca="1" si="82">CHOOSE(RANDBETWEEN(1,3),"Private","Public","None")</f>
        <v>Private</v>
      </c>
      <c r="L387" t="str">
        <f t="shared" ref="L387:L450" ca="1" si="83">CHOOSE(RANDBETWEEN(1,5),"ER","Cardiology","Neurology","General","ICU")</f>
        <v>ER</v>
      </c>
    </row>
    <row r="388" spans="1:12" x14ac:dyDescent="0.25">
      <c r="A388">
        <f t="shared" si="72"/>
        <v>387</v>
      </c>
      <c r="B388">
        <f t="shared" ca="1" si="73"/>
        <v>41</v>
      </c>
      <c r="C388" t="str">
        <f t="shared" ca="1" si="74"/>
        <v>Male</v>
      </c>
      <c r="D388" s="1">
        <f t="shared" ca="1" si="75"/>
        <v>45505</v>
      </c>
      <c r="E388" s="1">
        <f t="shared" ca="1" si="76"/>
        <v>45519</v>
      </c>
      <c r="F388" t="str">
        <f t="shared" ca="1" si="77"/>
        <v>Hypertension</v>
      </c>
      <c r="G388" t="str">
        <f t="shared" ca="1" si="78"/>
        <v>Medication</v>
      </c>
      <c r="H388">
        <f t="shared" ca="1" si="79"/>
        <v>14</v>
      </c>
      <c r="I388" t="str">
        <f t="shared" ca="1" si="80"/>
        <v>Yes</v>
      </c>
      <c r="J388">
        <f t="shared" ca="1" si="81"/>
        <v>2</v>
      </c>
      <c r="K388" t="str">
        <f t="shared" ca="1" si="82"/>
        <v>Private</v>
      </c>
      <c r="L388" t="str">
        <f t="shared" ca="1" si="83"/>
        <v>Cardiology</v>
      </c>
    </row>
    <row r="389" spans="1:12" x14ac:dyDescent="0.25">
      <c r="A389">
        <f t="shared" si="72"/>
        <v>388</v>
      </c>
      <c r="B389">
        <f t="shared" ca="1" si="73"/>
        <v>59</v>
      </c>
      <c r="C389" t="str">
        <f t="shared" ca="1" si="74"/>
        <v>Male</v>
      </c>
      <c r="D389" s="1">
        <f t="shared" ca="1" si="75"/>
        <v>45499</v>
      </c>
      <c r="E389" s="1">
        <f t="shared" ca="1" si="76"/>
        <v>45504</v>
      </c>
      <c r="F389" t="str">
        <f t="shared" ca="1" si="77"/>
        <v>Diabetes</v>
      </c>
      <c r="G389" t="str">
        <f t="shared" ca="1" si="78"/>
        <v>Medication</v>
      </c>
      <c r="H389">
        <f t="shared" ca="1" si="79"/>
        <v>5</v>
      </c>
      <c r="I389" t="str">
        <f t="shared" ca="1" si="80"/>
        <v>No</v>
      </c>
      <c r="J389">
        <f t="shared" ca="1" si="81"/>
        <v>1</v>
      </c>
      <c r="K389" t="str">
        <f t="shared" ca="1" si="82"/>
        <v>Private</v>
      </c>
      <c r="L389" t="str">
        <f t="shared" ca="1" si="83"/>
        <v>General</v>
      </c>
    </row>
    <row r="390" spans="1:12" x14ac:dyDescent="0.25">
      <c r="A390">
        <f t="shared" si="72"/>
        <v>389</v>
      </c>
      <c r="B390">
        <f t="shared" ca="1" si="73"/>
        <v>20</v>
      </c>
      <c r="C390" t="str">
        <f t="shared" ca="1" si="74"/>
        <v>Female</v>
      </c>
      <c r="D390" s="1">
        <f t="shared" ca="1" si="75"/>
        <v>45628</v>
      </c>
      <c r="E390" s="1">
        <f t="shared" ca="1" si="76"/>
        <v>45635</v>
      </c>
      <c r="F390" t="str">
        <f t="shared" ca="1" si="77"/>
        <v>Diabetes</v>
      </c>
      <c r="G390" t="str">
        <f t="shared" ca="1" si="78"/>
        <v>Surgery</v>
      </c>
      <c r="H390">
        <f t="shared" ca="1" si="79"/>
        <v>7</v>
      </c>
      <c r="I390" t="str">
        <f t="shared" ca="1" si="80"/>
        <v>No</v>
      </c>
      <c r="J390">
        <f t="shared" ca="1" si="81"/>
        <v>4</v>
      </c>
      <c r="K390" t="str">
        <f t="shared" ca="1" si="82"/>
        <v>Private</v>
      </c>
      <c r="L390" t="str">
        <f t="shared" ca="1" si="83"/>
        <v>Cardiology</v>
      </c>
    </row>
    <row r="391" spans="1:12" x14ac:dyDescent="0.25">
      <c r="A391">
        <f t="shared" si="72"/>
        <v>390</v>
      </c>
      <c r="B391">
        <f t="shared" ca="1" si="73"/>
        <v>81</v>
      </c>
      <c r="C391" t="str">
        <f t="shared" ca="1" si="74"/>
        <v>Male</v>
      </c>
      <c r="D391" s="1">
        <f t="shared" ca="1" si="75"/>
        <v>45585</v>
      </c>
      <c r="E391" s="1">
        <f t="shared" ca="1" si="76"/>
        <v>45591</v>
      </c>
      <c r="F391" t="str">
        <f t="shared" ca="1" si="77"/>
        <v>Stroke</v>
      </c>
      <c r="G391" t="str">
        <f t="shared" ca="1" si="78"/>
        <v>Medication</v>
      </c>
      <c r="H391">
        <f t="shared" ca="1" si="79"/>
        <v>6</v>
      </c>
      <c r="I391" t="str">
        <f t="shared" ca="1" si="80"/>
        <v>No</v>
      </c>
      <c r="J391">
        <f t="shared" ca="1" si="81"/>
        <v>1</v>
      </c>
      <c r="K391" t="str">
        <f t="shared" ca="1" si="82"/>
        <v>Private</v>
      </c>
      <c r="L391" t="str">
        <f t="shared" ca="1" si="83"/>
        <v>ER</v>
      </c>
    </row>
    <row r="392" spans="1:12" x14ac:dyDescent="0.25">
      <c r="A392">
        <f t="shared" si="72"/>
        <v>391</v>
      </c>
      <c r="B392">
        <f t="shared" ca="1" si="73"/>
        <v>39</v>
      </c>
      <c r="C392" t="str">
        <f t="shared" ca="1" si="74"/>
        <v>Female</v>
      </c>
      <c r="D392" s="1">
        <f t="shared" ca="1" si="75"/>
        <v>45637</v>
      </c>
      <c r="E392" s="1">
        <f t="shared" ca="1" si="76"/>
        <v>45640</v>
      </c>
      <c r="F392" t="str">
        <f t="shared" ca="1" si="77"/>
        <v>Diabetes</v>
      </c>
      <c r="G392" t="str">
        <f t="shared" ca="1" si="78"/>
        <v>Surgery</v>
      </c>
      <c r="H392">
        <f t="shared" ca="1" si="79"/>
        <v>3</v>
      </c>
      <c r="I392" t="str">
        <f t="shared" ca="1" si="80"/>
        <v>No</v>
      </c>
      <c r="J392">
        <f t="shared" ca="1" si="81"/>
        <v>1</v>
      </c>
      <c r="K392" t="str">
        <f t="shared" ca="1" si="82"/>
        <v>Public</v>
      </c>
      <c r="L392" t="str">
        <f t="shared" ca="1" si="83"/>
        <v>Cardiology</v>
      </c>
    </row>
    <row r="393" spans="1:12" x14ac:dyDescent="0.25">
      <c r="A393">
        <f t="shared" si="72"/>
        <v>392</v>
      </c>
      <c r="B393">
        <f t="shared" ca="1" si="73"/>
        <v>28</v>
      </c>
      <c r="C393" t="str">
        <f t="shared" ca="1" si="74"/>
        <v>Male</v>
      </c>
      <c r="D393" s="1">
        <f t="shared" ca="1" si="75"/>
        <v>45545</v>
      </c>
      <c r="E393" s="1">
        <f t="shared" ca="1" si="76"/>
        <v>45553</v>
      </c>
      <c r="F393" t="str">
        <f t="shared" ca="1" si="77"/>
        <v>Diabetes</v>
      </c>
      <c r="G393" t="str">
        <f t="shared" ca="1" si="78"/>
        <v>Therapy</v>
      </c>
      <c r="H393">
        <f t="shared" ca="1" si="79"/>
        <v>8</v>
      </c>
      <c r="I393" t="str">
        <f t="shared" ca="1" si="80"/>
        <v>Yes</v>
      </c>
      <c r="J393">
        <f t="shared" ca="1" si="81"/>
        <v>4</v>
      </c>
      <c r="K393" t="str">
        <f t="shared" ca="1" si="82"/>
        <v>Public</v>
      </c>
      <c r="L393" t="str">
        <f t="shared" ca="1" si="83"/>
        <v>Neurology</v>
      </c>
    </row>
    <row r="394" spans="1:12" x14ac:dyDescent="0.25">
      <c r="A394">
        <f t="shared" si="72"/>
        <v>393</v>
      </c>
      <c r="B394">
        <f t="shared" ca="1" si="73"/>
        <v>65</v>
      </c>
      <c r="C394" t="str">
        <f t="shared" ca="1" si="74"/>
        <v>Male</v>
      </c>
      <c r="D394" s="1">
        <f t="shared" ca="1" si="75"/>
        <v>45443</v>
      </c>
      <c r="E394" s="1">
        <f t="shared" ca="1" si="76"/>
        <v>45451</v>
      </c>
      <c r="F394" t="str">
        <f t="shared" ca="1" si="77"/>
        <v>Diabetes</v>
      </c>
      <c r="G394" t="str">
        <f t="shared" ca="1" si="78"/>
        <v>Therapy</v>
      </c>
      <c r="H394">
        <f t="shared" ca="1" si="79"/>
        <v>8</v>
      </c>
      <c r="I394" t="str">
        <f t="shared" ca="1" si="80"/>
        <v>No</v>
      </c>
      <c r="J394">
        <f t="shared" ca="1" si="81"/>
        <v>0</v>
      </c>
      <c r="K394" t="str">
        <f t="shared" ca="1" si="82"/>
        <v>None</v>
      </c>
      <c r="L394" t="str">
        <f t="shared" ca="1" si="83"/>
        <v>Neurology</v>
      </c>
    </row>
    <row r="395" spans="1:12" x14ac:dyDescent="0.25">
      <c r="A395">
        <f t="shared" si="72"/>
        <v>394</v>
      </c>
      <c r="B395">
        <f t="shared" ca="1" si="73"/>
        <v>58</v>
      </c>
      <c r="C395" t="str">
        <f t="shared" ca="1" si="74"/>
        <v>Male</v>
      </c>
      <c r="D395" s="1">
        <f t="shared" ca="1" si="75"/>
        <v>45467</v>
      </c>
      <c r="E395" s="1">
        <f t="shared" ca="1" si="76"/>
        <v>45468</v>
      </c>
      <c r="F395" t="str">
        <f t="shared" ca="1" si="77"/>
        <v>Pneumonia</v>
      </c>
      <c r="G395" t="str">
        <f t="shared" ca="1" si="78"/>
        <v>Surgery</v>
      </c>
      <c r="H395">
        <f t="shared" ca="1" si="79"/>
        <v>1</v>
      </c>
      <c r="I395" t="str">
        <f t="shared" ca="1" si="80"/>
        <v>No</v>
      </c>
      <c r="J395">
        <f t="shared" ca="1" si="81"/>
        <v>1</v>
      </c>
      <c r="K395" t="str">
        <f t="shared" ca="1" si="82"/>
        <v>Public</v>
      </c>
      <c r="L395" t="str">
        <f t="shared" ca="1" si="83"/>
        <v>General</v>
      </c>
    </row>
    <row r="396" spans="1:12" x14ac:dyDescent="0.25">
      <c r="A396">
        <f t="shared" si="72"/>
        <v>395</v>
      </c>
      <c r="B396">
        <f t="shared" ca="1" si="73"/>
        <v>52</v>
      </c>
      <c r="C396" t="str">
        <f t="shared" ca="1" si="74"/>
        <v>Male</v>
      </c>
      <c r="D396" s="1">
        <f t="shared" ca="1" si="75"/>
        <v>45628</v>
      </c>
      <c r="E396" s="1">
        <f t="shared" ca="1" si="76"/>
        <v>45635</v>
      </c>
      <c r="F396" t="str">
        <f t="shared" ca="1" si="77"/>
        <v>Stroke</v>
      </c>
      <c r="G396" t="str">
        <f t="shared" ca="1" si="78"/>
        <v>Therapy</v>
      </c>
      <c r="H396">
        <f t="shared" ca="1" si="79"/>
        <v>7</v>
      </c>
      <c r="I396" t="str">
        <f t="shared" ca="1" si="80"/>
        <v>No</v>
      </c>
      <c r="J396">
        <f t="shared" ca="1" si="81"/>
        <v>1</v>
      </c>
      <c r="K396" t="str">
        <f t="shared" ca="1" si="82"/>
        <v>None</v>
      </c>
      <c r="L396" t="str">
        <f t="shared" ca="1" si="83"/>
        <v>ER</v>
      </c>
    </row>
    <row r="397" spans="1:12" x14ac:dyDescent="0.25">
      <c r="A397">
        <f t="shared" si="72"/>
        <v>396</v>
      </c>
      <c r="B397">
        <f t="shared" ca="1" si="73"/>
        <v>55</v>
      </c>
      <c r="C397" t="str">
        <f t="shared" ca="1" si="74"/>
        <v>Male</v>
      </c>
      <c r="D397" s="1">
        <f t="shared" ca="1" si="75"/>
        <v>45413</v>
      </c>
      <c r="E397" s="1">
        <f t="shared" ca="1" si="76"/>
        <v>45415</v>
      </c>
      <c r="F397" t="str">
        <f t="shared" ca="1" si="77"/>
        <v>Heart Failure</v>
      </c>
      <c r="G397" t="str">
        <f t="shared" ca="1" si="78"/>
        <v>Surgery</v>
      </c>
      <c r="H397">
        <f t="shared" ca="1" si="79"/>
        <v>2</v>
      </c>
      <c r="I397" t="str">
        <f t="shared" ca="1" si="80"/>
        <v>Yes</v>
      </c>
      <c r="J397">
        <f t="shared" ca="1" si="81"/>
        <v>1</v>
      </c>
      <c r="K397" t="str">
        <f t="shared" ca="1" si="82"/>
        <v>None</v>
      </c>
      <c r="L397" t="str">
        <f t="shared" ca="1" si="83"/>
        <v>Neurology</v>
      </c>
    </row>
    <row r="398" spans="1:12" x14ac:dyDescent="0.25">
      <c r="A398">
        <f t="shared" si="72"/>
        <v>397</v>
      </c>
      <c r="B398">
        <f t="shared" ca="1" si="73"/>
        <v>73</v>
      </c>
      <c r="C398" t="str">
        <f t="shared" ca="1" si="74"/>
        <v>Female</v>
      </c>
      <c r="D398" s="1">
        <f t="shared" ca="1" si="75"/>
        <v>45358</v>
      </c>
      <c r="E398" s="1">
        <f t="shared" ca="1" si="76"/>
        <v>45370</v>
      </c>
      <c r="F398" t="str">
        <f t="shared" ca="1" si="77"/>
        <v>Diabetes</v>
      </c>
      <c r="G398" t="str">
        <f t="shared" ca="1" si="78"/>
        <v>Therapy</v>
      </c>
      <c r="H398">
        <f t="shared" ca="1" si="79"/>
        <v>12</v>
      </c>
      <c r="I398" t="str">
        <f t="shared" ca="1" si="80"/>
        <v>No</v>
      </c>
      <c r="J398">
        <f t="shared" ca="1" si="81"/>
        <v>1</v>
      </c>
      <c r="K398" t="str">
        <f t="shared" ca="1" si="82"/>
        <v>Public</v>
      </c>
      <c r="L398" t="str">
        <f t="shared" ca="1" si="83"/>
        <v>ICU</v>
      </c>
    </row>
    <row r="399" spans="1:12" x14ac:dyDescent="0.25">
      <c r="A399">
        <f t="shared" si="72"/>
        <v>398</v>
      </c>
      <c r="B399">
        <f t="shared" ca="1" si="73"/>
        <v>50</v>
      </c>
      <c r="C399" t="str">
        <f t="shared" ca="1" si="74"/>
        <v>Female</v>
      </c>
      <c r="D399" s="1">
        <f t="shared" ca="1" si="75"/>
        <v>45480</v>
      </c>
      <c r="E399" s="1">
        <f t="shared" ca="1" si="76"/>
        <v>45484</v>
      </c>
      <c r="F399" t="str">
        <f t="shared" ca="1" si="77"/>
        <v>Heart Failure</v>
      </c>
      <c r="G399" t="str">
        <f t="shared" ca="1" si="78"/>
        <v>Surgery</v>
      </c>
      <c r="H399">
        <f t="shared" ca="1" si="79"/>
        <v>4</v>
      </c>
      <c r="I399" t="str">
        <f t="shared" ca="1" si="80"/>
        <v>Yes</v>
      </c>
      <c r="J399">
        <f t="shared" ca="1" si="81"/>
        <v>4</v>
      </c>
      <c r="K399" t="str">
        <f t="shared" ca="1" si="82"/>
        <v>Private</v>
      </c>
      <c r="L399" t="str">
        <f t="shared" ca="1" si="83"/>
        <v>ER</v>
      </c>
    </row>
    <row r="400" spans="1:12" x14ac:dyDescent="0.25">
      <c r="A400">
        <f t="shared" si="72"/>
        <v>399</v>
      </c>
      <c r="B400">
        <f t="shared" ca="1" si="73"/>
        <v>59</v>
      </c>
      <c r="C400" t="str">
        <f t="shared" ca="1" si="74"/>
        <v>Female</v>
      </c>
      <c r="D400" s="1">
        <f t="shared" ca="1" si="75"/>
        <v>45375</v>
      </c>
      <c r="E400" s="1">
        <f t="shared" ca="1" si="76"/>
        <v>45380</v>
      </c>
      <c r="F400" t="str">
        <f t="shared" ca="1" si="77"/>
        <v>Stroke</v>
      </c>
      <c r="G400" t="str">
        <f t="shared" ca="1" si="78"/>
        <v>Medication</v>
      </c>
      <c r="H400">
        <f t="shared" ca="1" si="79"/>
        <v>5</v>
      </c>
      <c r="I400" t="str">
        <f t="shared" ca="1" si="80"/>
        <v>Yes</v>
      </c>
      <c r="J400">
        <f t="shared" ca="1" si="81"/>
        <v>0</v>
      </c>
      <c r="K400" t="str">
        <f t="shared" ca="1" si="82"/>
        <v>None</v>
      </c>
      <c r="L400" t="str">
        <f t="shared" ca="1" si="83"/>
        <v>ER</v>
      </c>
    </row>
    <row r="401" spans="1:12" x14ac:dyDescent="0.25">
      <c r="A401">
        <f t="shared" si="72"/>
        <v>400</v>
      </c>
      <c r="B401">
        <f t="shared" ca="1" si="73"/>
        <v>41</v>
      </c>
      <c r="C401" t="str">
        <f t="shared" ca="1" si="74"/>
        <v>Male</v>
      </c>
      <c r="D401" s="1">
        <f t="shared" ca="1" si="75"/>
        <v>45545</v>
      </c>
      <c r="E401" s="1">
        <f t="shared" ca="1" si="76"/>
        <v>45548</v>
      </c>
      <c r="F401" t="str">
        <f t="shared" ca="1" si="77"/>
        <v>Pneumonia</v>
      </c>
      <c r="G401" t="str">
        <f t="shared" ca="1" si="78"/>
        <v>Surgery</v>
      </c>
      <c r="H401">
        <f t="shared" ca="1" si="79"/>
        <v>3</v>
      </c>
      <c r="I401" t="str">
        <f t="shared" ca="1" si="80"/>
        <v>No</v>
      </c>
      <c r="J401">
        <f t="shared" ca="1" si="81"/>
        <v>0</v>
      </c>
      <c r="K401" t="str">
        <f t="shared" ca="1" si="82"/>
        <v>Private</v>
      </c>
      <c r="L401" t="str">
        <f t="shared" ca="1" si="83"/>
        <v>Neurology</v>
      </c>
    </row>
    <row r="402" spans="1:12" x14ac:dyDescent="0.25">
      <c r="A402">
        <f t="shared" si="72"/>
        <v>401</v>
      </c>
      <c r="B402">
        <f t="shared" ca="1" si="73"/>
        <v>21</v>
      </c>
      <c r="C402" t="str">
        <f t="shared" ca="1" si="74"/>
        <v>Female</v>
      </c>
      <c r="D402" s="1">
        <f t="shared" ca="1" si="75"/>
        <v>45458</v>
      </c>
      <c r="E402" s="1">
        <f t="shared" ca="1" si="76"/>
        <v>45471</v>
      </c>
      <c r="F402" t="str">
        <f t="shared" ca="1" si="77"/>
        <v>Heart Failure</v>
      </c>
      <c r="G402" t="str">
        <f t="shared" ca="1" si="78"/>
        <v>Surgery</v>
      </c>
      <c r="H402">
        <f t="shared" ca="1" si="79"/>
        <v>13</v>
      </c>
      <c r="I402" t="str">
        <f t="shared" ca="1" si="80"/>
        <v>No</v>
      </c>
      <c r="J402">
        <f t="shared" ca="1" si="81"/>
        <v>0</v>
      </c>
      <c r="K402" t="str">
        <f t="shared" ca="1" si="82"/>
        <v>Private</v>
      </c>
      <c r="L402" t="str">
        <f t="shared" ca="1" si="83"/>
        <v>ER</v>
      </c>
    </row>
    <row r="403" spans="1:12" x14ac:dyDescent="0.25">
      <c r="A403">
        <f t="shared" si="72"/>
        <v>402</v>
      </c>
      <c r="B403">
        <f t="shared" ca="1" si="73"/>
        <v>89</v>
      </c>
      <c r="C403" t="str">
        <f t="shared" ca="1" si="74"/>
        <v>Male</v>
      </c>
      <c r="D403" s="1">
        <f t="shared" ca="1" si="75"/>
        <v>45625</v>
      </c>
      <c r="E403" s="1">
        <f t="shared" ca="1" si="76"/>
        <v>45631</v>
      </c>
      <c r="F403" t="str">
        <f t="shared" ca="1" si="77"/>
        <v>Pneumonia</v>
      </c>
      <c r="G403" t="str">
        <f t="shared" ca="1" si="78"/>
        <v>Therapy</v>
      </c>
      <c r="H403">
        <f t="shared" ca="1" si="79"/>
        <v>6</v>
      </c>
      <c r="I403" t="str">
        <f t="shared" ca="1" si="80"/>
        <v>No</v>
      </c>
      <c r="J403">
        <f t="shared" ca="1" si="81"/>
        <v>1</v>
      </c>
      <c r="K403" t="str">
        <f t="shared" ca="1" si="82"/>
        <v>Private</v>
      </c>
      <c r="L403" t="str">
        <f t="shared" ca="1" si="83"/>
        <v>ICU</v>
      </c>
    </row>
    <row r="404" spans="1:12" x14ac:dyDescent="0.25">
      <c r="A404">
        <f t="shared" si="72"/>
        <v>403</v>
      </c>
      <c r="B404">
        <f t="shared" ca="1" si="73"/>
        <v>80</v>
      </c>
      <c r="C404" t="str">
        <f t="shared" ca="1" si="74"/>
        <v>Male</v>
      </c>
      <c r="D404" s="1">
        <f t="shared" ca="1" si="75"/>
        <v>45652</v>
      </c>
      <c r="E404" s="1">
        <f t="shared" ca="1" si="76"/>
        <v>45662</v>
      </c>
      <c r="F404" t="str">
        <f t="shared" ca="1" si="77"/>
        <v>Stroke</v>
      </c>
      <c r="G404" t="str">
        <f t="shared" ca="1" si="78"/>
        <v>Surgery</v>
      </c>
      <c r="H404">
        <f t="shared" ca="1" si="79"/>
        <v>10</v>
      </c>
      <c r="I404" t="str">
        <f t="shared" ca="1" si="80"/>
        <v>Yes</v>
      </c>
      <c r="J404">
        <f t="shared" ca="1" si="81"/>
        <v>0</v>
      </c>
      <c r="K404" t="str">
        <f t="shared" ca="1" si="82"/>
        <v>Public</v>
      </c>
      <c r="L404" t="str">
        <f t="shared" ca="1" si="83"/>
        <v>Neurology</v>
      </c>
    </row>
    <row r="405" spans="1:12" x14ac:dyDescent="0.25">
      <c r="A405">
        <f t="shared" si="72"/>
        <v>404</v>
      </c>
      <c r="B405">
        <f t="shared" ca="1" si="73"/>
        <v>49</v>
      </c>
      <c r="C405" t="str">
        <f t="shared" ca="1" si="74"/>
        <v>Female</v>
      </c>
      <c r="D405" s="1">
        <f t="shared" ca="1" si="75"/>
        <v>45541</v>
      </c>
      <c r="E405" s="1">
        <f t="shared" ca="1" si="76"/>
        <v>45545</v>
      </c>
      <c r="F405" t="str">
        <f t="shared" ca="1" si="77"/>
        <v>Stroke</v>
      </c>
      <c r="G405" t="str">
        <f t="shared" ca="1" si="78"/>
        <v>Medication</v>
      </c>
      <c r="H405">
        <f t="shared" ca="1" si="79"/>
        <v>4</v>
      </c>
      <c r="I405" t="str">
        <f t="shared" ca="1" si="80"/>
        <v>No</v>
      </c>
      <c r="J405">
        <f t="shared" ca="1" si="81"/>
        <v>0</v>
      </c>
      <c r="K405" t="str">
        <f t="shared" ca="1" si="82"/>
        <v>None</v>
      </c>
      <c r="L405" t="str">
        <f t="shared" ca="1" si="83"/>
        <v>Cardiology</v>
      </c>
    </row>
    <row r="406" spans="1:12" x14ac:dyDescent="0.25">
      <c r="A406">
        <f t="shared" si="72"/>
        <v>405</v>
      </c>
      <c r="B406">
        <f t="shared" ca="1" si="73"/>
        <v>67</v>
      </c>
      <c r="C406" t="str">
        <f t="shared" ca="1" si="74"/>
        <v>Female</v>
      </c>
      <c r="D406" s="1">
        <f t="shared" ca="1" si="75"/>
        <v>45617</v>
      </c>
      <c r="E406" s="1">
        <f t="shared" ca="1" si="76"/>
        <v>45628</v>
      </c>
      <c r="F406" t="str">
        <f t="shared" ca="1" si="77"/>
        <v>Hypertension</v>
      </c>
      <c r="G406" t="str">
        <f t="shared" ca="1" si="78"/>
        <v>Medication</v>
      </c>
      <c r="H406">
        <f t="shared" ca="1" si="79"/>
        <v>11</v>
      </c>
      <c r="I406" t="str">
        <f t="shared" ca="1" si="80"/>
        <v>No</v>
      </c>
      <c r="J406">
        <f t="shared" ca="1" si="81"/>
        <v>3</v>
      </c>
      <c r="K406" t="str">
        <f t="shared" ca="1" si="82"/>
        <v>Public</v>
      </c>
      <c r="L406" t="str">
        <f t="shared" ca="1" si="83"/>
        <v>Cardiology</v>
      </c>
    </row>
    <row r="407" spans="1:12" x14ac:dyDescent="0.25">
      <c r="A407">
        <f t="shared" si="72"/>
        <v>406</v>
      </c>
      <c r="B407">
        <f t="shared" ca="1" si="73"/>
        <v>41</v>
      </c>
      <c r="C407" t="str">
        <f t="shared" ca="1" si="74"/>
        <v>Female</v>
      </c>
      <c r="D407" s="1">
        <f t="shared" ca="1" si="75"/>
        <v>45509</v>
      </c>
      <c r="E407" s="1">
        <f t="shared" ca="1" si="76"/>
        <v>45521</v>
      </c>
      <c r="F407" t="str">
        <f t="shared" ca="1" si="77"/>
        <v>Diabetes</v>
      </c>
      <c r="G407" t="str">
        <f t="shared" ca="1" si="78"/>
        <v>Medication</v>
      </c>
      <c r="H407">
        <f t="shared" ca="1" si="79"/>
        <v>12</v>
      </c>
      <c r="I407" t="str">
        <f t="shared" ca="1" si="80"/>
        <v>No</v>
      </c>
      <c r="J407">
        <f t="shared" ca="1" si="81"/>
        <v>3</v>
      </c>
      <c r="K407" t="str">
        <f t="shared" ca="1" si="82"/>
        <v>None</v>
      </c>
      <c r="L407" t="str">
        <f t="shared" ca="1" si="83"/>
        <v>Neurology</v>
      </c>
    </row>
    <row r="408" spans="1:12" x14ac:dyDescent="0.25">
      <c r="A408">
        <f t="shared" si="72"/>
        <v>407</v>
      </c>
      <c r="B408">
        <f t="shared" ca="1" si="73"/>
        <v>25</v>
      </c>
      <c r="C408" t="str">
        <f t="shared" ca="1" si="74"/>
        <v>Female</v>
      </c>
      <c r="D408" s="1">
        <f t="shared" ca="1" si="75"/>
        <v>45373</v>
      </c>
      <c r="E408" s="1">
        <f t="shared" ca="1" si="76"/>
        <v>45375</v>
      </c>
      <c r="F408" t="str">
        <f t="shared" ca="1" si="77"/>
        <v>Heart Failure</v>
      </c>
      <c r="G408" t="str">
        <f t="shared" ca="1" si="78"/>
        <v>Surgery</v>
      </c>
      <c r="H408">
        <f t="shared" ca="1" si="79"/>
        <v>2</v>
      </c>
      <c r="I408" t="str">
        <f t="shared" ca="1" si="80"/>
        <v>No</v>
      </c>
      <c r="J408">
        <f t="shared" ca="1" si="81"/>
        <v>2</v>
      </c>
      <c r="K408" t="str">
        <f t="shared" ca="1" si="82"/>
        <v>None</v>
      </c>
      <c r="L408" t="str">
        <f t="shared" ca="1" si="83"/>
        <v>General</v>
      </c>
    </row>
    <row r="409" spans="1:12" x14ac:dyDescent="0.25">
      <c r="A409">
        <f t="shared" si="72"/>
        <v>408</v>
      </c>
      <c r="B409">
        <f t="shared" ca="1" si="73"/>
        <v>81</v>
      </c>
      <c r="C409" t="str">
        <f t="shared" ca="1" si="74"/>
        <v>Male</v>
      </c>
      <c r="D409" s="1">
        <f t="shared" ca="1" si="75"/>
        <v>45404</v>
      </c>
      <c r="E409" s="1">
        <f t="shared" ca="1" si="76"/>
        <v>45419</v>
      </c>
      <c r="F409" t="str">
        <f t="shared" ca="1" si="77"/>
        <v>Heart Failure</v>
      </c>
      <c r="G409" t="str">
        <f t="shared" ca="1" si="78"/>
        <v>Therapy</v>
      </c>
      <c r="H409">
        <f t="shared" ca="1" si="79"/>
        <v>15</v>
      </c>
      <c r="I409" t="str">
        <f t="shared" ca="1" si="80"/>
        <v>No</v>
      </c>
      <c r="J409">
        <f t="shared" ca="1" si="81"/>
        <v>4</v>
      </c>
      <c r="K409" t="str">
        <f t="shared" ca="1" si="82"/>
        <v>None</v>
      </c>
      <c r="L409" t="str">
        <f t="shared" ca="1" si="83"/>
        <v>ER</v>
      </c>
    </row>
    <row r="410" spans="1:12" x14ac:dyDescent="0.25">
      <c r="A410">
        <f t="shared" si="72"/>
        <v>409</v>
      </c>
      <c r="B410">
        <f t="shared" ca="1" si="73"/>
        <v>49</v>
      </c>
      <c r="C410" t="str">
        <f t="shared" ca="1" si="74"/>
        <v>Male</v>
      </c>
      <c r="D410" s="1">
        <f t="shared" ca="1" si="75"/>
        <v>45515</v>
      </c>
      <c r="E410" s="1">
        <f t="shared" ca="1" si="76"/>
        <v>45521</v>
      </c>
      <c r="F410" t="str">
        <f t="shared" ca="1" si="77"/>
        <v>Pneumonia</v>
      </c>
      <c r="G410" t="str">
        <f t="shared" ca="1" si="78"/>
        <v>Medication</v>
      </c>
      <c r="H410">
        <f t="shared" ca="1" si="79"/>
        <v>6</v>
      </c>
      <c r="I410" t="str">
        <f t="shared" ca="1" si="80"/>
        <v>No</v>
      </c>
      <c r="J410">
        <f t="shared" ca="1" si="81"/>
        <v>4</v>
      </c>
      <c r="K410" t="str">
        <f t="shared" ca="1" si="82"/>
        <v>Private</v>
      </c>
      <c r="L410" t="str">
        <f t="shared" ca="1" si="83"/>
        <v>ICU</v>
      </c>
    </row>
    <row r="411" spans="1:12" x14ac:dyDescent="0.25">
      <c r="A411">
        <f t="shared" si="72"/>
        <v>410</v>
      </c>
      <c r="B411">
        <f t="shared" ca="1" si="73"/>
        <v>79</v>
      </c>
      <c r="C411" t="str">
        <f t="shared" ca="1" si="74"/>
        <v>Female</v>
      </c>
      <c r="D411" s="1">
        <f t="shared" ca="1" si="75"/>
        <v>45641</v>
      </c>
      <c r="E411" s="1">
        <f t="shared" ca="1" si="76"/>
        <v>45646</v>
      </c>
      <c r="F411" t="str">
        <f t="shared" ca="1" si="77"/>
        <v>Pneumonia</v>
      </c>
      <c r="G411" t="str">
        <f t="shared" ca="1" si="78"/>
        <v>Surgery</v>
      </c>
      <c r="H411">
        <f t="shared" ca="1" si="79"/>
        <v>5</v>
      </c>
      <c r="I411" t="str">
        <f t="shared" ca="1" si="80"/>
        <v>No</v>
      </c>
      <c r="J411">
        <f t="shared" ca="1" si="81"/>
        <v>1</v>
      </c>
      <c r="K411" t="str">
        <f t="shared" ca="1" si="82"/>
        <v>Private</v>
      </c>
      <c r="L411" t="str">
        <f t="shared" ca="1" si="83"/>
        <v>Neurology</v>
      </c>
    </row>
    <row r="412" spans="1:12" x14ac:dyDescent="0.25">
      <c r="A412">
        <f t="shared" si="72"/>
        <v>411</v>
      </c>
      <c r="B412">
        <f t="shared" ca="1" si="73"/>
        <v>81</v>
      </c>
      <c r="C412" t="str">
        <f t="shared" ca="1" si="74"/>
        <v>Male</v>
      </c>
      <c r="D412" s="1">
        <f t="shared" ca="1" si="75"/>
        <v>45417</v>
      </c>
      <c r="E412" s="1">
        <f t="shared" ca="1" si="76"/>
        <v>45421</v>
      </c>
      <c r="F412" t="str">
        <f t="shared" ca="1" si="77"/>
        <v>Heart Failure</v>
      </c>
      <c r="G412" t="str">
        <f t="shared" ca="1" si="78"/>
        <v>Therapy</v>
      </c>
      <c r="H412">
        <f t="shared" ca="1" si="79"/>
        <v>4</v>
      </c>
      <c r="I412" t="str">
        <f t="shared" ca="1" si="80"/>
        <v>No</v>
      </c>
      <c r="J412">
        <f t="shared" ca="1" si="81"/>
        <v>4</v>
      </c>
      <c r="K412" t="str">
        <f t="shared" ca="1" si="82"/>
        <v>None</v>
      </c>
      <c r="L412" t="str">
        <f t="shared" ca="1" si="83"/>
        <v>Neurology</v>
      </c>
    </row>
    <row r="413" spans="1:12" x14ac:dyDescent="0.25">
      <c r="A413">
        <f t="shared" si="72"/>
        <v>412</v>
      </c>
      <c r="B413">
        <f t="shared" ca="1" si="73"/>
        <v>41</v>
      </c>
      <c r="C413" t="str">
        <f t="shared" ca="1" si="74"/>
        <v>Male</v>
      </c>
      <c r="D413" s="1">
        <f t="shared" ca="1" si="75"/>
        <v>45639</v>
      </c>
      <c r="E413" s="1">
        <f t="shared" ca="1" si="76"/>
        <v>45653</v>
      </c>
      <c r="F413" t="str">
        <f t="shared" ca="1" si="77"/>
        <v>Diabetes</v>
      </c>
      <c r="G413" t="str">
        <f t="shared" ca="1" si="78"/>
        <v>Medication</v>
      </c>
      <c r="H413">
        <f t="shared" ca="1" si="79"/>
        <v>14</v>
      </c>
      <c r="I413" t="str">
        <f t="shared" ca="1" si="80"/>
        <v>No</v>
      </c>
      <c r="J413">
        <f t="shared" ca="1" si="81"/>
        <v>2</v>
      </c>
      <c r="K413" t="str">
        <f t="shared" ca="1" si="82"/>
        <v>Public</v>
      </c>
      <c r="L413" t="str">
        <f t="shared" ca="1" si="83"/>
        <v>ER</v>
      </c>
    </row>
    <row r="414" spans="1:12" x14ac:dyDescent="0.25">
      <c r="A414">
        <f t="shared" si="72"/>
        <v>413</v>
      </c>
      <c r="B414">
        <f t="shared" ca="1" si="73"/>
        <v>38</v>
      </c>
      <c r="C414" t="str">
        <f t="shared" ca="1" si="74"/>
        <v>Male</v>
      </c>
      <c r="D414" s="1">
        <f t="shared" ca="1" si="75"/>
        <v>45318</v>
      </c>
      <c r="E414" s="1">
        <f t="shared" ca="1" si="76"/>
        <v>45319</v>
      </c>
      <c r="F414" t="str">
        <f t="shared" ca="1" si="77"/>
        <v>Hypertension</v>
      </c>
      <c r="G414" t="str">
        <f t="shared" ca="1" si="78"/>
        <v>Surgery</v>
      </c>
      <c r="H414">
        <f t="shared" ca="1" si="79"/>
        <v>1</v>
      </c>
      <c r="I414" t="str">
        <f t="shared" ca="1" si="80"/>
        <v>Yes</v>
      </c>
      <c r="J414">
        <f t="shared" ca="1" si="81"/>
        <v>2</v>
      </c>
      <c r="K414" t="str">
        <f t="shared" ca="1" si="82"/>
        <v>Public</v>
      </c>
      <c r="L414" t="str">
        <f t="shared" ca="1" si="83"/>
        <v>ICU</v>
      </c>
    </row>
    <row r="415" spans="1:12" x14ac:dyDescent="0.25">
      <c r="A415">
        <f t="shared" si="72"/>
        <v>414</v>
      </c>
      <c r="B415">
        <f t="shared" ca="1" si="73"/>
        <v>47</v>
      </c>
      <c r="C415" t="str">
        <f t="shared" ca="1" si="74"/>
        <v>Female</v>
      </c>
      <c r="D415" s="1">
        <f t="shared" ca="1" si="75"/>
        <v>45391</v>
      </c>
      <c r="E415" s="1">
        <f t="shared" ca="1" si="76"/>
        <v>45395</v>
      </c>
      <c r="F415" t="str">
        <f t="shared" ca="1" si="77"/>
        <v>Diabetes</v>
      </c>
      <c r="G415" t="str">
        <f t="shared" ca="1" si="78"/>
        <v>Surgery</v>
      </c>
      <c r="H415">
        <f t="shared" ca="1" si="79"/>
        <v>4</v>
      </c>
      <c r="I415" t="str">
        <f t="shared" ca="1" si="80"/>
        <v>No</v>
      </c>
      <c r="J415">
        <f t="shared" ca="1" si="81"/>
        <v>2</v>
      </c>
      <c r="K415" t="str">
        <f t="shared" ca="1" si="82"/>
        <v>Public</v>
      </c>
      <c r="L415" t="str">
        <f t="shared" ca="1" si="83"/>
        <v>ER</v>
      </c>
    </row>
    <row r="416" spans="1:12" x14ac:dyDescent="0.25">
      <c r="A416">
        <f t="shared" si="72"/>
        <v>415</v>
      </c>
      <c r="B416">
        <f t="shared" ca="1" si="73"/>
        <v>41</v>
      </c>
      <c r="C416" t="str">
        <f t="shared" ca="1" si="74"/>
        <v>Female</v>
      </c>
      <c r="D416" s="1">
        <f t="shared" ca="1" si="75"/>
        <v>45435</v>
      </c>
      <c r="E416" s="1">
        <f t="shared" ca="1" si="76"/>
        <v>45449</v>
      </c>
      <c r="F416" t="str">
        <f t="shared" ca="1" si="77"/>
        <v>Stroke</v>
      </c>
      <c r="G416" t="str">
        <f t="shared" ca="1" si="78"/>
        <v>Medication</v>
      </c>
      <c r="H416">
        <f t="shared" ca="1" si="79"/>
        <v>14</v>
      </c>
      <c r="I416" t="str">
        <f t="shared" ca="1" si="80"/>
        <v>Yes</v>
      </c>
      <c r="J416">
        <f t="shared" ca="1" si="81"/>
        <v>1</v>
      </c>
      <c r="K416" t="str">
        <f t="shared" ca="1" si="82"/>
        <v>Public</v>
      </c>
      <c r="L416" t="str">
        <f t="shared" ca="1" si="83"/>
        <v>ER</v>
      </c>
    </row>
    <row r="417" spans="1:12" x14ac:dyDescent="0.25">
      <c r="A417">
        <f t="shared" si="72"/>
        <v>416</v>
      </c>
      <c r="B417">
        <f t="shared" ca="1" si="73"/>
        <v>53</v>
      </c>
      <c r="C417" t="str">
        <f t="shared" ca="1" si="74"/>
        <v>Male</v>
      </c>
      <c r="D417" s="1">
        <f t="shared" ca="1" si="75"/>
        <v>45326</v>
      </c>
      <c r="E417" s="1">
        <f t="shared" ca="1" si="76"/>
        <v>45331</v>
      </c>
      <c r="F417" t="str">
        <f t="shared" ca="1" si="77"/>
        <v>Heart Failure</v>
      </c>
      <c r="G417" t="str">
        <f t="shared" ca="1" si="78"/>
        <v>Therapy</v>
      </c>
      <c r="H417">
        <f t="shared" ca="1" si="79"/>
        <v>5</v>
      </c>
      <c r="I417" t="str">
        <f t="shared" ca="1" si="80"/>
        <v>Yes</v>
      </c>
      <c r="J417">
        <f t="shared" ca="1" si="81"/>
        <v>2</v>
      </c>
      <c r="K417" t="str">
        <f t="shared" ca="1" si="82"/>
        <v>Public</v>
      </c>
      <c r="L417" t="str">
        <f t="shared" ca="1" si="83"/>
        <v>General</v>
      </c>
    </row>
    <row r="418" spans="1:12" x14ac:dyDescent="0.25">
      <c r="A418">
        <f t="shared" si="72"/>
        <v>417</v>
      </c>
      <c r="B418">
        <f t="shared" ca="1" si="73"/>
        <v>67</v>
      </c>
      <c r="C418" t="str">
        <f t="shared" ca="1" si="74"/>
        <v>Male</v>
      </c>
      <c r="D418" s="1">
        <f t="shared" ca="1" si="75"/>
        <v>45417</v>
      </c>
      <c r="E418" s="1">
        <f t="shared" ca="1" si="76"/>
        <v>45419</v>
      </c>
      <c r="F418" t="str">
        <f t="shared" ca="1" si="77"/>
        <v>Pneumonia</v>
      </c>
      <c r="G418" t="str">
        <f t="shared" ca="1" si="78"/>
        <v>Medication</v>
      </c>
      <c r="H418">
        <f t="shared" ca="1" si="79"/>
        <v>2</v>
      </c>
      <c r="I418" t="str">
        <f t="shared" ca="1" si="80"/>
        <v>Yes</v>
      </c>
      <c r="J418">
        <f t="shared" ca="1" si="81"/>
        <v>2</v>
      </c>
      <c r="K418" t="str">
        <f t="shared" ca="1" si="82"/>
        <v>Public</v>
      </c>
      <c r="L418" t="str">
        <f t="shared" ca="1" si="83"/>
        <v>ICU</v>
      </c>
    </row>
    <row r="419" spans="1:12" x14ac:dyDescent="0.25">
      <c r="A419">
        <f t="shared" si="72"/>
        <v>418</v>
      </c>
      <c r="B419">
        <f t="shared" ca="1" si="73"/>
        <v>84</v>
      </c>
      <c r="C419" t="str">
        <f t="shared" ca="1" si="74"/>
        <v>Male</v>
      </c>
      <c r="D419" s="1">
        <f t="shared" ca="1" si="75"/>
        <v>45608</v>
      </c>
      <c r="E419" s="1">
        <f t="shared" ca="1" si="76"/>
        <v>45611</v>
      </c>
      <c r="F419" t="str">
        <f t="shared" ca="1" si="77"/>
        <v>Heart Failure</v>
      </c>
      <c r="G419" t="str">
        <f t="shared" ca="1" si="78"/>
        <v>Therapy</v>
      </c>
      <c r="H419">
        <f t="shared" ca="1" si="79"/>
        <v>3</v>
      </c>
      <c r="I419" t="str">
        <f t="shared" ca="1" si="80"/>
        <v>No</v>
      </c>
      <c r="J419">
        <f t="shared" ca="1" si="81"/>
        <v>1</v>
      </c>
      <c r="K419" t="str">
        <f t="shared" ca="1" si="82"/>
        <v>None</v>
      </c>
      <c r="L419" t="str">
        <f t="shared" ca="1" si="83"/>
        <v>General</v>
      </c>
    </row>
    <row r="420" spans="1:12" x14ac:dyDescent="0.25">
      <c r="A420">
        <f t="shared" si="72"/>
        <v>419</v>
      </c>
      <c r="B420">
        <f t="shared" ca="1" si="73"/>
        <v>55</v>
      </c>
      <c r="C420" t="str">
        <f t="shared" ca="1" si="74"/>
        <v>Male</v>
      </c>
      <c r="D420" s="1">
        <f t="shared" ca="1" si="75"/>
        <v>45552</v>
      </c>
      <c r="E420" s="1">
        <f t="shared" ca="1" si="76"/>
        <v>45561</v>
      </c>
      <c r="F420" t="str">
        <f t="shared" ca="1" si="77"/>
        <v>Diabetes</v>
      </c>
      <c r="G420" t="str">
        <f t="shared" ca="1" si="78"/>
        <v>Therapy</v>
      </c>
      <c r="H420">
        <f t="shared" ca="1" si="79"/>
        <v>9</v>
      </c>
      <c r="I420" t="str">
        <f t="shared" ca="1" si="80"/>
        <v>No</v>
      </c>
      <c r="J420">
        <f t="shared" ca="1" si="81"/>
        <v>4</v>
      </c>
      <c r="K420" t="str">
        <f t="shared" ca="1" si="82"/>
        <v>Private</v>
      </c>
      <c r="L420" t="str">
        <f t="shared" ca="1" si="83"/>
        <v>Neurology</v>
      </c>
    </row>
    <row r="421" spans="1:12" x14ac:dyDescent="0.25">
      <c r="A421">
        <f t="shared" si="72"/>
        <v>420</v>
      </c>
      <c r="B421">
        <f t="shared" ca="1" si="73"/>
        <v>56</v>
      </c>
      <c r="C421" t="str">
        <f t="shared" ca="1" si="74"/>
        <v>Female</v>
      </c>
      <c r="D421" s="1">
        <f t="shared" ca="1" si="75"/>
        <v>45631</v>
      </c>
      <c r="E421" s="1">
        <f t="shared" ca="1" si="76"/>
        <v>45637</v>
      </c>
      <c r="F421" t="str">
        <f t="shared" ca="1" si="77"/>
        <v>Pneumonia</v>
      </c>
      <c r="G421" t="str">
        <f t="shared" ca="1" si="78"/>
        <v>Medication</v>
      </c>
      <c r="H421">
        <f t="shared" ca="1" si="79"/>
        <v>6</v>
      </c>
      <c r="I421" t="str">
        <f t="shared" ca="1" si="80"/>
        <v>No</v>
      </c>
      <c r="J421">
        <f t="shared" ca="1" si="81"/>
        <v>3</v>
      </c>
      <c r="K421" t="str">
        <f t="shared" ca="1" si="82"/>
        <v>None</v>
      </c>
      <c r="L421" t="str">
        <f t="shared" ca="1" si="83"/>
        <v>ICU</v>
      </c>
    </row>
    <row r="422" spans="1:12" x14ac:dyDescent="0.25">
      <c r="A422">
        <f t="shared" si="72"/>
        <v>421</v>
      </c>
      <c r="B422">
        <f t="shared" ca="1" si="73"/>
        <v>53</v>
      </c>
      <c r="C422" t="str">
        <f t="shared" ca="1" si="74"/>
        <v>Female</v>
      </c>
      <c r="D422" s="1">
        <f t="shared" ca="1" si="75"/>
        <v>45362</v>
      </c>
      <c r="E422" s="1">
        <f t="shared" ca="1" si="76"/>
        <v>45365</v>
      </c>
      <c r="F422" t="str">
        <f t="shared" ca="1" si="77"/>
        <v>Pneumonia</v>
      </c>
      <c r="G422" t="str">
        <f t="shared" ca="1" si="78"/>
        <v>Surgery</v>
      </c>
      <c r="H422">
        <f t="shared" ca="1" si="79"/>
        <v>3</v>
      </c>
      <c r="I422" t="str">
        <f t="shared" ca="1" si="80"/>
        <v>No</v>
      </c>
      <c r="J422">
        <f t="shared" ca="1" si="81"/>
        <v>3</v>
      </c>
      <c r="K422" t="str">
        <f t="shared" ca="1" si="82"/>
        <v>None</v>
      </c>
      <c r="L422" t="str">
        <f t="shared" ca="1" si="83"/>
        <v>Neurology</v>
      </c>
    </row>
    <row r="423" spans="1:12" x14ac:dyDescent="0.25">
      <c r="A423">
        <f t="shared" si="72"/>
        <v>422</v>
      </c>
      <c r="B423">
        <f t="shared" ca="1" si="73"/>
        <v>51</v>
      </c>
      <c r="C423" t="str">
        <f t="shared" ca="1" si="74"/>
        <v>Female</v>
      </c>
      <c r="D423" s="1">
        <f t="shared" ca="1" si="75"/>
        <v>45592</v>
      </c>
      <c r="E423" s="1">
        <f t="shared" ca="1" si="76"/>
        <v>45596</v>
      </c>
      <c r="F423" t="str">
        <f t="shared" ca="1" si="77"/>
        <v>Diabetes</v>
      </c>
      <c r="G423" t="str">
        <f t="shared" ca="1" si="78"/>
        <v>Surgery</v>
      </c>
      <c r="H423">
        <f t="shared" ca="1" si="79"/>
        <v>4</v>
      </c>
      <c r="I423" t="str">
        <f t="shared" ca="1" si="80"/>
        <v>Yes</v>
      </c>
      <c r="J423">
        <f t="shared" ca="1" si="81"/>
        <v>4</v>
      </c>
      <c r="K423" t="str">
        <f t="shared" ca="1" si="82"/>
        <v>Private</v>
      </c>
      <c r="L423" t="str">
        <f t="shared" ca="1" si="83"/>
        <v>Neurology</v>
      </c>
    </row>
    <row r="424" spans="1:12" x14ac:dyDescent="0.25">
      <c r="A424">
        <f t="shared" si="72"/>
        <v>423</v>
      </c>
      <c r="B424">
        <f t="shared" ca="1" si="73"/>
        <v>58</v>
      </c>
      <c r="C424" t="str">
        <f t="shared" ca="1" si="74"/>
        <v>Male</v>
      </c>
      <c r="D424" s="1">
        <f t="shared" ca="1" si="75"/>
        <v>45534</v>
      </c>
      <c r="E424" s="1">
        <f t="shared" ca="1" si="76"/>
        <v>45537</v>
      </c>
      <c r="F424" t="str">
        <f t="shared" ca="1" si="77"/>
        <v>Diabetes</v>
      </c>
      <c r="G424" t="str">
        <f t="shared" ca="1" si="78"/>
        <v>Therapy</v>
      </c>
      <c r="H424">
        <f t="shared" ca="1" si="79"/>
        <v>3</v>
      </c>
      <c r="I424" t="str">
        <f t="shared" ca="1" si="80"/>
        <v>No</v>
      </c>
      <c r="J424">
        <f t="shared" ca="1" si="81"/>
        <v>0</v>
      </c>
      <c r="K424" t="str">
        <f t="shared" ca="1" si="82"/>
        <v>Private</v>
      </c>
      <c r="L424" t="str">
        <f t="shared" ca="1" si="83"/>
        <v>General</v>
      </c>
    </row>
    <row r="425" spans="1:12" x14ac:dyDescent="0.25">
      <c r="A425">
        <f t="shared" si="72"/>
        <v>424</v>
      </c>
      <c r="B425">
        <f t="shared" ca="1" si="73"/>
        <v>51</v>
      </c>
      <c r="C425" t="str">
        <f t="shared" ca="1" si="74"/>
        <v>Female</v>
      </c>
      <c r="D425" s="1">
        <f t="shared" ca="1" si="75"/>
        <v>45475</v>
      </c>
      <c r="E425" s="1">
        <f t="shared" ca="1" si="76"/>
        <v>45481</v>
      </c>
      <c r="F425" t="str">
        <f t="shared" ca="1" si="77"/>
        <v>Diabetes</v>
      </c>
      <c r="G425" t="str">
        <f t="shared" ca="1" si="78"/>
        <v>Medication</v>
      </c>
      <c r="H425">
        <f t="shared" ca="1" si="79"/>
        <v>6</v>
      </c>
      <c r="I425" t="str">
        <f t="shared" ca="1" si="80"/>
        <v>Yes</v>
      </c>
      <c r="J425">
        <f t="shared" ca="1" si="81"/>
        <v>4</v>
      </c>
      <c r="K425" t="str">
        <f t="shared" ca="1" si="82"/>
        <v>Public</v>
      </c>
      <c r="L425" t="str">
        <f t="shared" ca="1" si="83"/>
        <v>ER</v>
      </c>
    </row>
    <row r="426" spans="1:12" x14ac:dyDescent="0.25">
      <c r="A426">
        <f t="shared" si="72"/>
        <v>425</v>
      </c>
      <c r="B426">
        <f t="shared" ca="1" si="73"/>
        <v>78</v>
      </c>
      <c r="C426" t="str">
        <f t="shared" ca="1" si="74"/>
        <v>Female</v>
      </c>
      <c r="D426" s="1">
        <f t="shared" ca="1" si="75"/>
        <v>45601</v>
      </c>
      <c r="E426" s="1">
        <f t="shared" ca="1" si="76"/>
        <v>45603</v>
      </c>
      <c r="F426" t="str">
        <f t="shared" ca="1" si="77"/>
        <v>Pneumonia</v>
      </c>
      <c r="G426" t="str">
        <f t="shared" ca="1" si="78"/>
        <v>Medication</v>
      </c>
      <c r="H426">
        <f t="shared" ca="1" si="79"/>
        <v>2</v>
      </c>
      <c r="I426" t="str">
        <f t="shared" ca="1" si="80"/>
        <v>Yes</v>
      </c>
      <c r="J426">
        <f t="shared" ca="1" si="81"/>
        <v>1</v>
      </c>
      <c r="K426" t="str">
        <f t="shared" ca="1" si="82"/>
        <v>Private</v>
      </c>
      <c r="L426" t="str">
        <f t="shared" ca="1" si="83"/>
        <v>Cardiology</v>
      </c>
    </row>
    <row r="427" spans="1:12" x14ac:dyDescent="0.25">
      <c r="A427">
        <f t="shared" si="72"/>
        <v>426</v>
      </c>
      <c r="B427">
        <f t="shared" ca="1" si="73"/>
        <v>31</v>
      </c>
      <c r="C427" t="str">
        <f t="shared" ca="1" si="74"/>
        <v>Male</v>
      </c>
      <c r="D427" s="1">
        <f t="shared" ca="1" si="75"/>
        <v>45553</v>
      </c>
      <c r="E427" s="1">
        <f t="shared" ca="1" si="76"/>
        <v>45554</v>
      </c>
      <c r="F427" t="str">
        <f t="shared" ca="1" si="77"/>
        <v>Hypertension</v>
      </c>
      <c r="G427" t="str">
        <f t="shared" ca="1" si="78"/>
        <v>Medication</v>
      </c>
      <c r="H427">
        <f t="shared" ca="1" si="79"/>
        <v>1</v>
      </c>
      <c r="I427" t="str">
        <f t="shared" ca="1" si="80"/>
        <v>Yes</v>
      </c>
      <c r="J427">
        <f t="shared" ca="1" si="81"/>
        <v>0</v>
      </c>
      <c r="K427" t="str">
        <f t="shared" ca="1" si="82"/>
        <v>Public</v>
      </c>
      <c r="L427" t="str">
        <f t="shared" ca="1" si="83"/>
        <v>Neurology</v>
      </c>
    </row>
    <row r="428" spans="1:12" x14ac:dyDescent="0.25">
      <c r="A428">
        <f t="shared" si="72"/>
        <v>427</v>
      </c>
      <c r="B428">
        <f t="shared" ca="1" si="73"/>
        <v>89</v>
      </c>
      <c r="C428" t="str">
        <f t="shared" ca="1" si="74"/>
        <v>Male</v>
      </c>
      <c r="D428" s="1">
        <f t="shared" ca="1" si="75"/>
        <v>45439</v>
      </c>
      <c r="E428" s="1">
        <f t="shared" ca="1" si="76"/>
        <v>45454</v>
      </c>
      <c r="F428" t="str">
        <f t="shared" ca="1" si="77"/>
        <v>Hypertension</v>
      </c>
      <c r="G428" t="str">
        <f t="shared" ca="1" si="78"/>
        <v>Medication</v>
      </c>
      <c r="H428">
        <f t="shared" ca="1" si="79"/>
        <v>15</v>
      </c>
      <c r="I428" t="str">
        <f t="shared" ca="1" si="80"/>
        <v>No</v>
      </c>
      <c r="J428">
        <f t="shared" ca="1" si="81"/>
        <v>3</v>
      </c>
      <c r="K428" t="str">
        <f t="shared" ca="1" si="82"/>
        <v>Public</v>
      </c>
      <c r="L428" t="str">
        <f t="shared" ca="1" si="83"/>
        <v>Neurology</v>
      </c>
    </row>
    <row r="429" spans="1:12" x14ac:dyDescent="0.25">
      <c r="A429">
        <f t="shared" si="72"/>
        <v>428</v>
      </c>
      <c r="B429">
        <f t="shared" ca="1" si="73"/>
        <v>26</v>
      </c>
      <c r="C429" t="str">
        <f t="shared" ca="1" si="74"/>
        <v>Female</v>
      </c>
      <c r="D429" s="1">
        <f t="shared" ca="1" si="75"/>
        <v>45518</v>
      </c>
      <c r="E429" s="1">
        <f t="shared" ca="1" si="76"/>
        <v>45527</v>
      </c>
      <c r="F429" t="str">
        <f t="shared" ca="1" si="77"/>
        <v>Pneumonia</v>
      </c>
      <c r="G429" t="str">
        <f t="shared" ca="1" si="78"/>
        <v>Medication</v>
      </c>
      <c r="H429">
        <f t="shared" ca="1" si="79"/>
        <v>9</v>
      </c>
      <c r="I429" t="str">
        <f t="shared" ca="1" si="80"/>
        <v>Yes</v>
      </c>
      <c r="J429">
        <f t="shared" ca="1" si="81"/>
        <v>2</v>
      </c>
      <c r="K429" t="str">
        <f t="shared" ca="1" si="82"/>
        <v>Private</v>
      </c>
      <c r="L429" t="str">
        <f t="shared" ca="1" si="83"/>
        <v>Neurology</v>
      </c>
    </row>
    <row r="430" spans="1:12" x14ac:dyDescent="0.25">
      <c r="A430">
        <f t="shared" si="72"/>
        <v>429</v>
      </c>
      <c r="B430">
        <f t="shared" ca="1" si="73"/>
        <v>51</v>
      </c>
      <c r="C430" t="str">
        <f t="shared" ca="1" si="74"/>
        <v>Male</v>
      </c>
      <c r="D430" s="1">
        <f t="shared" ca="1" si="75"/>
        <v>45437</v>
      </c>
      <c r="E430" s="1">
        <f t="shared" ca="1" si="76"/>
        <v>45439</v>
      </c>
      <c r="F430" t="str">
        <f t="shared" ca="1" si="77"/>
        <v>Diabetes</v>
      </c>
      <c r="G430" t="str">
        <f t="shared" ca="1" si="78"/>
        <v>Surgery</v>
      </c>
      <c r="H430">
        <f t="shared" ca="1" si="79"/>
        <v>2</v>
      </c>
      <c r="I430" t="str">
        <f t="shared" ca="1" si="80"/>
        <v>No</v>
      </c>
      <c r="J430">
        <f t="shared" ca="1" si="81"/>
        <v>1</v>
      </c>
      <c r="K430" t="str">
        <f t="shared" ca="1" si="82"/>
        <v>None</v>
      </c>
      <c r="L430" t="str">
        <f t="shared" ca="1" si="83"/>
        <v>ICU</v>
      </c>
    </row>
    <row r="431" spans="1:12" x14ac:dyDescent="0.25">
      <c r="A431">
        <f t="shared" si="72"/>
        <v>430</v>
      </c>
      <c r="B431">
        <f t="shared" ca="1" si="73"/>
        <v>86</v>
      </c>
      <c r="C431" t="str">
        <f t="shared" ca="1" si="74"/>
        <v>Male</v>
      </c>
      <c r="D431" s="1">
        <f t="shared" ca="1" si="75"/>
        <v>45645</v>
      </c>
      <c r="E431" s="1">
        <f t="shared" ca="1" si="76"/>
        <v>45653</v>
      </c>
      <c r="F431" t="str">
        <f t="shared" ca="1" si="77"/>
        <v>Pneumonia</v>
      </c>
      <c r="G431" t="str">
        <f t="shared" ca="1" si="78"/>
        <v>Therapy</v>
      </c>
      <c r="H431">
        <f t="shared" ca="1" si="79"/>
        <v>8</v>
      </c>
      <c r="I431" t="str">
        <f t="shared" ca="1" si="80"/>
        <v>No</v>
      </c>
      <c r="J431">
        <f t="shared" ca="1" si="81"/>
        <v>3</v>
      </c>
      <c r="K431" t="str">
        <f t="shared" ca="1" si="82"/>
        <v>Private</v>
      </c>
      <c r="L431" t="str">
        <f t="shared" ca="1" si="83"/>
        <v>General</v>
      </c>
    </row>
    <row r="432" spans="1:12" x14ac:dyDescent="0.25">
      <c r="A432">
        <f t="shared" si="72"/>
        <v>431</v>
      </c>
      <c r="B432">
        <f t="shared" ca="1" si="73"/>
        <v>66</v>
      </c>
      <c r="C432" t="str">
        <f t="shared" ca="1" si="74"/>
        <v>Female</v>
      </c>
      <c r="D432" s="1">
        <f t="shared" ca="1" si="75"/>
        <v>45591</v>
      </c>
      <c r="E432" s="1">
        <f t="shared" ca="1" si="76"/>
        <v>45599</v>
      </c>
      <c r="F432" t="str">
        <f t="shared" ca="1" si="77"/>
        <v>Hypertension</v>
      </c>
      <c r="G432" t="str">
        <f t="shared" ca="1" si="78"/>
        <v>Therapy</v>
      </c>
      <c r="H432">
        <f t="shared" ca="1" si="79"/>
        <v>8</v>
      </c>
      <c r="I432" t="str">
        <f t="shared" ca="1" si="80"/>
        <v>No</v>
      </c>
      <c r="J432">
        <f t="shared" ca="1" si="81"/>
        <v>3</v>
      </c>
      <c r="K432" t="str">
        <f t="shared" ca="1" si="82"/>
        <v>Public</v>
      </c>
      <c r="L432" t="str">
        <f t="shared" ca="1" si="83"/>
        <v>ICU</v>
      </c>
    </row>
    <row r="433" spans="1:12" x14ac:dyDescent="0.25">
      <c r="A433">
        <f t="shared" si="72"/>
        <v>432</v>
      </c>
      <c r="B433">
        <f t="shared" ca="1" si="73"/>
        <v>77</v>
      </c>
      <c r="C433" t="str">
        <f t="shared" ca="1" si="74"/>
        <v>Female</v>
      </c>
      <c r="D433" s="1">
        <f t="shared" ca="1" si="75"/>
        <v>45366</v>
      </c>
      <c r="E433" s="1">
        <f t="shared" ca="1" si="76"/>
        <v>45374</v>
      </c>
      <c r="F433" t="str">
        <f t="shared" ca="1" si="77"/>
        <v>Heart Failure</v>
      </c>
      <c r="G433" t="str">
        <f t="shared" ca="1" si="78"/>
        <v>Surgery</v>
      </c>
      <c r="H433">
        <f t="shared" ca="1" si="79"/>
        <v>8</v>
      </c>
      <c r="I433" t="str">
        <f t="shared" ca="1" si="80"/>
        <v>No</v>
      </c>
      <c r="J433">
        <f t="shared" ca="1" si="81"/>
        <v>3</v>
      </c>
      <c r="K433" t="str">
        <f t="shared" ca="1" si="82"/>
        <v>Private</v>
      </c>
      <c r="L433" t="str">
        <f t="shared" ca="1" si="83"/>
        <v>ER</v>
      </c>
    </row>
    <row r="434" spans="1:12" x14ac:dyDescent="0.25">
      <c r="A434">
        <f t="shared" si="72"/>
        <v>433</v>
      </c>
      <c r="B434">
        <f t="shared" ca="1" si="73"/>
        <v>84</v>
      </c>
      <c r="C434" t="str">
        <f t="shared" ca="1" si="74"/>
        <v>Male</v>
      </c>
      <c r="D434" s="1">
        <f t="shared" ca="1" si="75"/>
        <v>45575</v>
      </c>
      <c r="E434" s="1">
        <f t="shared" ca="1" si="76"/>
        <v>45588</v>
      </c>
      <c r="F434" t="str">
        <f t="shared" ca="1" si="77"/>
        <v>Heart Failure</v>
      </c>
      <c r="G434" t="str">
        <f t="shared" ca="1" si="78"/>
        <v>Surgery</v>
      </c>
      <c r="H434">
        <f t="shared" ca="1" si="79"/>
        <v>13</v>
      </c>
      <c r="I434" t="str">
        <f t="shared" ca="1" si="80"/>
        <v>No</v>
      </c>
      <c r="J434">
        <f t="shared" ca="1" si="81"/>
        <v>0</v>
      </c>
      <c r="K434" t="str">
        <f t="shared" ca="1" si="82"/>
        <v>Public</v>
      </c>
      <c r="L434" t="str">
        <f t="shared" ca="1" si="83"/>
        <v>General</v>
      </c>
    </row>
    <row r="435" spans="1:12" x14ac:dyDescent="0.25">
      <c r="A435">
        <f t="shared" si="72"/>
        <v>434</v>
      </c>
      <c r="B435">
        <f t="shared" ca="1" si="73"/>
        <v>60</v>
      </c>
      <c r="C435" t="str">
        <f t="shared" ca="1" si="74"/>
        <v>Female</v>
      </c>
      <c r="D435" s="1">
        <f t="shared" ca="1" si="75"/>
        <v>45504</v>
      </c>
      <c r="E435" s="1">
        <f t="shared" ca="1" si="76"/>
        <v>45513</v>
      </c>
      <c r="F435" t="str">
        <f t="shared" ca="1" si="77"/>
        <v>Heart Failure</v>
      </c>
      <c r="G435" t="str">
        <f t="shared" ca="1" si="78"/>
        <v>Therapy</v>
      </c>
      <c r="H435">
        <f t="shared" ca="1" si="79"/>
        <v>9</v>
      </c>
      <c r="I435" t="str">
        <f t="shared" ca="1" si="80"/>
        <v>Yes</v>
      </c>
      <c r="J435">
        <f t="shared" ca="1" si="81"/>
        <v>3</v>
      </c>
      <c r="K435" t="str">
        <f t="shared" ca="1" si="82"/>
        <v>None</v>
      </c>
      <c r="L435" t="str">
        <f t="shared" ca="1" si="83"/>
        <v>General</v>
      </c>
    </row>
    <row r="436" spans="1:12" x14ac:dyDescent="0.25">
      <c r="A436">
        <f t="shared" si="72"/>
        <v>435</v>
      </c>
      <c r="B436">
        <f t="shared" ca="1" si="73"/>
        <v>90</v>
      </c>
      <c r="C436" t="str">
        <f t="shared" ca="1" si="74"/>
        <v>Male</v>
      </c>
      <c r="D436" s="1">
        <f t="shared" ca="1" si="75"/>
        <v>45447</v>
      </c>
      <c r="E436" s="1">
        <f t="shared" ca="1" si="76"/>
        <v>45457</v>
      </c>
      <c r="F436" t="str">
        <f t="shared" ca="1" si="77"/>
        <v>Hypertension</v>
      </c>
      <c r="G436" t="str">
        <f t="shared" ca="1" si="78"/>
        <v>Surgery</v>
      </c>
      <c r="H436">
        <f t="shared" ca="1" si="79"/>
        <v>10</v>
      </c>
      <c r="I436" t="str">
        <f t="shared" ca="1" si="80"/>
        <v>Yes</v>
      </c>
      <c r="J436">
        <f t="shared" ca="1" si="81"/>
        <v>3</v>
      </c>
      <c r="K436" t="str">
        <f t="shared" ca="1" si="82"/>
        <v>None</v>
      </c>
      <c r="L436" t="str">
        <f t="shared" ca="1" si="83"/>
        <v>ICU</v>
      </c>
    </row>
    <row r="437" spans="1:12" x14ac:dyDescent="0.25">
      <c r="A437">
        <f t="shared" si="72"/>
        <v>436</v>
      </c>
      <c r="B437">
        <f t="shared" ca="1" si="73"/>
        <v>74</v>
      </c>
      <c r="C437" t="str">
        <f t="shared" ca="1" si="74"/>
        <v>Female</v>
      </c>
      <c r="D437" s="1">
        <f t="shared" ca="1" si="75"/>
        <v>45404</v>
      </c>
      <c r="E437" s="1">
        <f t="shared" ca="1" si="76"/>
        <v>45408</v>
      </c>
      <c r="F437" t="str">
        <f t="shared" ca="1" si="77"/>
        <v>Hypertension</v>
      </c>
      <c r="G437" t="str">
        <f t="shared" ca="1" si="78"/>
        <v>Medication</v>
      </c>
      <c r="H437">
        <f t="shared" ca="1" si="79"/>
        <v>4</v>
      </c>
      <c r="I437" t="str">
        <f t="shared" ca="1" si="80"/>
        <v>No</v>
      </c>
      <c r="J437">
        <f t="shared" ca="1" si="81"/>
        <v>4</v>
      </c>
      <c r="K437" t="str">
        <f t="shared" ca="1" si="82"/>
        <v>Private</v>
      </c>
      <c r="L437" t="str">
        <f t="shared" ca="1" si="83"/>
        <v>Cardiology</v>
      </c>
    </row>
    <row r="438" spans="1:12" x14ac:dyDescent="0.25">
      <c r="A438">
        <f t="shared" si="72"/>
        <v>437</v>
      </c>
      <c r="B438">
        <f t="shared" ca="1" si="73"/>
        <v>83</v>
      </c>
      <c r="C438" t="str">
        <f t="shared" ca="1" si="74"/>
        <v>Male</v>
      </c>
      <c r="D438" s="1">
        <f t="shared" ca="1" si="75"/>
        <v>45508</v>
      </c>
      <c r="E438" s="1">
        <f t="shared" ca="1" si="76"/>
        <v>45520</v>
      </c>
      <c r="F438" t="str">
        <f t="shared" ca="1" si="77"/>
        <v>Pneumonia</v>
      </c>
      <c r="G438" t="str">
        <f t="shared" ca="1" si="78"/>
        <v>Surgery</v>
      </c>
      <c r="H438">
        <f t="shared" ca="1" si="79"/>
        <v>12</v>
      </c>
      <c r="I438" t="str">
        <f t="shared" ca="1" si="80"/>
        <v>Yes</v>
      </c>
      <c r="J438">
        <f t="shared" ca="1" si="81"/>
        <v>1</v>
      </c>
      <c r="K438" t="str">
        <f t="shared" ca="1" si="82"/>
        <v>None</v>
      </c>
      <c r="L438" t="str">
        <f t="shared" ca="1" si="83"/>
        <v>ER</v>
      </c>
    </row>
    <row r="439" spans="1:12" x14ac:dyDescent="0.25">
      <c r="A439">
        <f t="shared" si="72"/>
        <v>438</v>
      </c>
      <c r="B439">
        <f t="shared" ca="1" si="73"/>
        <v>32</v>
      </c>
      <c r="C439" t="str">
        <f t="shared" ca="1" si="74"/>
        <v>Female</v>
      </c>
      <c r="D439" s="1">
        <f t="shared" ca="1" si="75"/>
        <v>45452</v>
      </c>
      <c r="E439" s="1">
        <f t="shared" ca="1" si="76"/>
        <v>45463</v>
      </c>
      <c r="F439" t="str">
        <f t="shared" ca="1" si="77"/>
        <v>Stroke</v>
      </c>
      <c r="G439" t="str">
        <f t="shared" ca="1" si="78"/>
        <v>Therapy</v>
      </c>
      <c r="H439">
        <f t="shared" ca="1" si="79"/>
        <v>11</v>
      </c>
      <c r="I439" t="str">
        <f t="shared" ca="1" si="80"/>
        <v>Yes</v>
      </c>
      <c r="J439">
        <f t="shared" ca="1" si="81"/>
        <v>1</v>
      </c>
      <c r="K439" t="str">
        <f t="shared" ca="1" si="82"/>
        <v>Private</v>
      </c>
      <c r="L439" t="str">
        <f t="shared" ca="1" si="83"/>
        <v>Neurology</v>
      </c>
    </row>
    <row r="440" spans="1:12" x14ac:dyDescent="0.25">
      <c r="A440">
        <f t="shared" si="72"/>
        <v>439</v>
      </c>
      <c r="B440">
        <f t="shared" ca="1" si="73"/>
        <v>87</v>
      </c>
      <c r="C440" t="str">
        <f t="shared" ca="1" si="74"/>
        <v>Female</v>
      </c>
      <c r="D440" s="1">
        <f t="shared" ca="1" si="75"/>
        <v>45647</v>
      </c>
      <c r="E440" s="1">
        <f t="shared" ca="1" si="76"/>
        <v>45658</v>
      </c>
      <c r="F440" t="str">
        <f t="shared" ca="1" si="77"/>
        <v>Diabetes</v>
      </c>
      <c r="G440" t="str">
        <f t="shared" ca="1" si="78"/>
        <v>Surgery</v>
      </c>
      <c r="H440">
        <f t="shared" ca="1" si="79"/>
        <v>11</v>
      </c>
      <c r="I440" t="str">
        <f t="shared" ca="1" si="80"/>
        <v>Yes</v>
      </c>
      <c r="J440">
        <f t="shared" ca="1" si="81"/>
        <v>1</v>
      </c>
      <c r="K440" t="str">
        <f t="shared" ca="1" si="82"/>
        <v>None</v>
      </c>
      <c r="L440" t="str">
        <f t="shared" ca="1" si="83"/>
        <v>ICU</v>
      </c>
    </row>
    <row r="441" spans="1:12" x14ac:dyDescent="0.25">
      <c r="A441">
        <f t="shared" si="72"/>
        <v>440</v>
      </c>
      <c r="B441">
        <f t="shared" ca="1" si="73"/>
        <v>20</v>
      </c>
      <c r="C441" t="str">
        <f t="shared" ca="1" si="74"/>
        <v>Male</v>
      </c>
      <c r="D441" s="1">
        <f t="shared" ca="1" si="75"/>
        <v>45316</v>
      </c>
      <c r="E441" s="1">
        <f t="shared" ca="1" si="76"/>
        <v>45331</v>
      </c>
      <c r="F441" t="str">
        <f t="shared" ca="1" si="77"/>
        <v>Pneumonia</v>
      </c>
      <c r="G441" t="str">
        <f t="shared" ca="1" si="78"/>
        <v>Surgery</v>
      </c>
      <c r="H441">
        <f t="shared" ca="1" si="79"/>
        <v>15</v>
      </c>
      <c r="I441" t="str">
        <f t="shared" ca="1" si="80"/>
        <v>No</v>
      </c>
      <c r="J441">
        <f t="shared" ca="1" si="81"/>
        <v>1</v>
      </c>
      <c r="K441" t="str">
        <f t="shared" ca="1" si="82"/>
        <v>None</v>
      </c>
      <c r="L441" t="str">
        <f t="shared" ca="1" si="83"/>
        <v>Cardiology</v>
      </c>
    </row>
    <row r="442" spans="1:12" x14ac:dyDescent="0.25">
      <c r="A442">
        <f t="shared" si="72"/>
        <v>441</v>
      </c>
      <c r="B442">
        <f t="shared" ca="1" si="73"/>
        <v>68</v>
      </c>
      <c r="C442" t="str">
        <f t="shared" ca="1" si="74"/>
        <v>Male</v>
      </c>
      <c r="D442" s="1">
        <f t="shared" ca="1" si="75"/>
        <v>45420</v>
      </c>
      <c r="E442" s="1">
        <f t="shared" ca="1" si="76"/>
        <v>45431</v>
      </c>
      <c r="F442" t="str">
        <f t="shared" ca="1" si="77"/>
        <v>Stroke</v>
      </c>
      <c r="G442" t="str">
        <f t="shared" ca="1" si="78"/>
        <v>Therapy</v>
      </c>
      <c r="H442">
        <f t="shared" ca="1" si="79"/>
        <v>11</v>
      </c>
      <c r="I442" t="str">
        <f t="shared" ca="1" si="80"/>
        <v>No</v>
      </c>
      <c r="J442">
        <f t="shared" ca="1" si="81"/>
        <v>3</v>
      </c>
      <c r="K442" t="str">
        <f t="shared" ca="1" si="82"/>
        <v>Private</v>
      </c>
      <c r="L442" t="str">
        <f t="shared" ca="1" si="83"/>
        <v>ER</v>
      </c>
    </row>
    <row r="443" spans="1:12" x14ac:dyDescent="0.25">
      <c r="A443">
        <f t="shared" si="72"/>
        <v>442</v>
      </c>
      <c r="B443">
        <f t="shared" ca="1" si="73"/>
        <v>60</v>
      </c>
      <c r="C443" t="str">
        <f t="shared" ca="1" si="74"/>
        <v>Male</v>
      </c>
      <c r="D443" s="1">
        <f t="shared" ca="1" si="75"/>
        <v>45508</v>
      </c>
      <c r="E443" s="1">
        <f t="shared" ca="1" si="76"/>
        <v>45519</v>
      </c>
      <c r="F443" t="str">
        <f t="shared" ca="1" si="77"/>
        <v>Diabetes</v>
      </c>
      <c r="G443" t="str">
        <f t="shared" ca="1" si="78"/>
        <v>Medication</v>
      </c>
      <c r="H443">
        <f t="shared" ca="1" si="79"/>
        <v>11</v>
      </c>
      <c r="I443" t="str">
        <f t="shared" ca="1" si="80"/>
        <v>No</v>
      </c>
      <c r="J443">
        <f t="shared" ca="1" si="81"/>
        <v>2</v>
      </c>
      <c r="K443" t="str">
        <f t="shared" ca="1" si="82"/>
        <v>Private</v>
      </c>
      <c r="L443" t="str">
        <f t="shared" ca="1" si="83"/>
        <v>General</v>
      </c>
    </row>
    <row r="444" spans="1:12" x14ac:dyDescent="0.25">
      <c r="A444">
        <f t="shared" si="72"/>
        <v>443</v>
      </c>
      <c r="B444">
        <f t="shared" ca="1" si="73"/>
        <v>40</v>
      </c>
      <c r="C444" t="str">
        <f t="shared" ca="1" si="74"/>
        <v>Male</v>
      </c>
      <c r="D444" s="1">
        <f t="shared" ca="1" si="75"/>
        <v>45630</v>
      </c>
      <c r="E444" s="1">
        <f t="shared" ca="1" si="76"/>
        <v>45638</v>
      </c>
      <c r="F444" t="str">
        <f t="shared" ca="1" si="77"/>
        <v>Diabetes</v>
      </c>
      <c r="G444" t="str">
        <f t="shared" ca="1" si="78"/>
        <v>Medication</v>
      </c>
      <c r="H444">
        <f t="shared" ca="1" si="79"/>
        <v>8</v>
      </c>
      <c r="I444" t="str">
        <f t="shared" ca="1" si="80"/>
        <v>No</v>
      </c>
      <c r="J444">
        <f t="shared" ca="1" si="81"/>
        <v>2</v>
      </c>
      <c r="K444" t="str">
        <f t="shared" ca="1" si="82"/>
        <v>None</v>
      </c>
      <c r="L444" t="str">
        <f t="shared" ca="1" si="83"/>
        <v>Cardiology</v>
      </c>
    </row>
    <row r="445" spans="1:12" x14ac:dyDescent="0.25">
      <c r="A445">
        <f t="shared" si="72"/>
        <v>444</v>
      </c>
      <c r="B445">
        <f t="shared" ca="1" si="73"/>
        <v>34</v>
      </c>
      <c r="C445" t="str">
        <f t="shared" ca="1" si="74"/>
        <v>Male</v>
      </c>
      <c r="D445" s="1">
        <f t="shared" ca="1" si="75"/>
        <v>45423</v>
      </c>
      <c r="E445" s="1">
        <f t="shared" ca="1" si="76"/>
        <v>45426</v>
      </c>
      <c r="F445" t="str">
        <f t="shared" ca="1" si="77"/>
        <v>Heart Failure</v>
      </c>
      <c r="G445" t="str">
        <f t="shared" ca="1" si="78"/>
        <v>Therapy</v>
      </c>
      <c r="H445">
        <f t="shared" ca="1" si="79"/>
        <v>3</v>
      </c>
      <c r="I445" t="str">
        <f t="shared" ca="1" si="80"/>
        <v>No</v>
      </c>
      <c r="J445">
        <f t="shared" ca="1" si="81"/>
        <v>4</v>
      </c>
      <c r="K445" t="str">
        <f t="shared" ca="1" si="82"/>
        <v>Private</v>
      </c>
      <c r="L445" t="str">
        <f t="shared" ca="1" si="83"/>
        <v>ER</v>
      </c>
    </row>
    <row r="446" spans="1:12" x14ac:dyDescent="0.25">
      <c r="A446">
        <f t="shared" si="72"/>
        <v>445</v>
      </c>
      <c r="B446">
        <f t="shared" ca="1" si="73"/>
        <v>36</v>
      </c>
      <c r="C446" t="str">
        <f t="shared" ca="1" si="74"/>
        <v>Male</v>
      </c>
      <c r="D446" s="1">
        <f t="shared" ca="1" si="75"/>
        <v>45365</v>
      </c>
      <c r="E446" s="1">
        <f t="shared" ca="1" si="76"/>
        <v>45370</v>
      </c>
      <c r="F446" t="str">
        <f t="shared" ca="1" si="77"/>
        <v>Hypertension</v>
      </c>
      <c r="G446" t="str">
        <f t="shared" ca="1" si="78"/>
        <v>Therapy</v>
      </c>
      <c r="H446">
        <f t="shared" ca="1" si="79"/>
        <v>5</v>
      </c>
      <c r="I446" t="str">
        <f t="shared" ca="1" si="80"/>
        <v>No</v>
      </c>
      <c r="J446">
        <f t="shared" ca="1" si="81"/>
        <v>0</v>
      </c>
      <c r="K446" t="str">
        <f t="shared" ca="1" si="82"/>
        <v>Private</v>
      </c>
      <c r="L446" t="str">
        <f t="shared" ca="1" si="83"/>
        <v>ICU</v>
      </c>
    </row>
    <row r="447" spans="1:12" x14ac:dyDescent="0.25">
      <c r="A447">
        <f t="shared" si="72"/>
        <v>446</v>
      </c>
      <c r="B447">
        <f t="shared" ca="1" si="73"/>
        <v>53</v>
      </c>
      <c r="C447" t="str">
        <f t="shared" ca="1" si="74"/>
        <v>Male</v>
      </c>
      <c r="D447" s="1">
        <f t="shared" ca="1" si="75"/>
        <v>45479</v>
      </c>
      <c r="E447" s="1">
        <f t="shared" ca="1" si="76"/>
        <v>45480</v>
      </c>
      <c r="F447" t="str">
        <f t="shared" ca="1" si="77"/>
        <v>Stroke</v>
      </c>
      <c r="G447" t="str">
        <f t="shared" ca="1" si="78"/>
        <v>Therapy</v>
      </c>
      <c r="H447">
        <f t="shared" ca="1" si="79"/>
        <v>1</v>
      </c>
      <c r="I447" t="str">
        <f t="shared" ca="1" si="80"/>
        <v>No</v>
      </c>
      <c r="J447">
        <f t="shared" ca="1" si="81"/>
        <v>2</v>
      </c>
      <c r="K447" t="str">
        <f t="shared" ca="1" si="82"/>
        <v>None</v>
      </c>
      <c r="L447" t="str">
        <f t="shared" ca="1" si="83"/>
        <v>ICU</v>
      </c>
    </row>
    <row r="448" spans="1:12" x14ac:dyDescent="0.25">
      <c r="A448">
        <f t="shared" si="72"/>
        <v>447</v>
      </c>
      <c r="B448">
        <f t="shared" ca="1" si="73"/>
        <v>85</v>
      </c>
      <c r="C448" t="str">
        <f t="shared" ca="1" si="74"/>
        <v>Male</v>
      </c>
      <c r="D448" s="1">
        <f t="shared" ca="1" si="75"/>
        <v>45475</v>
      </c>
      <c r="E448" s="1">
        <f t="shared" ca="1" si="76"/>
        <v>45480</v>
      </c>
      <c r="F448" t="str">
        <f t="shared" ca="1" si="77"/>
        <v>Diabetes</v>
      </c>
      <c r="G448" t="str">
        <f t="shared" ca="1" si="78"/>
        <v>Therapy</v>
      </c>
      <c r="H448">
        <f t="shared" ca="1" si="79"/>
        <v>5</v>
      </c>
      <c r="I448" t="str">
        <f t="shared" ca="1" si="80"/>
        <v>No</v>
      </c>
      <c r="J448">
        <f t="shared" ca="1" si="81"/>
        <v>4</v>
      </c>
      <c r="K448" t="str">
        <f t="shared" ca="1" si="82"/>
        <v>Private</v>
      </c>
      <c r="L448" t="str">
        <f t="shared" ca="1" si="83"/>
        <v>General</v>
      </c>
    </row>
    <row r="449" spans="1:12" x14ac:dyDescent="0.25">
      <c r="A449">
        <f t="shared" si="72"/>
        <v>448</v>
      </c>
      <c r="B449">
        <f t="shared" ca="1" si="73"/>
        <v>57</v>
      </c>
      <c r="C449" t="str">
        <f t="shared" ca="1" si="74"/>
        <v>Female</v>
      </c>
      <c r="D449" s="1">
        <f t="shared" ca="1" si="75"/>
        <v>45592</v>
      </c>
      <c r="E449" s="1">
        <f t="shared" ca="1" si="76"/>
        <v>45594</v>
      </c>
      <c r="F449" t="str">
        <f t="shared" ca="1" si="77"/>
        <v>Diabetes</v>
      </c>
      <c r="G449" t="str">
        <f t="shared" ca="1" si="78"/>
        <v>Medication</v>
      </c>
      <c r="H449">
        <f t="shared" ca="1" si="79"/>
        <v>2</v>
      </c>
      <c r="I449" t="str">
        <f t="shared" ca="1" si="80"/>
        <v>No</v>
      </c>
      <c r="J449">
        <f t="shared" ca="1" si="81"/>
        <v>2</v>
      </c>
      <c r="K449" t="str">
        <f t="shared" ca="1" si="82"/>
        <v>Private</v>
      </c>
      <c r="L449" t="str">
        <f t="shared" ca="1" si="83"/>
        <v>ICU</v>
      </c>
    </row>
    <row r="450" spans="1:12" x14ac:dyDescent="0.25">
      <c r="A450">
        <f t="shared" si="72"/>
        <v>449</v>
      </c>
      <c r="B450">
        <f t="shared" ca="1" si="73"/>
        <v>38</v>
      </c>
      <c r="C450" t="str">
        <f t="shared" ca="1" si="74"/>
        <v>Female</v>
      </c>
      <c r="D450" s="1">
        <f t="shared" ca="1" si="75"/>
        <v>45619</v>
      </c>
      <c r="E450" s="1">
        <f t="shared" ca="1" si="76"/>
        <v>45634</v>
      </c>
      <c r="F450" t="str">
        <f t="shared" ca="1" si="77"/>
        <v>Hypertension</v>
      </c>
      <c r="G450" t="str">
        <f t="shared" ca="1" si="78"/>
        <v>Medication</v>
      </c>
      <c r="H450">
        <f t="shared" ca="1" si="79"/>
        <v>15</v>
      </c>
      <c r="I450" t="str">
        <f t="shared" ca="1" si="80"/>
        <v>Yes</v>
      </c>
      <c r="J450">
        <f t="shared" ca="1" si="81"/>
        <v>1</v>
      </c>
      <c r="K450" t="str">
        <f t="shared" ca="1" si="82"/>
        <v>Public</v>
      </c>
      <c r="L450" t="str">
        <f t="shared" ca="1" si="83"/>
        <v>Cardiology</v>
      </c>
    </row>
    <row r="451" spans="1:12" x14ac:dyDescent="0.25">
      <c r="A451">
        <f t="shared" ref="A451:A514" si="84">ROW() -1</f>
        <v>450</v>
      </c>
      <c r="B451">
        <f t="shared" ref="B451:B514" ca="1" si="85">RANDBETWEEN(20,90)</f>
        <v>88</v>
      </c>
      <c r="C451" t="str">
        <f t="shared" ref="C451:C514" ca="1" si="86">IF(RAND()&lt;0.5,"Male","Female")</f>
        <v>Male</v>
      </c>
      <c r="D451" s="1">
        <f t="shared" ref="D451:D514" ca="1" si="87">DATE(2024,1,1)+RANDBETWEEN(0,364)</f>
        <v>45364</v>
      </c>
      <c r="E451" s="1">
        <f t="shared" ref="E451:E514" ca="1" si="88">D451+RANDBETWEEN(1,15)</f>
        <v>45365</v>
      </c>
      <c r="F451" t="str">
        <f t="shared" ref="F451:F514" ca="1" si="89">CHOOSE(RANDBETWEEN(1,5),"Diabetes","Heart Failure","Pneumonia","Stroke","Hypertension")</f>
        <v>Stroke</v>
      </c>
      <c r="G451" t="str">
        <f t="shared" ref="G451:G514" ca="1" si="90">CHOOSE(RANDBETWEEN(1,3),"Medication","Surgery","Therapy")</f>
        <v>Therapy</v>
      </c>
      <c r="H451">
        <f t="shared" ref="H451:H514" ca="1" si="91">DATEDIF(D451,E451,"D")</f>
        <v>1</v>
      </c>
      <c r="I451" t="str">
        <f t="shared" ref="I451:I514" ca="1" si="92">IF(RAND()&lt;0.3,"Yes","No")</f>
        <v>No</v>
      </c>
      <c r="J451">
        <f t="shared" ref="J451:J514" ca="1" si="93">RANDBETWEEN(0,4)</f>
        <v>2</v>
      </c>
      <c r="K451" t="str">
        <f t="shared" ref="K451:K514" ca="1" si="94">CHOOSE(RANDBETWEEN(1,3),"Private","Public","None")</f>
        <v>None</v>
      </c>
      <c r="L451" t="str">
        <f t="shared" ref="L451:L514" ca="1" si="95">CHOOSE(RANDBETWEEN(1,5),"ER","Cardiology","Neurology","General","ICU")</f>
        <v>ER</v>
      </c>
    </row>
    <row r="452" spans="1:12" x14ac:dyDescent="0.25">
      <c r="A452">
        <f t="shared" si="84"/>
        <v>451</v>
      </c>
      <c r="B452">
        <f t="shared" ca="1" si="85"/>
        <v>41</v>
      </c>
      <c r="C452" t="str">
        <f t="shared" ca="1" si="86"/>
        <v>Male</v>
      </c>
      <c r="D452" s="1">
        <f t="shared" ca="1" si="87"/>
        <v>45404</v>
      </c>
      <c r="E452" s="1">
        <f t="shared" ca="1" si="88"/>
        <v>45415</v>
      </c>
      <c r="F452" t="str">
        <f t="shared" ca="1" si="89"/>
        <v>Stroke</v>
      </c>
      <c r="G452" t="str">
        <f t="shared" ca="1" si="90"/>
        <v>Medication</v>
      </c>
      <c r="H452">
        <f t="shared" ca="1" si="91"/>
        <v>11</v>
      </c>
      <c r="I452" t="str">
        <f t="shared" ca="1" si="92"/>
        <v>No</v>
      </c>
      <c r="J452">
        <f t="shared" ca="1" si="93"/>
        <v>1</v>
      </c>
      <c r="K452" t="str">
        <f t="shared" ca="1" si="94"/>
        <v>None</v>
      </c>
      <c r="L452" t="str">
        <f t="shared" ca="1" si="95"/>
        <v>Neurology</v>
      </c>
    </row>
    <row r="453" spans="1:12" x14ac:dyDescent="0.25">
      <c r="A453">
        <f t="shared" si="84"/>
        <v>452</v>
      </c>
      <c r="B453">
        <f t="shared" ca="1" si="85"/>
        <v>69</v>
      </c>
      <c r="C453" t="str">
        <f t="shared" ca="1" si="86"/>
        <v>Male</v>
      </c>
      <c r="D453" s="1">
        <f t="shared" ca="1" si="87"/>
        <v>45500</v>
      </c>
      <c r="E453" s="1">
        <f t="shared" ca="1" si="88"/>
        <v>45505</v>
      </c>
      <c r="F453" t="str">
        <f t="shared" ca="1" si="89"/>
        <v>Heart Failure</v>
      </c>
      <c r="G453" t="str">
        <f t="shared" ca="1" si="90"/>
        <v>Therapy</v>
      </c>
      <c r="H453">
        <f t="shared" ca="1" si="91"/>
        <v>5</v>
      </c>
      <c r="I453" t="str">
        <f t="shared" ca="1" si="92"/>
        <v>No</v>
      </c>
      <c r="J453">
        <f t="shared" ca="1" si="93"/>
        <v>4</v>
      </c>
      <c r="K453" t="str">
        <f t="shared" ca="1" si="94"/>
        <v>None</v>
      </c>
      <c r="L453" t="str">
        <f t="shared" ca="1" si="95"/>
        <v>Neurology</v>
      </c>
    </row>
    <row r="454" spans="1:12" x14ac:dyDescent="0.25">
      <c r="A454">
        <f t="shared" si="84"/>
        <v>453</v>
      </c>
      <c r="B454">
        <f t="shared" ca="1" si="85"/>
        <v>60</v>
      </c>
      <c r="C454" t="str">
        <f t="shared" ca="1" si="86"/>
        <v>Male</v>
      </c>
      <c r="D454" s="1">
        <f t="shared" ca="1" si="87"/>
        <v>45511</v>
      </c>
      <c r="E454" s="1">
        <f t="shared" ca="1" si="88"/>
        <v>45524</v>
      </c>
      <c r="F454" t="str">
        <f t="shared" ca="1" si="89"/>
        <v>Pneumonia</v>
      </c>
      <c r="G454" t="str">
        <f t="shared" ca="1" si="90"/>
        <v>Medication</v>
      </c>
      <c r="H454">
        <f t="shared" ca="1" si="91"/>
        <v>13</v>
      </c>
      <c r="I454" t="str">
        <f t="shared" ca="1" si="92"/>
        <v>Yes</v>
      </c>
      <c r="J454">
        <f t="shared" ca="1" si="93"/>
        <v>2</v>
      </c>
      <c r="K454" t="str">
        <f t="shared" ca="1" si="94"/>
        <v>None</v>
      </c>
      <c r="L454" t="str">
        <f t="shared" ca="1" si="95"/>
        <v>Neurology</v>
      </c>
    </row>
    <row r="455" spans="1:12" x14ac:dyDescent="0.25">
      <c r="A455">
        <f t="shared" si="84"/>
        <v>454</v>
      </c>
      <c r="B455">
        <f t="shared" ca="1" si="85"/>
        <v>51</v>
      </c>
      <c r="C455" t="str">
        <f t="shared" ca="1" si="86"/>
        <v>Male</v>
      </c>
      <c r="D455" s="1">
        <f t="shared" ca="1" si="87"/>
        <v>45399</v>
      </c>
      <c r="E455" s="1">
        <f t="shared" ca="1" si="88"/>
        <v>45412</v>
      </c>
      <c r="F455" t="str">
        <f t="shared" ca="1" si="89"/>
        <v>Heart Failure</v>
      </c>
      <c r="G455" t="str">
        <f t="shared" ca="1" si="90"/>
        <v>Surgery</v>
      </c>
      <c r="H455">
        <f t="shared" ca="1" si="91"/>
        <v>13</v>
      </c>
      <c r="I455" t="str">
        <f t="shared" ca="1" si="92"/>
        <v>No</v>
      </c>
      <c r="J455">
        <f t="shared" ca="1" si="93"/>
        <v>0</v>
      </c>
      <c r="K455" t="str">
        <f t="shared" ca="1" si="94"/>
        <v>None</v>
      </c>
      <c r="L455" t="str">
        <f t="shared" ca="1" si="95"/>
        <v>ICU</v>
      </c>
    </row>
    <row r="456" spans="1:12" x14ac:dyDescent="0.25">
      <c r="A456">
        <f t="shared" si="84"/>
        <v>455</v>
      </c>
      <c r="B456">
        <f t="shared" ca="1" si="85"/>
        <v>38</v>
      </c>
      <c r="C456" t="str">
        <f t="shared" ca="1" si="86"/>
        <v>Male</v>
      </c>
      <c r="D456" s="1">
        <f t="shared" ca="1" si="87"/>
        <v>45537</v>
      </c>
      <c r="E456" s="1">
        <f t="shared" ca="1" si="88"/>
        <v>45547</v>
      </c>
      <c r="F456" t="str">
        <f t="shared" ca="1" si="89"/>
        <v>Stroke</v>
      </c>
      <c r="G456" t="str">
        <f t="shared" ca="1" si="90"/>
        <v>Surgery</v>
      </c>
      <c r="H456">
        <f t="shared" ca="1" si="91"/>
        <v>10</v>
      </c>
      <c r="I456" t="str">
        <f t="shared" ca="1" si="92"/>
        <v>No</v>
      </c>
      <c r="J456">
        <f t="shared" ca="1" si="93"/>
        <v>3</v>
      </c>
      <c r="K456" t="str">
        <f t="shared" ca="1" si="94"/>
        <v>Private</v>
      </c>
      <c r="L456" t="str">
        <f t="shared" ca="1" si="95"/>
        <v>ER</v>
      </c>
    </row>
    <row r="457" spans="1:12" x14ac:dyDescent="0.25">
      <c r="A457">
        <f t="shared" si="84"/>
        <v>456</v>
      </c>
      <c r="B457">
        <f t="shared" ca="1" si="85"/>
        <v>74</v>
      </c>
      <c r="C457" t="str">
        <f t="shared" ca="1" si="86"/>
        <v>Male</v>
      </c>
      <c r="D457" s="1">
        <f t="shared" ca="1" si="87"/>
        <v>45370</v>
      </c>
      <c r="E457" s="1">
        <f t="shared" ca="1" si="88"/>
        <v>45381</v>
      </c>
      <c r="F457" t="str">
        <f t="shared" ca="1" si="89"/>
        <v>Heart Failure</v>
      </c>
      <c r="G457" t="str">
        <f t="shared" ca="1" si="90"/>
        <v>Medication</v>
      </c>
      <c r="H457">
        <f t="shared" ca="1" si="91"/>
        <v>11</v>
      </c>
      <c r="I457" t="str">
        <f t="shared" ca="1" si="92"/>
        <v>No</v>
      </c>
      <c r="J457">
        <f t="shared" ca="1" si="93"/>
        <v>0</v>
      </c>
      <c r="K457" t="str">
        <f t="shared" ca="1" si="94"/>
        <v>Private</v>
      </c>
      <c r="L457" t="str">
        <f t="shared" ca="1" si="95"/>
        <v>General</v>
      </c>
    </row>
    <row r="458" spans="1:12" x14ac:dyDescent="0.25">
      <c r="A458">
        <f t="shared" si="84"/>
        <v>457</v>
      </c>
      <c r="B458">
        <f t="shared" ca="1" si="85"/>
        <v>59</v>
      </c>
      <c r="C458" t="str">
        <f t="shared" ca="1" si="86"/>
        <v>Female</v>
      </c>
      <c r="D458" s="1">
        <f t="shared" ca="1" si="87"/>
        <v>45356</v>
      </c>
      <c r="E458" s="1">
        <f t="shared" ca="1" si="88"/>
        <v>45361</v>
      </c>
      <c r="F458" t="str">
        <f t="shared" ca="1" si="89"/>
        <v>Hypertension</v>
      </c>
      <c r="G458" t="str">
        <f t="shared" ca="1" si="90"/>
        <v>Therapy</v>
      </c>
      <c r="H458">
        <f t="shared" ca="1" si="91"/>
        <v>5</v>
      </c>
      <c r="I458" t="str">
        <f t="shared" ca="1" si="92"/>
        <v>No</v>
      </c>
      <c r="J458">
        <f t="shared" ca="1" si="93"/>
        <v>3</v>
      </c>
      <c r="K458" t="str">
        <f t="shared" ca="1" si="94"/>
        <v>None</v>
      </c>
      <c r="L458" t="str">
        <f t="shared" ca="1" si="95"/>
        <v>Cardiology</v>
      </c>
    </row>
    <row r="459" spans="1:12" x14ac:dyDescent="0.25">
      <c r="A459">
        <f t="shared" si="84"/>
        <v>458</v>
      </c>
      <c r="B459">
        <f t="shared" ca="1" si="85"/>
        <v>35</v>
      </c>
      <c r="C459" t="str">
        <f t="shared" ca="1" si="86"/>
        <v>Female</v>
      </c>
      <c r="D459" s="1">
        <f t="shared" ca="1" si="87"/>
        <v>45480</v>
      </c>
      <c r="E459" s="1">
        <f t="shared" ca="1" si="88"/>
        <v>45493</v>
      </c>
      <c r="F459" t="str">
        <f t="shared" ca="1" si="89"/>
        <v>Pneumonia</v>
      </c>
      <c r="G459" t="str">
        <f t="shared" ca="1" si="90"/>
        <v>Therapy</v>
      </c>
      <c r="H459">
        <f t="shared" ca="1" si="91"/>
        <v>13</v>
      </c>
      <c r="I459" t="str">
        <f t="shared" ca="1" si="92"/>
        <v>Yes</v>
      </c>
      <c r="J459">
        <f t="shared" ca="1" si="93"/>
        <v>3</v>
      </c>
      <c r="K459" t="str">
        <f t="shared" ca="1" si="94"/>
        <v>Public</v>
      </c>
      <c r="L459" t="str">
        <f t="shared" ca="1" si="95"/>
        <v>Cardiology</v>
      </c>
    </row>
    <row r="460" spans="1:12" x14ac:dyDescent="0.25">
      <c r="A460">
        <f t="shared" si="84"/>
        <v>459</v>
      </c>
      <c r="B460">
        <f t="shared" ca="1" si="85"/>
        <v>47</v>
      </c>
      <c r="C460" t="str">
        <f t="shared" ca="1" si="86"/>
        <v>Female</v>
      </c>
      <c r="D460" s="1">
        <f t="shared" ca="1" si="87"/>
        <v>45342</v>
      </c>
      <c r="E460" s="1">
        <f t="shared" ca="1" si="88"/>
        <v>45345</v>
      </c>
      <c r="F460" t="str">
        <f t="shared" ca="1" si="89"/>
        <v>Hypertension</v>
      </c>
      <c r="G460" t="str">
        <f t="shared" ca="1" si="90"/>
        <v>Medication</v>
      </c>
      <c r="H460">
        <f t="shared" ca="1" si="91"/>
        <v>3</v>
      </c>
      <c r="I460" t="str">
        <f t="shared" ca="1" si="92"/>
        <v>No</v>
      </c>
      <c r="J460">
        <f t="shared" ca="1" si="93"/>
        <v>0</v>
      </c>
      <c r="K460" t="str">
        <f t="shared" ca="1" si="94"/>
        <v>Private</v>
      </c>
      <c r="L460" t="str">
        <f t="shared" ca="1" si="95"/>
        <v>Neurology</v>
      </c>
    </row>
    <row r="461" spans="1:12" x14ac:dyDescent="0.25">
      <c r="A461">
        <f t="shared" si="84"/>
        <v>460</v>
      </c>
      <c r="B461">
        <f t="shared" ca="1" si="85"/>
        <v>61</v>
      </c>
      <c r="C461" t="str">
        <f t="shared" ca="1" si="86"/>
        <v>Female</v>
      </c>
      <c r="D461" s="1">
        <f t="shared" ca="1" si="87"/>
        <v>45463</v>
      </c>
      <c r="E461" s="1">
        <f t="shared" ca="1" si="88"/>
        <v>45478</v>
      </c>
      <c r="F461" t="str">
        <f t="shared" ca="1" si="89"/>
        <v>Hypertension</v>
      </c>
      <c r="G461" t="str">
        <f t="shared" ca="1" si="90"/>
        <v>Surgery</v>
      </c>
      <c r="H461">
        <f t="shared" ca="1" si="91"/>
        <v>15</v>
      </c>
      <c r="I461" t="str">
        <f t="shared" ca="1" si="92"/>
        <v>Yes</v>
      </c>
      <c r="J461">
        <f t="shared" ca="1" si="93"/>
        <v>4</v>
      </c>
      <c r="K461" t="str">
        <f t="shared" ca="1" si="94"/>
        <v>Public</v>
      </c>
      <c r="L461" t="str">
        <f t="shared" ca="1" si="95"/>
        <v>Cardiology</v>
      </c>
    </row>
    <row r="462" spans="1:12" x14ac:dyDescent="0.25">
      <c r="A462">
        <f t="shared" si="84"/>
        <v>461</v>
      </c>
      <c r="B462">
        <f t="shared" ca="1" si="85"/>
        <v>64</v>
      </c>
      <c r="C462" t="str">
        <f t="shared" ca="1" si="86"/>
        <v>Female</v>
      </c>
      <c r="D462" s="1">
        <f t="shared" ca="1" si="87"/>
        <v>45644</v>
      </c>
      <c r="E462" s="1">
        <f t="shared" ca="1" si="88"/>
        <v>45650</v>
      </c>
      <c r="F462" t="str">
        <f t="shared" ca="1" si="89"/>
        <v>Hypertension</v>
      </c>
      <c r="G462" t="str">
        <f t="shared" ca="1" si="90"/>
        <v>Surgery</v>
      </c>
      <c r="H462">
        <f t="shared" ca="1" si="91"/>
        <v>6</v>
      </c>
      <c r="I462" t="str">
        <f t="shared" ca="1" si="92"/>
        <v>No</v>
      </c>
      <c r="J462">
        <f t="shared" ca="1" si="93"/>
        <v>3</v>
      </c>
      <c r="K462" t="str">
        <f t="shared" ca="1" si="94"/>
        <v>Public</v>
      </c>
      <c r="L462" t="str">
        <f t="shared" ca="1" si="95"/>
        <v>General</v>
      </c>
    </row>
    <row r="463" spans="1:12" x14ac:dyDescent="0.25">
      <c r="A463">
        <f t="shared" si="84"/>
        <v>462</v>
      </c>
      <c r="B463">
        <f t="shared" ca="1" si="85"/>
        <v>76</v>
      </c>
      <c r="C463" t="str">
        <f t="shared" ca="1" si="86"/>
        <v>Male</v>
      </c>
      <c r="D463" s="1">
        <f t="shared" ca="1" si="87"/>
        <v>45403</v>
      </c>
      <c r="E463" s="1">
        <f t="shared" ca="1" si="88"/>
        <v>45414</v>
      </c>
      <c r="F463" t="str">
        <f t="shared" ca="1" si="89"/>
        <v>Pneumonia</v>
      </c>
      <c r="G463" t="str">
        <f t="shared" ca="1" si="90"/>
        <v>Medication</v>
      </c>
      <c r="H463">
        <f t="shared" ca="1" si="91"/>
        <v>11</v>
      </c>
      <c r="I463" t="str">
        <f t="shared" ca="1" si="92"/>
        <v>No</v>
      </c>
      <c r="J463">
        <f t="shared" ca="1" si="93"/>
        <v>0</v>
      </c>
      <c r="K463" t="str">
        <f t="shared" ca="1" si="94"/>
        <v>Public</v>
      </c>
      <c r="L463" t="str">
        <f t="shared" ca="1" si="95"/>
        <v>Cardiology</v>
      </c>
    </row>
    <row r="464" spans="1:12" x14ac:dyDescent="0.25">
      <c r="A464">
        <f t="shared" si="84"/>
        <v>463</v>
      </c>
      <c r="B464">
        <f t="shared" ca="1" si="85"/>
        <v>32</v>
      </c>
      <c r="C464" t="str">
        <f t="shared" ca="1" si="86"/>
        <v>Male</v>
      </c>
      <c r="D464" s="1">
        <f t="shared" ca="1" si="87"/>
        <v>45470</v>
      </c>
      <c r="E464" s="1">
        <f t="shared" ca="1" si="88"/>
        <v>45471</v>
      </c>
      <c r="F464" t="str">
        <f t="shared" ca="1" si="89"/>
        <v>Heart Failure</v>
      </c>
      <c r="G464" t="str">
        <f t="shared" ca="1" si="90"/>
        <v>Therapy</v>
      </c>
      <c r="H464">
        <f t="shared" ca="1" si="91"/>
        <v>1</v>
      </c>
      <c r="I464" t="str">
        <f t="shared" ca="1" si="92"/>
        <v>Yes</v>
      </c>
      <c r="J464">
        <f t="shared" ca="1" si="93"/>
        <v>3</v>
      </c>
      <c r="K464" t="str">
        <f t="shared" ca="1" si="94"/>
        <v>Public</v>
      </c>
      <c r="L464" t="str">
        <f t="shared" ca="1" si="95"/>
        <v>ER</v>
      </c>
    </row>
    <row r="465" spans="1:12" x14ac:dyDescent="0.25">
      <c r="A465">
        <f t="shared" si="84"/>
        <v>464</v>
      </c>
      <c r="B465">
        <f t="shared" ca="1" si="85"/>
        <v>35</v>
      </c>
      <c r="C465" t="str">
        <f t="shared" ca="1" si="86"/>
        <v>Male</v>
      </c>
      <c r="D465" s="1">
        <f t="shared" ca="1" si="87"/>
        <v>45313</v>
      </c>
      <c r="E465" s="1">
        <f t="shared" ca="1" si="88"/>
        <v>45324</v>
      </c>
      <c r="F465" t="str">
        <f t="shared" ca="1" si="89"/>
        <v>Heart Failure</v>
      </c>
      <c r="G465" t="str">
        <f t="shared" ca="1" si="90"/>
        <v>Surgery</v>
      </c>
      <c r="H465">
        <f t="shared" ca="1" si="91"/>
        <v>11</v>
      </c>
      <c r="I465" t="str">
        <f t="shared" ca="1" si="92"/>
        <v>Yes</v>
      </c>
      <c r="J465">
        <f t="shared" ca="1" si="93"/>
        <v>4</v>
      </c>
      <c r="K465" t="str">
        <f t="shared" ca="1" si="94"/>
        <v>Private</v>
      </c>
      <c r="L465" t="str">
        <f t="shared" ca="1" si="95"/>
        <v>Neurology</v>
      </c>
    </row>
    <row r="466" spans="1:12" x14ac:dyDescent="0.25">
      <c r="A466">
        <f t="shared" si="84"/>
        <v>465</v>
      </c>
      <c r="B466">
        <f t="shared" ca="1" si="85"/>
        <v>56</v>
      </c>
      <c r="C466" t="str">
        <f t="shared" ca="1" si="86"/>
        <v>Male</v>
      </c>
      <c r="D466" s="1">
        <f t="shared" ca="1" si="87"/>
        <v>45542</v>
      </c>
      <c r="E466" s="1">
        <f t="shared" ca="1" si="88"/>
        <v>45548</v>
      </c>
      <c r="F466" t="str">
        <f t="shared" ca="1" si="89"/>
        <v>Pneumonia</v>
      </c>
      <c r="G466" t="str">
        <f t="shared" ca="1" si="90"/>
        <v>Medication</v>
      </c>
      <c r="H466">
        <f t="shared" ca="1" si="91"/>
        <v>6</v>
      </c>
      <c r="I466" t="str">
        <f t="shared" ca="1" si="92"/>
        <v>No</v>
      </c>
      <c r="J466">
        <f t="shared" ca="1" si="93"/>
        <v>4</v>
      </c>
      <c r="K466" t="str">
        <f t="shared" ca="1" si="94"/>
        <v>Public</v>
      </c>
      <c r="L466" t="str">
        <f t="shared" ca="1" si="95"/>
        <v>General</v>
      </c>
    </row>
    <row r="467" spans="1:12" x14ac:dyDescent="0.25">
      <c r="A467">
        <f t="shared" si="84"/>
        <v>466</v>
      </c>
      <c r="B467">
        <f t="shared" ca="1" si="85"/>
        <v>36</v>
      </c>
      <c r="C467" t="str">
        <f t="shared" ca="1" si="86"/>
        <v>Female</v>
      </c>
      <c r="D467" s="1">
        <f t="shared" ca="1" si="87"/>
        <v>45479</v>
      </c>
      <c r="E467" s="1">
        <f t="shared" ca="1" si="88"/>
        <v>45483</v>
      </c>
      <c r="F467" t="str">
        <f t="shared" ca="1" si="89"/>
        <v>Heart Failure</v>
      </c>
      <c r="G467" t="str">
        <f t="shared" ca="1" si="90"/>
        <v>Therapy</v>
      </c>
      <c r="H467">
        <f t="shared" ca="1" si="91"/>
        <v>4</v>
      </c>
      <c r="I467" t="str">
        <f t="shared" ca="1" si="92"/>
        <v>No</v>
      </c>
      <c r="J467">
        <f t="shared" ca="1" si="93"/>
        <v>0</v>
      </c>
      <c r="K467" t="str">
        <f t="shared" ca="1" si="94"/>
        <v>Public</v>
      </c>
      <c r="L467" t="str">
        <f t="shared" ca="1" si="95"/>
        <v>Neurology</v>
      </c>
    </row>
    <row r="468" spans="1:12" x14ac:dyDescent="0.25">
      <c r="A468">
        <f t="shared" si="84"/>
        <v>467</v>
      </c>
      <c r="B468">
        <f t="shared" ca="1" si="85"/>
        <v>66</v>
      </c>
      <c r="C468" t="str">
        <f t="shared" ca="1" si="86"/>
        <v>Female</v>
      </c>
      <c r="D468" s="1">
        <f t="shared" ca="1" si="87"/>
        <v>45434</v>
      </c>
      <c r="E468" s="1">
        <f t="shared" ca="1" si="88"/>
        <v>45440</v>
      </c>
      <c r="F468" t="str">
        <f t="shared" ca="1" si="89"/>
        <v>Pneumonia</v>
      </c>
      <c r="G468" t="str">
        <f t="shared" ca="1" si="90"/>
        <v>Therapy</v>
      </c>
      <c r="H468">
        <f t="shared" ca="1" si="91"/>
        <v>6</v>
      </c>
      <c r="I468" t="str">
        <f t="shared" ca="1" si="92"/>
        <v>No</v>
      </c>
      <c r="J468">
        <f t="shared" ca="1" si="93"/>
        <v>2</v>
      </c>
      <c r="K468" t="str">
        <f t="shared" ca="1" si="94"/>
        <v>Private</v>
      </c>
      <c r="L468" t="str">
        <f t="shared" ca="1" si="95"/>
        <v>Neurology</v>
      </c>
    </row>
    <row r="469" spans="1:12" x14ac:dyDescent="0.25">
      <c r="A469">
        <f t="shared" si="84"/>
        <v>468</v>
      </c>
      <c r="B469">
        <f t="shared" ca="1" si="85"/>
        <v>83</v>
      </c>
      <c r="C469" t="str">
        <f t="shared" ca="1" si="86"/>
        <v>Male</v>
      </c>
      <c r="D469" s="1">
        <f t="shared" ca="1" si="87"/>
        <v>45496</v>
      </c>
      <c r="E469" s="1">
        <f t="shared" ca="1" si="88"/>
        <v>45507</v>
      </c>
      <c r="F469" t="str">
        <f t="shared" ca="1" si="89"/>
        <v>Hypertension</v>
      </c>
      <c r="G469" t="str">
        <f t="shared" ca="1" si="90"/>
        <v>Surgery</v>
      </c>
      <c r="H469">
        <f t="shared" ca="1" si="91"/>
        <v>11</v>
      </c>
      <c r="I469" t="str">
        <f t="shared" ca="1" si="92"/>
        <v>No</v>
      </c>
      <c r="J469">
        <f t="shared" ca="1" si="93"/>
        <v>4</v>
      </c>
      <c r="K469" t="str">
        <f t="shared" ca="1" si="94"/>
        <v>Public</v>
      </c>
      <c r="L469" t="str">
        <f t="shared" ca="1" si="95"/>
        <v>ER</v>
      </c>
    </row>
    <row r="470" spans="1:12" x14ac:dyDescent="0.25">
      <c r="A470">
        <f t="shared" si="84"/>
        <v>469</v>
      </c>
      <c r="B470">
        <f t="shared" ca="1" si="85"/>
        <v>68</v>
      </c>
      <c r="C470" t="str">
        <f t="shared" ca="1" si="86"/>
        <v>Female</v>
      </c>
      <c r="D470" s="1">
        <f t="shared" ca="1" si="87"/>
        <v>45377</v>
      </c>
      <c r="E470" s="1">
        <f t="shared" ca="1" si="88"/>
        <v>45384</v>
      </c>
      <c r="F470" t="str">
        <f t="shared" ca="1" si="89"/>
        <v>Heart Failure</v>
      </c>
      <c r="G470" t="str">
        <f t="shared" ca="1" si="90"/>
        <v>Therapy</v>
      </c>
      <c r="H470">
        <f t="shared" ca="1" si="91"/>
        <v>7</v>
      </c>
      <c r="I470" t="str">
        <f t="shared" ca="1" si="92"/>
        <v>No</v>
      </c>
      <c r="J470">
        <f t="shared" ca="1" si="93"/>
        <v>0</v>
      </c>
      <c r="K470" t="str">
        <f t="shared" ca="1" si="94"/>
        <v>Private</v>
      </c>
      <c r="L470" t="str">
        <f t="shared" ca="1" si="95"/>
        <v>Neurology</v>
      </c>
    </row>
    <row r="471" spans="1:12" x14ac:dyDescent="0.25">
      <c r="A471">
        <f t="shared" si="84"/>
        <v>470</v>
      </c>
      <c r="B471">
        <f t="shared" ca="1" si="85"/>
        <v>48</v>
      </c>
      <c r="C471" t="str">
        <f t="shared" ca="1" si="86"/>
        <v>Female</v>
      </c>
      <c r="D471" s="1">
        <f t="shared" ca="1" si="87"/>
        <v>45616</v>
      </c>
      <c r="E471" s="1">
        <f t="shared" ca="1" si="88"/>
        <v>45618</v>
      </c>
      <c r="F471" t="str">
        <f t="shared" ca="1" si="89"/>
        <v>Heart Failure</v>
      </c>
      <c r="G471" t="str">
        <f t="shared" ca="1" si="90"/>
        <v>Surgery</v>
      </c>
      <c r="H471">
        <f t="shared" ca="1" si="91"/>
        <v>2</v>
      </c>
      <c r="I471" t="str">
        <f t="shared" ca="1" si="92"/>
        <v>No</v>
      </c>
      <c r="J471">
        <f t="shared" ca="1" si="93"/>
        <v>3</v>
      </c>
      <c r="K471" t="str">
        <f t="shared" ca="1" si="94"/>
        <v>Public</v>
      </c>
      <c r="L471" t="str">
        <f t="shared" ca="1" si="95"/>
        <v>General</v>
      </c>
    </row>
    <row r="472" spans="1:12" x14ac:dyDescent="0.25">
      <c r="A472">
        <f t="shared" si="84"/>
        <v>471</v>
      </c>
      <c r="B472">
        <f t="shared" ca="1" si="85"/>
        <v>73</v>
      </c>
      <c r="C472" t="str">
        <f t="shared" ca="1" si="86"/>
        <v>Female</v>
      </c>
      <c r="D472" s="1">
        <f t="shared" ca="1" si="87"/>
        <v>45324</v>
      </c>
      <c r="E472" s="1">
        <f t="shared" ca="1" si="88"/>
        <v>45327</v>
      </c>
      <c r="F472" t="str">
        <f t="shared" ca="1" si="89"/>
        <v>Stroke</v>
      </c>
      <c r="G472" t="str">
        <f t="shared" ca="1" si="90"/>
        <v>Surgery</v>
      </c>
      <c r="H472">
        <f t="shared" ca="1" si="91"/>
        <v>3</v>
      </c>
      <c r="I472" t="str">
        <f t="shared" ca="1" si="92"/>
        <v>Yes</v>
      </c>
      <c r="J472">
        <f t="shared" ca="1" si="93"/>
        <v>1</v>
      </c>
      <c r="K472" t="str">
        <f t="shared" ca="1" si="94"/>
        <v>Public</v>
      </c>
      <c r="L472" t="str">
        <f t="shared" ca="1" si="95"/>
        <v>General</v>
      </c>
    </row>
    <row r="473" spans="1:12" x14ac:dyDescent="0.25">
      <c r="A473">
        <f t="shared" si="84"/>
        <v>472</v>
      </c>
      <c r="B473">
        <f t="shared" ca="1" si="85"/>
        <v>55</v>
      </c>
      <c r="C473" t="str">
        <f t="shared" ca="1" si="86"/>
        <v>Female</v>
      </c>
      <c r="D473" s="1">
        <f t="shared" ca="1" si="87"/>
        <v>45379</v>
      </c>
      <c r="E473" s="1">
        <f t="shared" ca="1" si="88"/>
        <v>45387</v>
      </c>
      <c r="F473" t="str">
        <f t="shared" ca="1" si="89"/>
        <v>Pneumonia</v>
      </c>
      <c r="G473" t="str">
        <f t="shared" ca="1" si="90"/>
        <v>Surgery</v>
      </c>
      <c r="H473">
        <f t="shared" ca="1" si="91"/>
        <v>8</v>
      </c>
      <c r="I473" t="str">
        <f t="shared" ca="1" si="92"/>
        <v>No</v>
      </c>
      <c r="J473">
        <f t="shared" ca="1" si="93"/>
        <v>0</v>
      </c>
      <c r="K473" t="str">
        <f t="shared" ca="1" si="94"/>
        <v>Private</v>
      </c>
      <c r="L473" t="str">
        <f t="shared" ca="1" si="95"/>
        <v>Neurology</v>
      </c>
    </row>
    <row r="474" spans="1:12" x14ac:dyDescent="0.25">
      <c r="A474">
        <f t="shared" si="84"/>
        <v>473</v>
      </c>
      <c r="B474">
        <f t="shared" ca="1" si="85"/>
        <v>20</v>
      </c>
      <c r="C474" t="str">
        <f t="shared" ca="1" si="86"/>
        <v>Male</v>
      </c>
      <c r="D474" s="1">
        <f t="shared" ca="1" si="87"/>
        <v>45298</v>
      </c>
      <c r="E474" s="1">
        <f t="shared" ca="1" si="88"/>
        <v>45303</v>
      </c>
      <c r="F474" t="str">
        <f t="shared" ca="1" si="89"/>
        <v>Hypertension</v>
      </c>
      <c r="G474" t="str">
        <f t="shared" ca="1" si="90"/>
        <v>Medication</v>
      </c>
      <c r="H474">
        <f t="shared" ca="1" si="91"/>
        <v>5</v>
      </c>
      <c r="I474" t="str">
        <f t="shared" ca="1" si="92"/>
        <v>No</v>
      </c>
      <c r="J474">
        <f t="shared" ca="1" si="93"/>
        <v>3</v>
      </c>
      <c r="K474" t="str">
        <f t="shared" ca="1" si="94"/>
        <v>Public</v>
      </c>
      <c r="L474" t="str">
        <f t="shared" ca="1" si="95"/>
        <v>Cardiology</v>
      </c>
    </row>
    <row r="475" spans="1:12" x14ac:dyDescent="0.25">
      <c r="A475">
        <f t="shared" si="84"/>
        <v>474</v>
      </c>
      <c r="B475">
        <f t="shared" ca="1" si="85"/>
        <v>70</v>
      </c>
      <c r="C475" t="str">
        <f t="shared" ca="1" si="86"/>
        <v>Female</v>
      </c>
      <c r="D475" s="1">
        <f t="shared" ca="1" si="87"/>
        <v>45453</v>
      </c>
      <c r="E475" s="1">
        <f t="shared" ca="1" si="88"/>
        <v>45456</v>
      </c>
      <c r="F475" t="str">
        <f t="shared" ca="1" si="89"/>
        <v>Hypertension</v>
      </c>
      <c r="G475" t="str">
        <f t="shared" ca="1" si="90"/>
        <v>Surgery</v>
      </c>
      <c r="H475">
        <f t="shared" ca="1" si="91"/>
        <v>3</v>
      </c>
      <c r="I475" t="str">
        <f t="shared" ca="1" si="92"/>
        <v>No</v>
      </c>
      <c r="J475">
        <f t="shared" ca="1" si="93"/>
        <v>4</v>
      </c>
      <c r="K475" t="str">
        <f t="shared" ca="1" si="94"/>
        <v>None</v>
      </c>
      <c r="L475" t="str">
        <f t="shared" ca="1" si="95"/>
        <v>General</v>
      </c>
    </row>
    <row r="476" spans="1:12" x14ac:dyDescent="0.25">
      <c r="A476">
        <f t="shared" si="84"/>
        <v>475</v>
      </c>
      <c r="B476">
        <f t="shared" ca="1" si="85"/>
        <v>77</v>
      </c>
      <c r="C476" t="str">
        <f t="shared" ca="1" si="86"/>
        <v>Male</v>
      </c>
      <c r="D476" s="1">
        <f t="shared" ca="1" si="87"/>
        <v>45314</v>
      </c>
      <c r="E476" s="1">
        <f t="shared" ca="1" si="88"/>
        <v>45326</v>
      </c>
      <c r="F476" t="str">
        <f t="shared" ca="1" si="89"/>
        <v>Stroke</v>
      </c>
      <c r="G476" t="str">
        <f t="shared" ca="1" si="90"/>
        <v>Surgery</v>
      </c>
      <c r="H476">
        <f t="shared" ca="1" si="91"/>
        <v>12</v>
      </c>
      <c r="I476" t="str">
        <f t="shared" ca="1" si="92"/>
        <v>Yes</v>
      </c>
      <c r="J476">
        <f t="shared" ca="1" si="93"/>
        <v>0</v>
      </c>
      <c r="K476" t="str">
        <f t="shared" ca="1" si="94"/>
        <v>Private</v>
      </c>
      <c r="L476" t="str">
        <f t="shared" ca="1" si="95"/>
        <v>ER</v>
      </c>
    </row>
    <row r="477" spans="1:12" x14ac:dyDescent="0.25">
      <c r="A477">
        <f t="shared" si="84"/>
        <v>476</v>
      </c>
      <c r="B477">
        <f t="shared" ca="1" si="85"/>
        <v>80</v>
      </c>
      <c r="C477" t="str">
        <f t="shared" ca="1" si="86"/>
        <v>Male</v>
      </c>
      <c r="D477" s="1">
        <f t="shared" ca="1" si="87"/>
        <v>45333</v>
      </c>
      <c r="E477" s="1">
        <f t="shared" ca="1" si="88"/>
        <v>45342</v>
      </c>
      <c r="F477" t="str">
        <f t="shared" ca="1" si="89"/>
        <v>Hypertension</v>
      </c>
      <c r="G477" t="str">
        <f t="shared" ca="1" si="90"/>
        <v>Therapy</v>
      </c>
      <c r="H477">
        <f t="shared" ca="1" si="91"/>
        <v>9</v>
      </c>
      <c r="I477" t="str">
        <f t="shared" ca="1" si="92"/>
        <v>No</v>
      </c>
      <c r="J477">
        <f t="shared" ca="1" si="93"/>
        <v>2</v>
      </c>
      <c r="K477" t="str">
        <f t="shared" ca="1" si="94"/>
        <v>Public</v>
      </c>
      <c r="L477" t="str">
        <f t="shared" ca="1" si="95"/>
        <v>ER</v>
      </c>
    </row>
    <row r="478" spans="1:12" x14ac:dyDescent="0.25">
      <c r="A478">
        <f t="shared" si="84"/>
        <v>477</v>
      </c>
      <c r="B478">
        <f t="shared" ca="1" si="85"/>
        <v>20</v>
      </c>
      <c r="C478" t="str">
        <f t="shared" ca="1" si="86"/>
        <v>Female</v>
      </c>
      <c r="D478" s="1">
        <f t="shared" ca="1" si="87"/>
        <v>45591</v>
      </c>
      <c r="E478" s="1">
        <f t="shared" ca="1" si="88"/>
        <v>45595</v>
      </c>
      <c r="F478" t="str">
        <f t="shared" ca="1" si="89"/>
        <v>Diabetes</v>
      </c>
      <c r="G478" t="str">
        <f t="shared" ca="1" si="90"/>
        <v>Medication</v>
      </c>
      <c r="H478">
        <f t="shared" ca="1" si="91"/>
        <v>4</v>
      </c>
      <c r="I478" t="str">
        <f t="shared" ca="1" si="92"/>
        <v>No</v>
      </c>
      <c r="J478">
        <f t="shared" ca="1" si="93"/>
        <v>3</v>
      </c>
      <c r="K478" t="str">
        <f t="shared" ca="1" si="94"/>
        <v>None</v>
      </c>
      <c r="L478" t="str">
        <f t="shared" ca="1" si="95"/>
        <v>General</v>
      </c>
    </row>
    <row r="479" spans="1:12" x14ac:dyDescent="0.25">
      <c r="A479">
        <f t="shared" si="84"/>
        <v>478</v>
      </c>
      <c r="B479">
        <f t="shared" ca="1" si="85"/>
        <v>36</v>
      </c>
      <c r="C479" t="str">
        <f t="shared" ca="1" si="86"/>
        <v>Male</v>
      </c>
      <c r="D479" s="1">
        <f t="shared" ca="1" si="87"/>
        <v>45639</v>
      </c>
      <c r="E479" s="1">
        <f t="shared" ca="1" si="88"/>
        <v>45643</v>
      </c>
      <c r="F479" t="str">
        <f t="shared" ca="1" si="89"/>
        <v>Diabetes</v>
      </c>
      <c r="G479" t="str">
        <f t="shared" ca="1" si="90"/>
        <v>Medication</v>
      </c>
      <c r="H479">
        <f t="shared" ca="1" si="91"/>
        <v>4</v>
      </c>
      <c r="I479" t="str">
        <f t="shared" ca="1" si="92"/>
        <v>No</v>
      </c>
      <c r="J479">
        <f t="shared" ca="1" si="93"/>
        <v>4</v>
      </c>
      <c r="K479" t="str">
        <f t="shared" ca="1" si="94"/>
        <v>Private</v>
      </c>
      <c r="L479" t="str">
        <f t="shared" ca="1" si="95"/>
        <v>ICU</v>
      </c>
    </row>
    <row r="480" spans="1:12" x14ac:dyDescent="0.25">
      <c r="A480">
        <f t="shared" si="84"/>
        <v>479</v>
      </c>
      <c r="B480">
        <f t="shared" ca="1" si="85"/>
        <v>21</v>
      </c>
      <c r="C480" t="str">
        <f t="shared" ca="1" si="86"/>
        <v>Male</v>
      </c>
      <c r="D480" s="1">
        <f t="shared" ca="1" si="87"/>
        <v>45474</v>
      </c>
      <c r="E480" s="1">
        <f t="shared" ca="1" si="88"/>
        <v>45486</v>
      </c>
      <c r="F480" t="str">
        <f t="shared" ca="1" si="89"/>
        <v>Diabetes</v>
      </c>
      <c r="G480" t="str">
        <f t="shared" ca="1" si="90"/>
        <v>Medication</v>
      </c>
      <c r="H480">
        <f t="shared" ca="1" si="91"/>
        <v>12</v>
      </c>
      <c r="I480" t="str">
        <f t="shared" ca="1" si="92"/>
        <v>Yes</v>
      </c>
      <c r="J480">
        <f t="shared" ca="1" si="93"/>
        <v>0</v>
      </c>
      <c r="K480" t="str">
        <f t="shared" ca="1" si="94"/>
        <v>None</v>
      </c>
      <c r="L480" t="str">
        <f t="shared" ca="1" si="95"/>
        <v>General</v>
      </c>
    </row>
    <row r="481" spans="1:12" x14ac:dyDescent="0.25">
      <c r="A481">
        <f t="shared" si="84"/>
        <v>480</v>
      </c>
      <c r="B481">
        <f t="shared" ca="1" si="85"/>
        <v>86</v>
      </c>
      <c r="C481" t="str">
        <f t="shared" ca="1" si="86"/>
        <v>Female</v>
      </c>
      <c r="D481" s="1">
        <f t="shared" ca="1" si="87"/>
        <v>45484</v>
      </c>
      <c r="E481" s="1">
        <f t="shared" ca="1" si="88"/>
        <v>45492</v>
      </c>
      <c r="F481" t="str">
        <f t="shared" ca="1" si="89"/>
        <v>Stroke</v>
      </c>
      <c r="G481" t="str">
        <f t="shared" ca="1" si="90"/>
        <v>Surgery</v>
      </c>
      <c r="H481">
        <f t="shared" ca="1" si="91"/>
        <v>8</v>
      </c>
      <c r="I481" t="str">
        <f t="shared" ca="1" si="92"/>
        <v>No</v>
      </c>
      <c r="J481">
        <f t="shared" ca="1" si="93"/>
        <v>1</v>
      </c>
      <c r="K481" t="str">
        <f t="shared" ca="1" si="94"/>
        <v>Public</v>
      </c>
      <c r="L481" t="str">
        <f t="shared" ca="1" si="95"/>
        <v>General</v>
      </c>
    </row>
    <row r="482" spans="1:12" x14ac:dyDescent="0.25">
      <c r="A482">
        <f t="shared" si="84"/>
        <v>481</v>
      </c>
      <c r="B482">
        <f t="shared" ca="1" si="85"/>
        <v>24</v>
      </c>
      <c r="C482" t="str">
        <f t="shared" ca="1" si="86"/>
        <v>Female</v>
      </c>
      <c r="D482" s="1">
        <f t="shared" ca="1" si="87"/>
        <v>45409</v>
      </c>
      <c r="E482" s="1">
        <f t="shared" ca="1" si="88"/>
        <v>45420</v>
      </c>
      <c r="F482" t="str">
        <f t="shared" ca="1" si="89"/>
        <v>Pneumonia</v>
      </c>
      <c r="G482" t="str">
        <f t="shared" ca="1" si="90"/>
        <v>Medication</v>
      </c>
      <c r="H482">
        <f t="shared" ca="1" si="91"/>
        <v>11</v>
      </c>
      <c r="I482" t="str">
        <f t="shared" ca="1" si="92"/>
        <v>No</v>
      </c>
      <c r="J482">
        <f t="shared" ca="1" si="93"/>
        <v>3</v>
      </c>
      <c r="K482" t="str">
        <f t="shared" ca="1" si="94"/>
        <v>Public</v>
      </c>
      <c r="L482" t="str">
        <f t="shared" ca="1" si="95"/>
        <v>General</v>
      </c>
    </row>
    <row r="483" spans="1:12" x14ac:dyDescent="0.25">
      <c r="A483">
        <f t="shared" si="84"/>
        <v>482</v>
      </c>
      <c r="B483">
        <f t="shared" ca="1" si="85"/>
        <v>62</v>
      </c>
      <c r="C483" t="str">
        <f t="shared" ca="1" si="86"/>
        <v>Female</v>
      </c>
      <c r="D483" s="1">
        <f t="shared" ca="1" si="87"/>
        <v>45402</v>
      </c>
      <c r="E483" s="1">
        <f t="shared" ca="1" si="88"/>
        <v>45404</v>
      </c>
      <c r="F483" t="str">
        <f t="shared" ca="1" si="89"/>
        <v>Pneumonia</v>
      </c>
      <c r="G483" t="str">
        <f t="shared" ca="1" si="90"/>
        <v>Medication</v>
      </c>
      <c r="H483">
        <f t="shared" ca="1" si="91"/>
        <v>2</v>
      </c>
      <c r="I483" t="str">
        <f t="shared" ca="1" si="92"/>
        <v>No</v>
      </c>
      <c r="J483">
        <f t="shared" ca="1" si="93"/>
        <v>1</v>
      </c>
      <c r="K483" t="str">
        <f t="shared" ca="1" si="94"/>
        <v>Private</v>
      </c>
      <c r="L483" t="str">
        <f t="shared" ca="1" si="95"/>
        <v>Cardiology</v>
      </c>
    </row>
    <row r="484" spans="1:12" x14ac:dyDescent="0.25">
      <c r="A484">
        <f t="shared" si="84"/>
        <v>483</v>
      </c>
      <c r="B484">
        <f t="shared" ca="1" si="85"/>
        <v>31</v>
      </c>
      <c r="C484" t="str">
        <f t="shared" ca="1" si="86"/>
        <v>Male</v>
      </c>
      <c r="D484" s="1">
        <f t="shared" ca="1" si="87"/>
        <v>45540</v>
      </c>
      <c r="E484" s="1">
        <f t="shared" ca="1" si="88"/>
        <v>45545</v>
      </c>
      <c r="F484" t="str">
        <f t="shared" ca="1" si="89"/>
        <v>Heart Failure</v>
      </c>
      <c r="G484" t="str">
        <f t="shared" ca="1" si="90"/>
        <v>Therapy</v>
      </c>
      <c r="H484">
        <f t="shared" ca="1" si="91"/>
        <v>5</v>
      </c>
      <c r="I484" t="str">
        <f t="shared" ca="1" si="92"/>
        <v>No</v>
      </c>
      <c r="J484">
        <f t="shared" ca="1" si="93"/>
        <v>0</v>
      </c>
      <c r="K484" t="str">
        <f t="shared" ca="1" si="94"/>
        <v>Private</v>
      </c>
      <c r="L484" t="str">
        <f t="shared" ca="1" si="95"/>
        <v>Neurology</v>
      </c>
    </row>
    <row r="485" spans="1:12" x14ac:dyDescent="0.25">
      <c r="A485">
        <f t="shared" si="84"/>
        <v>484</v>
      </c>
      <c r="B485">
        <f t="shared" ca="1" si="85"/>
        <v>52</v>
      </c>
      <c r="C485" t="str">
        <f t="shared" ca="1" si="86"/>
        <v>Male</v>
      </c>
      <c r="D485" s="1">
        <f t="shared" ca="1" si="87"/>
        <v>45491</v>
      </c>
      <c r="E485" s="1">
        <f t="shared" ca="1" si="88"/>
        <v>45492</v>
      </c>
      <c r="F485" t="str">
        <f t="shared" ca="1" si="89"/>
        <v>Heart Failure</v>
      </c>
      <c r="G485" t="str">
        <f t="shared" ca="1" si="90"/>
        <v>Therapy</v>
      </c>
      <c r="H485">
        <f t="shared" ca="1" si="91"/>
        <v>1</v>
      </c>
      <c r="I485" t="str">
        <f t="shared" ca="1" si="92"/>
        <v>No</v>
      </c>
      <c r="J485">
        <f t="shared" ca="1" si="93"/>
        <v>1</v>
      </c>
      <c r="K485" t="str">
        <f t="shared" ca="1" si="94"/>
        <v>None</v>
      </c>
      <c r="L485" t="str">
        <f t="shared" ca="1" si="95"/>
        <v>General</v>
      </c>
    </row>
    <row r="486" spans="1:12" x14ac:dyDescent="0.25">
      <c r="A486">
        <f t="shared" si="84"/>
        <v>485</v>
      </c>
      <c r="B486">
        <f t="shared" ca="1" si="85"/>
        <v>32</v>
      </c>
      <c r="C486" t="str">
        <f t="shared" ca="1" si="86"/>
        <v>Female</v>
      </c>
      <c r="D486" s="1">
        <f t="shared" ca="1" si="87"/>
        <v>45450</v>
      </c>
      <c r="E486" s="1">
        <f t="shared" ca="1" si="88"/>
        <v>45457</v>
      </c>
      <c r="F486" t="str">
        <f t="shared" ca="1" si="89"/>
        <v>Pneumonia</v>
      </c>
      <c r="G486" t="str">
        <f t="shared" ca="1" si="90"/>
        <v>Therapy</v>
      </c>
      <c r="H486">
        <f t="shared" ca="1" si="91"/>
        <v>7</v>
      </c>
      <c r="I486" t="str">
        <f t="shared" ca="1" si="92"/>
        <v>No</v>
      </c>
      <c r="J486">
        <f t="shared" ca="1" si="93"/>
        <v>1</v>
      </c>
      <c r="K486" t="str">
        <f t="shared" ca="1" si="94"/>
        <v>Public</v>
      </c>
      <c r="L486" t="str">
        <f t="shared" ca="1" si="95"/>
        <v>Neurology</v>
      </c>
    </row>
    <row r="487" spans="1:12" x14ac:dyDescent="0.25">
      <c r="A487">
        <f t="shared" si="84"/>
        <v>486</v>
      </c>
      <c r="B487">
        <f t="shared" ca="1" si="85"/>
        <v>82</v>
      </c>
      <c r="C487" t="str">
        <f t="shared" ca="1" si="86"/>
        <v>Female</v>
      </c>
      <c r="D487" s="1">
        <f t="shared" ca="1" si="87"/>
        <v>45603</v>
      </c>
      <c r="E487" s="1">
        <f t="shared" ca="1" si="88"/>
        <v>45613</v>
      </c>
      <c r="F487" t="str">
        <f t="shared" ca="1" si="89"/>
        <v>Heart Failure</v>
      </c>
      <c r="G487" t="str">
        <f t="shared" ca="1" si="90"/>
        <v>Surgery</v>
      </c>
      <c r="H487">
        <f t="shared" ca="1" si="91"/>
        <v>10</v>
      </c>
      <c r="I487" t="str">
        <f t="shared" ca="1" si="92"/>
        <v>No</v>
      </c>
      <c r="J487">
        <f t="shared" ca="1" si="93"/>
        <v>2</v>
      </c>
      <c r="K487" t="str">
        <f t="shared" ca="1" si="94"/>
        <v>None</v>
      </c>
      <c r="L487" t="str">
        <f t="shared" ca="1" si="95"/>
        <v>Cardiology</v>
      </c>
    </row>
    <row r="488" spans="1:12" x14ac:dyDescent="0.25">
      <c r="A488">
        <f t="shared" si="84"/>
        <v>487</v>
      </c>
      <c r="B488">
        <f t="shared" ca="1" si="85"/>
        <v>63</v>
      </c>
      <c r="C488" t="str">
        <f t="shared" ca="1" si="86"/>
        <v>Male</v>
      </c>
      <c r="D488" s="1">
        <f t="shared" ca="1" si="87"/>
        <v>45503</v>
      </c>
      <c r="E488" s="1">
        <f t="shared" ca="1" si="88"/>
        <v>45515</v>
      </c>
      <c r="F488" t="str">
        <f t="shared" ca="1" si="89"/>
        <v>Stroke</v>
      </c>
      <c r="G488" t="str">
        <f t="shared" ca="1" si="90"/>
        <v>Medication</v>
      </c>
      <c r="H488">
        <f t="shared" ca="1" si="91"/>
        <v>12</v>
      </c>
      <c r="I488" t="str">
        <f t="shared" ca="1" si="92"/>
        <v>Yes</v>
      </c>
      <c r="J488">
        <f t="shared" ca="1" si="93"/>
        <v>4</v>
      </c>
      <c r="K488" t="str">
        <f t="shared" ca="1" si="94"/>
        <v>None</v>
      </c>
      <c r="L488" t="str">
        <f t="shared" ca="1" si="95"/>
        <v>ICU</v>
      </c>
    </row>
    <row r="489" spans="1:12" x14ac:dyDescent="0.25">
      <c r="A489">
        <f t="shared" si="84"/>
        <v>488</v>
      </c>
      <c r="B489">
        <f t="shared" ca="1" si="85"/>
        <v>23</v>
      </c>
      <c r="C489" t="str">
        <f t="shared" ca="1" si="86"/>
        <v>Male</v>
      </c>
      <c r="D489" s="1">
        <f t="shared" ca="1" si="87"/>
        <v>45441</v>
      </c>
      <c r="E489" s="1">
        <f t="shared" ca="1" si="88"/>
        <v>45454</v>
      </c>
      <c r="F489" t="str">
        <f t="shared" ca="1" si="89"/>
        <v>Diabetes</v>
      </c>
      <c r="G489" t="str">
        <f t="shared" ca="1" si="90"/>
        <v>Therapy</v>
      </c>
      <c r="H489">
        <f t="shared" ca="1" si="91"/>
        <v>13</v>
      </c>
      <c r="I489" t="str">
        <f t="shared" ca="1" si="92"/>
        <v>No</v>
      </c>
      <c r="J489">
        <f t="shared" ca="1" si="93"/>
        <v>3</v>
      </c>
      <c r="K489" t="str">
        <f t="shared" ca="1" si="94"/>
        <v>Public</v>
      </c>
      <c r="L489" t="str">
        <f t="shared" ca="1" si="95"/>
        <v>Neurology</v>
      </c>
    </row>
    <row r="490" spans="1:12" x14ac:dyDescent="0.25">
      <c r="A490">
        <f t="shared" si="84"/>
        <v>489</v>
      </c>
      <c r="B490">
        <f t="shared" ca="1" si="85"/>
        <v>69</v>
      </c>
      <c r="C490" t="str">
        <f t="shared" ca="1" si="86"/>
        <v>Male</v>
      </c>
      <c r="D490" s="1">
        <f t="shared" ca="1" si="87"/>
        <v>45553</v>
      </c>
      <c r="E490" s="1">
        <f t="shared" ca="1" si="88"/>
        <v>45556</v>
      </c>
      <c r="F490" t="str">
        <f t="shared" ca="1" si="89"/>
        <v>Hypertension</v>
      </c>
      <c r="G490" t="str">
        <f t="shared" ca="1" si="90"/>
        <v>Therapy</v>
      </c>
      <c r="H490">
        <f t="shared" ca="1" si="91"/>
        <v>3</v>
      </c>
      <c r="I490" t="str">
        <f t="shared" ca="1" si="92"/>
        <v>No</v>
      </c>
      <c r="J490">
        <f t="shared" ca="1" si="93"/>
        <v>0</v>
      </c>
      <c r="K490" t="str">
        <f t="shared" ca="1" si="94"/>
        <v>Public</v>
      </c>
      <c r="L490" t="str">
        <f t="shared" ca="1" si="95"/>
        <v>ICU</v>
      </c>
    </row>
    <row r="491" spans="1:12" x14ac:dyDescent="0.25">
      <c r="A491">
        <f t="shared" si="84"/>
        <v>490</v>
      </c>
      <c r="B491">
        <f t="shared" ca="1" si="85"/>
        <v>81</v>
      </c>
      <c r="C491" t="str">
        <f t="shared" ca="1" si="86"/>
        <v>Male</v>
      </c>
      <c r="D491" s="1">
        <f t="shared" ca="1" si="87"/>
        <v>45402</v>
      </c>
      <c r="E491" s="1">
        <f t="shared" ca="1" si="88"/>
        <v>45403</v>
      </c>
      <c r="F491" t="str">
        <f t="shared" ca="1" si="89"/>
        <v>Heart Failure</v>
      </c>
      <c r="G491" t="str">
        <f t="shared" ca="1" si="90"/>
        <v>Medication</v>
      </c>
      <c r="H491">
        <f t="shared" ca="1" si="91"/>
        <v>1</v>
      </c>
      <c r="I491" t="str">
        <f t="shared" ca="1" si="92"/>
        <v>No</v>
      </c>
      <c r="J491">
        <f t="shared" ca="1" si="93"/>
        <v>3</v>
      </c>
      <c r="K491" t="str">
        <f t="shared" ca="1" si="94"/>
        <v>None</v>
      </c>
      <c r="L491" t="str">
        <f t="shared" ca="1" si="95"/>
        <v>ICU</v>
      </c>
    </row>
    <row r="492" spans="1:12" x14ac:dyDescent="0.25">
      <c r="A492">
        <f t="shared" si="84"/>
        <v>491</v>
      </c>
      <c r="B492">
        <f t="shared" ca="1" si="85"/>
        <v>34</v>
      </c>
      <c r="C492" t="str">
        <f t="shared" ca="1" si="86"/>
        <v>Male</v>
      </c>
      <c r="D492" s="1">
        <f t="shared" ca="1" si="87"/>
        <v>45552</v>
      </c>
      <c r="E492" s="1">
        <f t="shared" ca="1" si="88"/>
        <v>45564</v>
      </c>
      <c r="F492" t="str">
        <f t="shared" ca="1" si="89"/>
        <v>Stroke</v>
      </c>
      <c r="G492" t="str">
        <f t="shared" ca="1" si="90"/>
        <v>Medication</v>
      </c>
      <c r="H492">
        <f t="shared" ca="1" si="91"/>
        <v>12</v>
      </c>
      <c r="I492" t="str">
        <f t="shared" ca="1" si="92"/>
        <v>Yes</v>
      </c>
      <c r="J492">
        <f t="shared" ca="1" si="93"/>
        <v>3</v>
      </c>
      <c r="K492" t="str">
        <f t="shared" ca="1" si="94"/>
        <v>Private</v>
      </c>
      <c r="L492" t="str">
        <f t="shared" ca="1" si="95"/>
        <v>ER</v>
      </c>
    </row>
    <row r="493" spans="1:12" x14ac:dyDescent="0.25">
      <c r="A493">
        <f t="shared" si="84"/>
        <v>492</v>
      </c>
      <c r="B493">
        <f t="shared" ca="1" si="85"/>
        <v>62</v>
      </c>
      <c r="C493" t="str">
        <f t="shared" ca="1" si="86"/>
        <v>Male</v>
      </c>
      <c r="D493" s="1">
        <f t="shared" ca="1" si="87"/>
        <v>45647</v>
      </c>
      <c r="E493" s="1">
        <f t="shared" ca="1" si="88"/>
        <v>45661</v>
      </c>
      <c r="F493" t="str">
        <f t="shared" ca="1" si="89"/>
        <v>Diabetes</v>
      </c>
      <c r="G493" t="str">
        <f t="shared" ca="1" si="90"/>
        <v>Therapy</v>
      </c>
      <c r="H493">
        <f t="shared" ca="1" si="91"/>
        <v>14</v>
      </c>
      <c r="I493" t="str">
        <f t="shared" ca="1" si="92"/>
        <v>No</v>
      </c>
      <c r="J493">
        <f t="shared" ca="1" si="93"/>
        <v>0</v>
      </c>
      <c r="K493" t="str">
        <f t="shared" ca="1" si="94"/>
        <v>Public</v>
      </c>
      <c r="L493" t="str">
        <f t="shared" ca="1" si="95"/>
        <v>General</v>
      </c>
    </row>
    <row r="494" spans="1:12" x14ac:dyDescent="0.25">
      <c r="A494">
        <f t="shared" si="84"/>
        <v>493</v>
      </c>
      <c r="B494">
        <f t="shared" ca="1" si="85"/>
        <v>81</v>
      </c>
      <c r="C494" t="str">
        <f t="shared" ca="1" si="86"/>
        <v>Female</v>
      </c>
      <c r="D494" s="1">
        <f t="shared" ca="1" si="87"/>
        <v>45496</v>
      </c>
      <c r="E494" s="1">
        <f t="shared" ca="1" si="88"/>
        <v>45501</v>
      </c>
      <c r="F494" t="str">
        <f t="shared" ca="1" si="89"/>
        <v>Stroke</v>
      </c>
      <c r="G494" t="str">
        <f t="shared" ca="1" si="90"/>
        <v>Therapy</v>
      </c>
      <c r="H494">
        <f t="shared" ca="1" si="91"/>
        <v>5</v>
      </c>
      <c r="I494" t="str">
        <f t="shared" ca="1" si="92"/>
        <v>No</v>
      </c>
      <c r="J494">
        <f t="shared" ca="1" si="93"/>
        <v>4</v>
      </c>
      <c r="K494" t="str">
        <f t="shared" ca="1" si="94"/>
        <v>Private</v>
      </c>
      <c r="L494" t="str">
        <f t="shared" ca="1" si="95"/>
        <v>ER</v>
      </c>
    </row>
    <row r="495" spans="1:12" x14ac:dyDescent="0.25">
      <c r="A495">
        <f t="shared" si="84"/>
        <v>494</v>
      </c>
      <c r="B495">
        <f t="shared" ca="1" si="85"/>
        <v>79</v>
      </c>
      <c r="C495" t="str">
        <f t="shared" ca="1" si="86"/>
        <v>Male</v>
      </c>
      <c r="D495" s="1">
        <f t="shared" ca="1" si="87"/>
        <v>45600</v>
      </c>
      <c r="E495" s="1">
        <f t="shared" ca="1" si="88"/>
        <v>45610</v>
      </c>
      <c r="F495" t="str">
        <f t="shared" ca="1" si="89"/>
        <v>Pneumonia</v>
      </c>
      <c r="G495" t="str">
        <f t="shared" ca="1" si="90"/>
        <v>Surgery</v>
      </c>
      <c r="H495">
        <f t="shared" ca="1" si="91"/>
        <v>10</v>
      </c>
      <c r="I495" t="str">
        <f t="shared" ca="1" si="92"/>
        <v>No</v>
      </c>
      <c r="J495">
        <f t="shared" ca="1" si="93"/>
        <v>2</v>
      </c>
      <c r="K495" t="str">
        <f t="shared" ca="1" si="94"/>
        <v>Private</v>
      </c>
      <c r="L495" t="str">
        <f t="shared" ca="1" si="95"/>
        <v>General</v>
      </c>
    </row>
    <row r="496" spans="1:12" x14ac:dyDescent="0.25">
      <c r="A496">
        <f t="shared" si="84"/>
        <v>495</v>
      </c>
      <c r="B496">
        <f t="shared" ca="1" si="85"/>
        <v>82</v>
      </c>
      <c r="C496" t="str">
        <f t="shared" ca="1" si="86"/>
        <v>Male</v>
      </c>
      <c r="D496" s="1">
        <f t="shared" ca="1" si="87"/>
        <v>45567</v>
      </c>
      <c r="E496" s="1">
        <f t="shared" ca="1" si="88"/>
        <v>45579</v>
      </c>
      <c r="F496" t="str">
        <f t="shared" ca="1" si="89"/>
        <v>Hypertension</v>
      </c>
      <c r="G496" t="str">
        <f t="shared" ca="1" si="90"/>
        <v>Therapy</v>
      </c>
      <c r="H496">
        <f t="shared" ca="1" si="91"/>
        <v>12</v>
      </c>
      <c r="I496" t="str">
        <f t="shared" ca="1" si="92"/>
        <v>Yes</v>
      </c>
      <c r="J496">
        <f t="shared" ca="1" si="93"/>
        <v>2</v>
      </c>
      <c r="K496" t="str">
        <f t="shared" ca="1" si="94"/>
        <v>Public</v>
      </c>
      <c r="L496" t="str">
        <f t="shared" ca="1" si="95"/>
        <v>ER</v>
      </c>
    </row>
    <row r="497" spans="1:12" x14ac:dyDescent="0.25">
      <c r="A497">
        <f t="shared" si="84"/>
        <v>496</v>
      </c>
      <c r="B497">
        <f t="shared" ca="1" si="85"/>
        <v>33</v>
      </c>
      <c r="C497" t="str">
        <f t="shared" ca="1" si="86"/>
        <v>Male</v>
      </c>
      <c r="D497" s="1">
        <f t="shared" ca="1" si="87"/>
        <v>45396</v>
      </c>
      <c r="E497" s="1">
        <f t="shared" ca="1" si="88"/>
        <v>45402</v>
      </c>
      <c r="F497" t="str">
        <f t="shared" ca="1" si="89"/>
        <v>Diabetes</v>
      </c>
      <c r="G497" t="str">
        <f t="shared" ca="1" si="90"/>
        <v>Therapy</v>
      </c>
      <c r="H497">
        <f t="shared" ca="1" si="91"/>
        <v>6</v>
      </c>
      <c r="I497" t="str">
        <f t="shared" ca="1" si="92"/>
        <v>Yes</v>
      </c>
      <c r="J497">
        <f t="shared" ca="1" si="93"/>
        <v>3</v>
      </c>
      <c r="K497" t="str">
        <f t="shared" ca="1" si="94"/>
        <v>None</v>
      </c>
      <c r="L497" t="str">
        <f t="shared" ca="1" si="95"/>
        <v>Neurology</v>
      </c>
    </row>
    <row r="498" spans="1:12" x14ac:dyDescent="0.25">
      <c r="A498">
        <f t="shared" si="84"/>
        <v>497</v>
      </c>
      <c r="B498">
        <f t="shared" ca="1" si="85"/>
        <v>63</v>
      </c>
      <c r="C498" t="str">
        <f t="shared" ca="1" si="86"/>
        <v>Male</v>
      </c>
      <c r="D498" s="1">
        <f t="shared" ca="1" si="87"/>
        <v>45549</v>
      </c>
      <c r="E498" s="1">
        <f t="shared" ca="1" si="88"/>
        <v>45560</v>
      </c>
      <c r="F498" t="str">
        <f t="shared" ca="1" si="89"/>
        <v>Heart Failure</v>
      </c>
      <c r="G498" t="str">
        <f t="shared" ca="1" si="90"/>
        <v>Medication</v>
      </c>
      <c r="H498">
        <f t="shared" ca="1" si="91"/>
        <v>11</v>
      </c>
      <c r="I498" t="str">
        <f t="shared" ca="1" si="92"/>
        <v>No</v>
      </c>
      <c r="J498">
        <f t="shared" ca="1" si="93"/>
        <v>0</v>
      </c>
      <c r="K498" t="str">
        <f t="shared" ca="1" si="94"/>
        <v>Private</v>
      </c>
      <c r="L498" t="str">
        <f t="shared" ca="1" si="95"/>
        <v>Neurology</v>
      </c>
    </row>
    <row r="499" spans="1:12" x14ac:dyDescent="0.25">
      <c r="A499">
        <f t="shared" si="84"/>
        <v>498</v>
      </c>
      <c r="B499">
        <f t="shared" ca="1" si="85"/>
        <v>30</v>
      </c>
      <c r="C499" t="str">
        <f t="shared" ca="1" si="86"/>
        <v>Female</v>
      </c>
      <c r="D499" s="1">
        <f t="shared" ca="1" si="87"/>
        <v>45375</v>
      </c>
      <c r="E499" s="1">
        <f t="shared" ca="1" si="88"/>
        <v>45376</v>
      </c>
      <c r="F499" t="str">
        <f t="shared" ca="1" si="89"/>
        <v>Hypertension</v>
      </c>
      <c r="G499" t="str">
        <f t="shared" ca="1" si="90"/>
        <v>Therapy</v>
      </c>
      <c r="H499">
        <f t="shared" ca="1" si="91"/>
        <v>1</v>
      </c>
      <c r="I499" t="str">
        <f t="shared" ca="1" si="92"/>
        <v>No</v>
      </c>
      <c r="J499">
        <f t="shared" ca="1" si="93"/>
        <v>0</v>
      </c>
      <c r="K499" t="str">
        <f t="shared" ca="1" si="94"/>
        <v>Public</v>
      </c>
      <c r="L499" t="str">
        <f t="shared" ca="1" si="95"/>
        <v>Cardiology</v>
      </c>
    </row>
    <row r="500" spans="1:12" x14ac:dyDescent="0.25">
      <c r="A500">
        <f t="shared" si="84"/>
        <v>499</v>
      </c>
      <c r="B500">
        <f t="shared" ca="1" si="85"/>
        <v>83</v>
      </c>
      <c r="C500" t="str">
        <f t="shared" ca="1" si="86"/>
        <v>Female</v>
      </c>
      <c r="D500" s="1">
        <f t="shared" ca="1" si="87"/>
        <v>45300</v>
      </c>
      <c r="E500" s="1">
        <f t="shared" ca="1" si="88"/>
        <v>45301</v>
      </c>
      <c r="F500" t="str">
        <f t="shared" ca="1" si="89"/>
        <v>Stroke</v>
      </c>
      <c r="G500" t="str">
        <f t="shared" ca="1" si="90"/>
        <v>Therapy</v>
      </c>
      <c r="H500">
        <f t="shared" ca="1" si="91"/>
        <v>1</v>
      </c>
      <c r="I500" t="str">
        <f t="shared" ca="1" si="92"/>
        <v>No</v>
      </c>
      <c r="J500">
        <f t="shared" ca="1" si="93"/>
        <v>4</v>
      </c>
      <c r="K500" t="str">
        <f t="shared" ca="1" si="94"/>
        <v>Public</v>
      </c>
      <c r="L500" t="str">
        <f t="shared" ca="1" si="95"/>
        <v>ER</v>
      </c>
    </row>
    <row r="501" spans="1:12" x14ac:dyDescent="0.25">
      <c r="A501">
        <f t="shared" si="84"/>
        <v>500</v>
      </c>
      <c r="B501">
        <f t="shared" ca="1" si="85"/>
        <v>68</v>
      </c>
      <c r="C501" t="str">
        <f t="shared" ca="1" si="86"/>
        <v>Female</v>
      </c>
      <c r="D501" s="1">
        <f t="shared" ca="1" si="87"/>
        <v>45334</v>
      </c>
      <c r="E501" s="1">
        <f t="shared" ca="1" si="88"/>
        <v>45339</v>
      </c>
      <c r="F501" t="str">
        <f t="shared" ca="1" si="89"/>
        <v>Hypertension</v>
      </c>
      <c r="G501" t="str">
        <f t="shared" ca="1" si="90"/>
        <v>Medication</v>
      </c>
      <c r="H501">
        <f t="shared" ca="1" si="91"/>
        <v>5</v>
      </c>
      <c r="I501" t="str">
        <f t="shared" ca="1" si="92"/>
        <v>No</v>
      </c>
      <c r="J501">
        <f t="shared" ca="1" si="93"/>
        <v>2</v>
      </c>
      <c r="K501" t="str">
        <f t="shared" ca="1" si="94"/>
        <v>None</v>
      </c>
      <c r="L501" t="str">
        <f t="shared" ca="1" si="95"/>
        <v>Cardiology</v>
      </c>
    </row>
    <row r="502" spans="1:12" x14ac:dyDescent="0.25">
      <c r="A502">
        <f t="shared" si="84"/>
        <v>501</v>
      </c>
      <c r="B502">
        <f t="shared" ca="1" si="85"/>
        <v>86</v>
      </c>
      <c r="C502" t="str">
        <f t="shared" ca="1" si="86"/>
        <v>Male</v>
      </c>
      <c r="D502" s="1">
        <f t="shared" ca="1" si="87"/>
        <v>45320</v>
      </c>
      <c r="E502" s="1">
        <f t="shared" ca="1" si="88"/>
        <v>45326</v>
      </c>
      <c r="F502" t="str">
        <f t="shared" ca="1" si="89"/>
        <v>Hypertension</v>
      </c>
      <c r="G502" t="str">
        <f t="shared" ca="1" si="90"/>
        <v>Medication</v>
      </c>
      <c r="H502">
        <f t="shared" ca="1" si="91"/>
        <v>6</v>
      </c>
      <c r="I502" t="str">
        <f t="shared" ca="1" si="92"/>
        <v>No</v>
      </c>
      <c r="J502">
        <f t="shared" ca="1" si="93"/>
        <v>2</v>
      </c>
      <c r="K502" t="str">
        <f t="shared" ca="1" si="94"/>
        <v>Private</v>
      </c>
      <c r="L502" t="str">
        <f t="shared" ca="1" si="95"/>
        <v>Cardiology</v>
      </c>
    </row>
    <row r="503" spans="1:12" x14ac:dyDescent="0.25">
      <c r="A503">
        <f t="shared" si="84"/>
        <v>502</v>
      </c>
      <c r="B503">
        <f t="shared" ca="1" si="85"/>
        <v>23</v>
      </c>
      <c r="C503" t="str">
        <f t="shared" ca="1" si="86"/>
        <v>Female</v>
      </c>
      <c r="D503" s="1">
        <f t="shared" ca="1" si="87"/>
        <v>45456</v>
      </c>
      <c r="E503" s="1">
        <f t="shared" ca="1" si="88"/>
        <v>45465</v>
      </c>
      <c r="F503" t="str">
        <f t="shared" ca="1" si="89"/>
        <v>Hypertension</v>
      </c>
      <c r="G503" t="str">
        <f t="shared" ca="1" si="90"/>
        <v>Surgery</v>
      </c>
      <c r="H503">
        <f t="shared" ca="1" si="91"/>
        <v>9</v>
      </c>
      <c r="I503" t="str">
        <f t="shared" ca="1" si="92"/>
        <v>No</v>
      </c>
      <c r="J503">
        <f t="shared" ca="1" si="93"/>
        <v>2</v>
      </c>
      <c r="K503" t="str">
        <f t="shared" ca="1" si="94"/>
        <v>Private</v>
      </c>
      <c r="L503" t="str">
        <f t="shared" ca="1" si="95"/>
        <v>General</v>
      </c>
    </row>
    <row r="504" spans="1:12" x14ac:dyDescent="0.25">
      <c r="A504">
        <f t="shared" si="84"/>
        <v>503</v>
      </c>
      <c r="B504">
        <f t="shared" ca="1" si="85"/>
        <v>58</v>
      </c>
      <c r="C504" t="str">
        <f t="shared" ca="1" si="86"/>
        <v>Female</v>
      </c>
      <c r="D504" s="1">
        <f t="shared" ca="1" si="87"/>
        <v>45510</v>
      </c>
      <c r="E504" s="1">
        <f t="shared" ca="1" si="88"/>
        <v>45520</v>
      </c>
      <c r="F504" t="str">
        <f t="shared" ca="1" si="89"/>
        <v>Hypertension</v>
      </c>
      <c r="G504" t="str">
        <f t="shared" ca="1" si="90"/>
        <v>Therapy</v>
      </c>
      <c r="H504">
        <f t="shared" ca="1" si="91"/>
        <v>10</v>
      </c>
      <c r="I504" t="str">
        <f t="shared" ca="1" si="92"/>
        <v>No</v>
      </c>
      <c r="J504">
        <f t="shared" ca="1" si="93"/>
        <v>4</v>
      </c>
      <c r="K504" t="str">
        <f t="shared" ca="1" si="94"/>
        <v>None</v>
      </c>
      <c r="L504" t="str">
        <f t="shared" ca="1" si="95"/>
        <v>ICU</v>
      </c>
    </row>
    <row r="505" spans="1:12" x14ac:dyDescent="0.25">
      <c r="A505">
        <f t="shared" si="84"/>
        <v>504</v>
      </c>
      <c r="B505">
        <f t="shared" ca="1" si="85"/>
        <v>73</v>
      </c>
      <c r="C505" t="str">
        <f t="shared" ca="1" si="86"/>
        <v>Male</v>
      </c>
      <c r="D505" s="1">
        <f t="shared" ca="1" si="87"/>
        <v>45456</v>
      </c>
      <c r="E505" s="1">
        <f t="shared" ca="1" si="88"/>
        <v>45469</v>
      </c>
      <c r="F505" t="str">
        <f t="shared" ca="1" si="89"/>
        <v>Heart Failure</v>
      </c>
      <c r="G505" t="str">
        <f t="shared" ca="1" si="90"/>
        <v>Surgery</v>
      </c>
      <c r="H505">
        <f t="shared" ca="1" si="91"/>
        <v>13</v>
      </c>
      <c r="I505" t="str">
        <f t="shared" ca="1" si="92"/>
        <v>No</v>
      </c>
      <c r="J505">
        <f t="shared" ca="1" si="93"/>
        <v>3</v>
      </c>
      <c r="K505" t="str">
        <f t="shared" ca="1" si="94"/>
        <v>Private</v>
      </c>
      <c r="L505" t="str">
        <f t="shared" ca="1" si="95"/>
        <v>ICU</v>
      </c>
    </row>
    <row r="506" spans="1:12" x14ac:dyDescent="0.25">
      <c r="A506">
        <f t="shared" si="84"/>
        <v>505</v>
      </c>
      <c r="B506">
        <f t="shared" ca="1" si="85"/>
        <v>84</v>
      </c>
      <c r="C506" t="str">
        <f t="shared" ca="1" si="86"/>
        <v>Male</v>
      </c>
      <c r="D506" s="1">
        <f t="shared" ca="1" si="87"/>
        <v>45318</v>
      </c>
      <c r="E506" s="1">
        <f t="shared" ca="1" si="88"/>
        <v>45330</v>
      </c>
      <c r="F506" t="str">
        <f t="shared" ca="1" si="89"/>
        <v>Stroke</v>
      </c>
      <c r="G506" t="str">
        <f t="shared" ca="1" si="90"/>
        <v>Medication</v>
      </c>
      <c r="H506">
        <f t="shared" ca="1" si="91"/>
        <v>12</v>
      </c>
      <c r="I506" t="str">
        <f t="shared" ca="1" si="92"/>
        <v>Yes</v>
      </c>
      <c r="J506">
        <f t="shared" ca="1" si="93"/>
        <v>2</v>
      </c>
      <c r="K506" t="str">
        <f t="shared" ca="1" si="94"/>
        <v>None</v>
      </c>
      <c r="L506" t="str">
        <f t="shared" ca="1" si="95"/>
        <v>Cardiology</v>
      </c>
    </row>
    <row r="507" spans="1:12" x14ac:dyDescent="0.25">
      <c r="A507">
        <f t="shared" si="84"/>
        <v>506</v>
      </c>
      <c r="B507">
        <f t="shared" ca="1" si="85"/>
        <v>80</v>
      </c>
      <c r="C507" t="str">
        <f t="shared" ca="1" si="86"/>
        <v>Male</v>
      </c>
      <c r="D507" s="1">
        <f t="shared" ca="1" si="87"/>
        <v>45373</v>
      </c>
      <c r="E507" s="1">
        <f t="shared" ca="1" si="88"/>
        <v>45378</v>
      </c>
      <c r="F507" t="str">
        <f t="shared" ca="1" si="89"/>
        <v>Pneumonia</v>
      </c>
      <c r="G507" t="str">
        <f t="shared" ca="1" si="90"/>
        <v>Therapy</v>
      </c>
      <c r="H507">
        <f t="shared" ca="1" si="91"/>
        <v>5</v>
      </c>
      <c r="I507" t="str">
        <f t="shared" ca="1" si="92"/>
        <v>No</v>
      </c>
      <c r="J507">
        <f t="shared" ca="1" si="93"/>
        <v>0</v>
      </c>
      <c r="K507" t="str">
        <f t="shared" ca="1" si="94"/>
        <v>None</v>
      </c>
      <c r="L507" t="str">
        <f t="shared" ca="1" si="95"/>
        <v>Cardiology</v>
      </c>
    </row>
    <row r="508" spans="1:12" x14ac:dyDescent="0.25">
      <c r="A508">
        <f t="shared" si="84"/>
        <v>507</v>
      </c>
      <c r="B508">
        <f t="shared" ca="1" si="85"/>
        <v>50</v>
      </c>
      <c r="C508" t="str">
        <f t="shared" ca="1" si="86"/>
        <v>Female</v>
      </c>
      <c r="D508" s="1">
        <f t="shared" ca="1" si="87"/>
        <v>45413</v>
      </c>
      <c r="E508" s="1">
        <f t="shared" ca="1" si="88"/>
        <v>45417</v>
      </c>
      <c r="F508" t="str">
        <f t="shared" ca="1" si="89"/>
        <v>Heart Failure</v>
      </c>
      <c r="G508" t="str">
        <f t="shared" ca="1" si="90"/>
        <v>Medication</v>
      </c>
      <c r="H508">
        <f t="shared" ca="1" si="91"/>
        <v>4</v>
      </c>
      <c r="I508" t="str">
        <f t="shared" ca="1" si="92"/>
        <v>Yes</v>
      </c>
      <c r="J508">
        <f t="shared" ca="1" si="93"/>
        <v>3</v>
      </c>
      <c r="K508" t="str">
        <f t="shared" ca="1" si="94"/>
        <v>Public</v>
      </c>
      <c r="L508" t="str">
        <f t="shared" ca="1" si="95"/>
        <v>General</v>
      </c>
    </row>
    <row r="509" spans="1:12" x14ac:dyDescent="0.25">
      <c r="A509">
        <f t="shared" si="84"/>
        <v>508</v>
      </c>
      <c r="B509">
        <f t="shared" ca="1" si="85"/>
        <v>51</v>
      </c>
      <c r="C509" t="str">
        <f t="shared" ca="1" si="86"/>
        <v>Female</v>
      </c>
      <c r="D509" s="1">
        <f t="shared" ca="1" si="87"/>
        <v>45436</v>
      </c>
      <c r="E509" s="1">
        <f t="shared" ca="1" si="88"/>
        <v>45448</v>
      </c>
      <c r="F509" t="str">
        <f t="shared" ca="1" si="89"/>
        <v>Diabetes</v>
      </c>
      <c r="G509" t="str">
        <f t="shared" ca="1" si="90"/>
        <v>Medication</v>
      </c>
      <c r="H509">
        <f t="shared" ca="1" si="91"/>
        <v>12</v>
      </c>
      <c r="I509" t="str">
        <f t="shared" ca="1" si="92"/>
        <v>No</v>
      </c>
      <c r="J509">
        <f t="shared" ca="1" si="93"/>
        <v>2</v>
      </c>
      <c r="K509" t="str">
        <f t="shared" ca="1" si="94"/>
        <v>None</v>
      </c>
      <c r="L509" t="str">
        <f t="shared" ca="1" si="95"/>
        <v>Cardiology</v>
      </c>
    </row>
    <row r="510" spans="1:12" x14ac:dyDescent="0.25">
      <c r="A510">
        <f t="shared" si="84"/>
        <v>509</v>
      </c>
      <c r="B510">
        <f t="shared" ca="1" si="85"/>
        <v>64</v>
      </c>
      <c r="C510" t="str">
        <f t="shared" ca="1" si="86"/>
        <v>Male</v>
      </c>
      <c r="D510" s="1">
        <f t="shared" ca="1" si="87"/>
        <v>45533</v>
      </c>
      <c r="E510" s="1">
        <f t="shared" ca="1" si="88"/>
        <v>45542</v>
      </c>
      <c r="F510" t="str">
        <f t="shared" ca="1" si="89"/>
        <v>Pneumonia</v>
      </c>
      <c r="G510" t="str">
        <f t="shared" ca="1" si="90"/>
        <v>Surgery</v>
      </c>
      <c r="H510">
        <f t="shared" ca="1" si="91"/>
        <v>9</v>
      </c>
      <c r="I510" t="str">
        <f t="shared" ca="1" si="92"/>
        <v>Yes</v>
      </c>
      <c r="J510">
        <f t="shared" ca="1" si="93"/>
        <v>3</v>
      </c>
      <c r="K510" t="str">
        <f t="shared" ca="1" si="94"/>
        <v>Private</v>
      </c>
      <c r="L510" t="str">
        <f t="shared" ca="1" si="95"/>
        <v>Cardiology</v>
      </c>
    </row>
    <row r="511" spans="1:12" x14ac:dyDescent="0.25">
      <c r="A511">
        <f t="shared" si="84"/>
        <v>510</v>
      </c>
      <c r="B511">
        <f t="shared" ca="1" si="85"/>
        <v>48</v>
      </c>
      <c r="C511" t="str">
        <f t="shared" ca="1" si="86"/>
        <v>Male</v>
      </c>
      <c r="D511" s="1">
        <f t="shared" ca="1" si="87"/>
        <v>45292</v>
      </c>
      <c r="E511" s="1">
        <f t="shared" ca="1" si="88"/>
        <v>45302</v>
      </c>
      <c r="F511" t="str">
        <f t="shared" ca="1" si="89"/>
        <v>Heart Failure</v>
      </c>
      <c r="G511" t="str">
        <f t="shared" ca="1" si="90"/>
        <v>Medication</v>
      </c>
      <c r="H511">
        <f t="shared" ca="1" si="91"/>
        <v>10</v>
      </c>
      <c r="I511" t="str">
        <f t="shared" ca="1" si="92"/>
        <v>Yes</v>
      </c>
      <c r="J511">
        <f t="shared" ca="1" si="93"/>
        <v>1</v>
      </c>
      <c r="K511" t="str">
        <f t="shared" ca="1" si="94"/>
        <v>Public</v>
      </c>
      <c r="L511" t="str">
        <f t="shared" ca="1" si="95"/>
        <v>Cardiology</v>
      </c>
    </row>
    <row r="512" spans="1:12" x14ac:dyDescent="0.25">
      <c r="A512">
        <f t="shared" si="84"/>
        <v>511</v>
      </c>
      <c r="B512">
        <f t="shared" ca="1" si="85"/>
        <v>84</v>
      </c>
      <c r="C512" t="str">
        <f t="shared" ca="1" si="86"/>
        <v>Female</v>
      </c>
      <c r="D512" s="1">
        <f t="shared" ca="1" si="87"/>
        <v>45424</v>
      </c>
      <c r="E512" s="1">
        <f t="shared" ca="1" si="88"/>
        <v>45432</v>
      </c>
      <c r="F512" t="str">
        <f t="shared" ca="1" si="89"/>
        <v>Heart Failure</v>
      </c>
      <c r="G512" t="str">
        <f t="shared" ca="1" si="90"/>
        <v>Therapy</v>
      </c>
      <c r="H512">
        <f t="shared" ca="1" si="91"/>
        <v>8</v>
      </c>
      <c r="I512" t="str">
        <f t="shared" ca="1" si="92"/>
        <v>Yes</v>
      </c>
      <c r="J512">
        <f t="shared" ca="1" si="93"/>
        <v>3</v>
      </c>
      <c r="K512" t="str">
        <f t="shared" ca="1" si="94"/>
        <v>Private</v>
      </c>
      <c r="L512" t="str">
        <f t="shared" ca="1" si="95"/>
        <v>Neurology</v>
      </c>
    </row>
    <row r="513" spans="1:12" x14ac:dyDescent="0.25">
      <c r="A513">
        <f t="shared" si="84"/>
        <v>512</v>
      </c>
      <c r="B513">
        <f t="shared" ca="1" si="85"/>
        <v>29</v>
      </c>
      <c r="C513" t="str">
        <f t="shared" ca="1" si="86"/>
        <v>Female</v>
      </c>
      <c r="D513" s="1">
        <f t="shared" ca="1" si="87"/>
        <v>45625</v>
      </c>
      <c r="E513" s="1">
        <f t="shared" ca="1" si="88"/>
        <v>45630</v>
      </c>
      <c r="F513" t="str">
        <f t="shared" ca="1" si="89"/>
        <v>Diabetes</v>
      </c>
      <c r="G513" t="str">
        <f t="shared" ca="1" si="90"/>
        <v>Surgery</v>
      </c>
      <c r="H513">
        <f t="shared" ca="1" si="91"/>
        <v>5</v>
      </c>
      <c r="I513" t="str">
        <f t="shared" ca="1" si="92"/>
        <v>No</v>
      </c>
      <c r="J513">
        <f t="shared" ca="1" si="93"/>
        <v>0</v>
      </c>
      <c r="K513" t="str">
        <f t="shared" ca="1" si="94"/>
        <v>Private</v>
      </c>
      <c r="L513" t="str">
        <f t="shared" ca="1" si="95"/>
        <v>Neurology</v>
      </c>
    </row>
    <row r="514" spans="1:12" x14ac:dyDescent="0.25">
      <c r="A514">
        <f t="shared" si="84"/>
        <v>513</v>
      </c>
      <c r="B514">
        <f t="shared" ca="1" si="85"/>
        <v>82</v>
      </c>
      <c r="C514" t="str">
        <f t="shared" ca="1" si="86"/>
        <v>Male</v>
      </c>
      <c r="D514" s="1">
        <f t="shared" ca="1" si="87"/>
        <v>45648</v>
      </c>
      <c r="E514" s="1">
        <f t="shared" ca="1" si="88"/>
        <v>45653</v>
      </c>
      <c r="F514" t="str">
        <f t="shared" ca="1" si="89"/>
        <v>Hypertension</v>
      </c>
      <c r="G514" t="str">
        <f t="shared" ca="1" si="90"/>
        <v>Therapy</v>
      </c>
      <c r="H514">
        <f t="shared" ca="1" si="91"/>
        <v>5</v>
      </c>
      <c r="I514" t="str">
        <f t="shared" ca="1" si="92"/>
        <v>No</v>
      </c>
      <c r="J514">
        <f t="shared" ca="1" si="93"/>
        <v>0</v>
      </c>
      <c r="K514" t="str">
        <f t="shared" ca="1" si="94"/>
        <v>Private</v>
      </c>
      <c r="L514" t="str">
        <f t="shared" ca="1" si="95"/>
        <v>Neurology</v>
      </c>
    </row>
    <row r="515" spans="1:12" x14ac:dyDescent="0.25">
      <c r="A515">
        <f t="shared" ref="A515:A578" si="96">ROW() -1</f>
        <v>514</v>
      </c>
      <c r="B515">
        <f t="shared" ref="B515:B578" ca="1" si="97">RANDBETWEEN(20,90)</f>
        <v>56</v>
      </c>
      <c r="C515" t="str">
        <f t="shared" ref="C515:C578" ca="1" si="98">IF(RAND()&lt;0.5,"Male","Female")</f>
        <v>Male</v>
      </c>
      <c r="D515" s="1">
        <f t="shared" ref="D515:D578" ca="1" si="99">DATE(2024,1,1)+RANDBETWEEN(0,364)</f>
        <v>45594</v>
      </c>
      <c r="E515" s="1">
        <f t="shared" ref="E515:E578" ca="1" si="100">D515+RANDBETWEEN(1,15)</f>
        <v>45595</v>
      </c>
      <c r="F515" t="str">
        <f t="shared" ref="F515:F578" ca="1" si="101">CHOOSE(RANDBETWEEN(1,5),"Diabetes","Heart Failure","Pneumonia","Stroke","Hypertension")</f>
        <v>Hypertension</v>
      </c>
      <c r="G515" t="str">
        <f t="shared" ref="G515:G578" ca="1" si="102">CHOOSE(RANDBETWEEN(1,3),"Medication","Surgery","Therapy")</f>
        <v>Surgery</v>
      </c>
      <c r="H515">
        <f t="shared" ref="H515:H578" ca="1" si="103">DATEDIF(D515,E515,"D")</f>
        <v>1</v>
      </c>
      <c r="I515" t="str">
        <f t="shared" ref="I515:I578" ca="1" si="104">IF(RAND()&lt;0.3,"Yes","No")</f>
        <v>No</v>
      </c>
      <c r="J515">
        <f t="shared" ref="J515:J578" ca="1" si="105">RANDBETWEEN(0,4)</f>
        <v>0</v>
      </c>
      <c r="K515" t="str">
        <f t="shared" ref="K515:K578" ca="1" si="106">CHOOSE(RANDBETWEEN(1,3),"Private","Public","None")</f>
        <v>None</v>
      </c>
      <c r="L515" t="str">
        <f t="shared" ref="L515:L578" ca="1" si="107">CHOOSE(RANDBETWEEN(1,5),"ER","Cardiology","Neurology","General","ICU")</f>
        <v>General</v>
      </c>
    </row>
    <row r="516" spans="1:12" x14ac:dyDescent="0.25">
      <c r="A516">
        <f t="shared" si="96"/>
        <v>515</v>
      </c>
      <c r="B516">
        <f t="shared" ca="1" si="97"/>
        <v>75</v>
      </c>
      <c r="C516" t="str">
        <f t="shared" ca="1" si="98"/>
        <v>Male</v>
      </c>
      <c r="D516" s="1">
        <f t="shared" ca="1" si="99"/>
        <v>45609</v>
      </c>
      <c r="E516" s="1">
        <f t="shared" ca="1" si="100"/>
        <v>45614</v>
      </c>
      <c r="F516" t="str">
        <f t="shared" ca="1" si="101"/>
        <v>Diabetes</v>
      </c>
      <c r="G516" t="str">
        <f t="shared" ca="1" si="102"/>
        <v>Surgery</v>
      </c>
      <c r="H516">
        <f t="shared" ca="1" si="103"/>
        <v>5</v>
      </c>
      <c r="I516" t="str">
        <f t="shared" ca="1" si="104"/>
        <v>No</v>
      </c>
      <c r="J516">
        <f t="shared" ca="1" si="105"/>
        <v>4</v>
      </c>
      <c r="K516" t="str">
        <f t="shared" ca="1" si="106"/>
        <v>Private</v>
      </c>
      <c r="L516" t="str">
        <f t="shared" ca="1" si="107"/>
        <v>General</v>
      </c>
    </row>
    <row r="517" spans="1:12" x14ac:dyDescent="0.25">
      <c r="A517">
        <f t="shared" si="96"/>
        <v>516</v>
      </c>
      <c r="B517">
        <f t="shared" ca="1" si="97"/>
        <v>28</v>
      </c>
      <c r="C517" t="str">
        <f t="shared" ca="1" si="98"/>
        <v>Male</v>
      </c>
      <c r="D517" s="1">
        <f t="shared" ca="1" si="99"/>
        <v>45514</v>
      </c>
      <c r="E517" s="1">
        <f t="shared" ca="1" si="100"/>
        <v>45526</v>
      </c>
      <c r="F517" t="str">
        <f t="shared" ca="1" si="101"/>
        <v>Heart Failure</v>
      </c>
      <c r="G517" t="str">
        <f t="shared" ca="1" si="102"/>
        <v>Surgery</v>
      </c>
      <c r="H517">
        <f t="shared" ca="1" si="103"/>
        <v>12</v>
      </c>
      <c r="I517" t="str">
        <f t="shared" ca="1" si="104"/>
        <v>Yes</v>
      </c>
      <c r="J517">
        <f t="shared" ca="1" si="105"/>
        <v>4</v>
      </c>
      <c r="K517" t="str">
        <f t="shared" ca="1" si="106"/>
        <v>Public</v>
      </c>
      <c r="L517" t="str">
        <f t="shared" ca="1" si="107"/>
        <v>ICU</v>
      </c>
    </row>
    <row r="518" spans="1:12" x14ac:dyDescent="0.25">
      <c r="A518">
        <f t="shared" si="96"/>
        <v>517</v>
      </c>
      <c r="B518">
        <f t="shared" ca="1" si="97"/>
        <v>80</v>
      </c>
      <c r="C518" t="str">
        <f t="shared" ca="1" si="98"/>
        <v>Female</v>
      </c>
      <c r="D518" s="1">
        <f t="shared" ca="1" si="99"/>
        <v>45525</v>
      </c>
      <c r="E518" s="1">
        <f t="shared" ca="1" si="100"/>
        <v>45532</v>
      </c>
      <c r="F518" t="str">
        <f t="shared" ca="1" si="101"/>
        <v>Pneumonia</v>
      </c>
      <c r="G518" t="str">
        <f t="shared" ca="1" si="102"/>
        <v>Surgery</v>
      </c>
      <c r="H518">
        <f t="shared" ca="1" si="103"/>
        <v>7</v>
      </c>
      <c r="I518" t="str">
        <f t="shared" ca="1" si="104"/>
        <v>No</v>
      </c>
      <c r="J518">
        <f t="shared" ca="1" si="105"/>
        <v>2</v>
      </c>
      <c r="K518" t="str">
        <f t="shared" ca="1" si="106"/>
        <v>Public</v>
      </c>
      <c r="L518" t="str">
        <f t="shared" ca="1" si="107"/>
        <v>General</v>
      </c>
    </row>
    <row r="519" spans="1:12" x14ac:dyDescent="0.25">
      <c r="A519">
        <f t="shared" si="96"/>
        <v>518</v>
      </c>
      <c r="B519">
        <f t="shared" ca="1" si="97"/>
        <v>29</v>
      </c>
      <c r="C519" t="str">
        <f t="shared" ca="1" si="98"/>
        <v>Female</v>
      </c>
      <c r="D519" s="1">
        <f t="shared" ca="1" si="99"/>
        <v>45306</v>
      </c>
      <c r="E519" s="1">
        <f t="shared" ca="1" si="100"/>
        <v>45317</v>
      </c>
      <c r="F519" t="str">
        <f t="shared" ca="1" si="101"/>
        <v>Stroke</v>
      </c>
      <c r="G519" t="str">
        <f t="shared" ca="1" si="102"/>
        <v>Therapy</v>
      </c>
      <c r="H519">
        <f t="shared" ca="1" si="103"/>
        <v>11</v>
      </c>
      <c r="I519" t="str">
        <f t="shared" ca="1" si="104"/>
        <v>No</v>
      </c>
      <c r="J519">
        <f t="shared" ca="1" si="105"/>
        <v>2</v>
      </c>
      <c r="K519" t="str">
        <f t="shared" ca="1" si="106"/>
        <v>None</v>
      </c>
      <c r="L519" t="str">
        <f t="shared" ca="1" si="107"/>
        <v>ICU</v>
      </c>
    </row>
    <row r="520" spans="1:12" x14ac:dyDescent="0.25">
      <c r="A520">
        <f t="shared" si="96"/>
        <v>519</v>
      </c>
      <c r="B520">
        <f t="shared" ca="1" si="97"/>
        <v>61</v>
      </c>
      <c r="C520" t="str">
        <f t="shared" ca="1" si="98"/>
        <v>Female</v>
      </c>
      <c r="D520" s="1">
        <f t="shared" ca="1" si="99"/>
        <v>45473</v>
      </c>
      <c r="E520" s="1">
        <f t="shared" ca="1" si="100"/>
        <v>45480</v>
      </c>
      <c r="F520" t="str">
        <f t="shared" ca="1" si="101"/>
        <v>Pneumonia</v>
      </c>
      <c r="G520" t="str">
        <f t="shared" ca="1" si="102"/>
        <v>Medication</v>
      </c>
      <c r="H520">
        <f t="shared" ca="1" si="103"/>
        <v>7</v>
      </c>
      <c r="I520" t="str">
        <f t="shared" ca="1" si="104"/>
        <v>No</v>
      </c>
      <c r="J520">
        <f t="shared" ca="1" si="105"/>
        <v>2</v>
      </c>
      <c r="K520" t="str">
        <f t="shared" ca="1" si="106"/>
        <v>Public</v>
      </c>
      <c r="L520" t="str">
        <f t="shared" ca="1" si="107"/>
        <v>General</v>
      </c>
    </row>
    <row r="521" spans="1:12" x14ac:dyDescent="0.25">
      <c r="A521">
        <f t="shared" si="96"/>
        <v>520</v>
      </c>
      <c r="B521">
        <f t="shared" ca="1" si="97"/>
        <v>62</v>
      </c>
      <c r="C521" t="str">
        <f t="shared" ca="1" si="98"/>
        <v>Male</v>
      </c>
      <c r="D521" s="1">
        <f t="shared" ca="1" si="99"/>
        <v>45632</v>
      </c>
      <c r="E521" s="1">
        <f t="shared" ca="1" si="100"/>
        <v>45642</v>
      </c>
      <c r="F521" t="str">
        <f t="shared" ca="1" si="101"/>
        <v>Hypertension</v>
      </c>
      <c r="G521" t="str">
        <f t="shared" ca="1" si="102"/>
        <v>Surgery</v>
      </c>
      <c r="H521">
        <f t="shared" ca="1" si="103"/>
        <v>10</v>
      </c>
      <c r="I521" t="str">
        <f t="shared" ca="1" si="104"/>
        <v>Yes</v>
      </c>
      <c r="J521">
        <f t="shared" ca="1" si="105"/>
        <v>2</v>
      </c>
      <c r="K521" t="str">
        <f t="shared" ca="1" si="106"/>
        <v>Public</v>
      </c>
      <c r="L521" t="str">
        <f t="shared" ca="1" si="107"/>
        <v>Neurology</v>
      </c>
    </row>
    <row r="522" spans="1:12" x14ac:dyDescent="0.25">
      <c r="A522">
        <f t="shared" si="96"/>
        <v>521</v>
      </c>
      <c r="B522">
        <f t="shared" ca="1" si="97"/>
        <v>24</v>
      </c>
      <c r="C522" t="str">
        <f t="shared" ca="1" si="98"/>
        <v>Female</v>
      </c>
      <c r="D522" s="1">
        <f t="shared" ca="1" si="99"/>
        <v>45587</v>
      </c>
      <c r="E522" s="1">
        <f t="shared" ca="1" si="100"/>
        <v>45597</v>
      </c>
      <c r="F522" t="str">
        <f t="shared" ca="1" si="101"/>
        <v>Stroke</v>
      </c>
      <c r="G522" t="str">
        <f t="shared" ca="1" si="102"/>
        <v>Medication</v>
      </c>
      <c r="H522">
        <f t="shared" ca="1" si="103"/>
        <v>10</v>
      </c>
      <c r="I522" t="str">
        <f t="shared" ca="1" si="104"/>
        <v>No</v>
      </c>
      <c r="J522">
        <f t="shared" ca="1" si="105"/>
        <v>0</v>
      </c>
      <c r="K522" t="str">
        <f t="shared" ca="1" si="106"/>
        <v>None</v>
      </c>
      <c r="L522" t="str">
        <f t="shared" ca="1" si="107"/>
        <v>Neurology</v>
      </c>
    </row>
    <row r="523" spans="1:12" x14ac:dyDescent="0.25">
      <c r="A523">
        <f t="shared" si="96"/>
        <v>522</v>
      </c>
      <c r="B523">
        <f t="shared" ca="1" si="97"/>
        <v>70</v>
      </c>
      <c r="C523" t="str">
        <f t="shared" ca="1" si="98"/>
        <v>Male</v>
      </c>
      <c r="D523" s="1">
        <f t="shared" ca="1" si="99"/>
        <v>45415</v>
      </c>
      <c r="E523" s="1">
        <f t="shared" ca="1" si="100"/>
        <v>45416</v>
      </c>
      <c r="F523" t="str">
        <f t="shared" ca="1" si="101"/>
        <v>Diabetes</v>
      </c>
      <c r="G523" t="str">
        <f t="shared" ca="1" si="102"/>
        <v>Medication</v>
      </c>
      <c r="H523">
        <f t="shared" ca="1" si="103"/>
        <v>1</v>
      </c>
      <c r="I523" t="str">
        <f t="shared" ca="1" si="104"/>
        <v>No</v>
      </c>
      <c r="J523">
        <f t="shared" ca="1" si="105"/>
        <v>3</v>
      </c>
      <c r="K523" t="str">
        <f t="shared" ca="1" si="106"/>
        <v>Private</v>
      </c>
      <c r="L523" t="str">
        <f t="shared" ca="1" si="107"/>
        <v>Cardiology</v>
      </c>
    </row>
    <row r="524" spans="1:12" x14ac:dyDescent="0.25">
      <c r="A524">
        <f t="shared" si="96"/>
        <v>523</v>
      </c>
      <c r="B524">
        <f t="shared" ca="1" si="97"/>
        <v>33</v>
      </c>
      <c r="C524" t="str">
        <f t="shared" ca="1" si="98"/>
        <v>Male</v>
      </c>
      <c r="D524" s="1">
        <f t="shared" ca="1" si="99"/>
        <v>45304</v>
      </c>
      <c r="E524" s="1">
        <f t="shared" ca="1" si="100"/>
        <v>45317</v>
      </c>
      <c r="F524" t="str">
        <f t="shared" ca="1" si="101"/>
        <v>Stroke</v>
      </c>
      <c r="G524" t="str">
        <f t="shared" ca="1" si="102"/>
        <v>Medication</v>
      </c>
      <c r="H524">
        <f t="shared" ca="1" si="103"/>
        <v>13</v>
      </c>
      <c r="I524" t="str">
        <f t="shared" ca="1" si="104"/>
        <v>No</v>
      </c>
      <c r="J524">
        <f t="shared" ca="1" si="105"/>
        <v>0</v>
      </c>
      <c r="K524" t="str">
        <f t="shared" ca="1" si="106"/>
        <v>None</v>
      </c>
      <c r="L524" t="str">
        <f t="shared" ca="1" si="107"/>
        <v>Neurology</v>
      </c>
    </row>
    <row r="525" spans="1:12" x14ac:dyDescent="0.25">
      <c r="A525">
        <f t="shared" si="96"/>
        <v>524</v>
      </c>
      <c r="B525">
        <f t="shared" ca="1" si="97"/>
        <v>64</v>
      </c>
      <c r="C525" t="str">
        <f t="shared" ca="1" si="98"/>
        <v>Female</v>
      </c>
      <c r="D525" s="1">
        <f t="shared" ca="1" si="99"/>
        <v>45300</v>
      </c>
      <c r="E525" s="1">
        <f t="shared" ca="1" si="100"/>
        <v>45312</v>
      </c>
      <c r="F525" t="str">
        <f t="shared" ca="1" si="101"/>
        <v>Diabetes</v>
      </c>
      <c r="G525" t="str">
        <f t="shared" ca="1" si="102"/>
        <v>Therapy</v>
      </c>
      <c r="H525">
        <f t="shared" ca="1" si="103"/>
        <v>12</v>
      </c>
      <c r="I525" t="str">
        <f t="shared" ca="1" si="104"/>
        <v>Yes</v>
      </c>
      <c r="J525">
        <f t="shared" ca="1" si="105"/>
        <v>1</v>
      </c>
      <c r="K525" t="str">
        <f t="shared" ca="1" si="106"/>
        <v>None</v>
      </c>
      <c r="L525" t="str">
        <f t="shared" ca="1" si="107"/>
        <v>Neurology</v>
      </c>
    </row>
    <row r="526" spans="1:12" x14ac:dyDescent="0.25">
      <c r="A526">
        <f t="shared" si="96"/>
        <v>525</v>
      </c>
      <c r="B526">
        <f t="shared" ca="1" si="97"/>
        <v>42</v>
      </c>
      <c r="C526" t="str">
        <f t="shared" ca="1" si="98"/>
        <v>Female</v>
      </c>
      <c r="D526" s="1">
        <f t="shared" ca="1" si="99"/>
        <v>45506</v>
      </c>
      <c r="E526" s="1">
        <f t="shared" ca="1" si="100"/>
        <v>45518</v>
      </c>
      <c r="F526" t="str">
        <f t="shared" ca="1" si="101"/>
        <v>Diabetes</v>
      </c>
      <c r="G526" t="str">
        <f t="shared" ca="1" si="102"/>
        <v>Medication</v>
      </c>
      <c r="H526">
        <f t="shared" ca="1" si="103"/>
        <v>12</v>
      </c>
      <c r="I526" t="str">
        <f t="shared" ca="1" si="104"/>
        <v>No</v>
      </c>
      <c r="J526">
        <f t="shared" ca="1" si="105"/>
        <v>1</v>
      </c>
      <c r="K526" t="str">
        <f t="shared" ca="1" si="106"/>
        <v>None</v>
      </c>
      <c r="L526" t="str">
        <f t="shared" ca="1" si="107"/>
        <v>Cardiology</v>
      </c>
    </row>
    <row r="527" spans="1:12" x14ac:dyDescent="0.25">
      <c r="A527">
        <f t="shared" si="96"/>
        <v>526</v>
      </c>
      <c r="B527">
        <f t="shared" ca="1" si="97"/>
        <v>83</v>
      </c>
      <c r="C527" t="str">
        <f t="shared" ca="1" si="98"/>
        <v>Female</v>
      </c>
      <c r="D527" s="1">
        <f t="shared" ca="1" si="99"/>
        <v>45417</v>
      </c>
      <c r="E527" s="1">
        <f t="shared" ca="1" si="100"/>
        <v>45419</v>
      </c>
      <c r="F527" t="str">
        <f t="shared" ca="1" si="101"/>
        <v>Stroke</v>
      </c>
      <c r="G527" t="str">
        <f t="shared" ca="1" si="102"/>
        <v>Medication</v>
      </c>
      <c r="H527">
        <f t="shared" ca="1" si="103"/>
        <v>2</v>
      </c>
      <c r="I527" t="str">
        <f t="shared" ca="1" si="104"/>
        <v>No</v>
      </c>
      <c r="J527">
        <f t="shared" ca="1" si="105"/>
        <v>0</v>
      </c>
      <c r="K527" t="str">
        <f t="shared" ca="1" si="106"/>
        <v>None</v>
      </c>
      <c r="L527" t="str">
        <f t="shared" ca="1" si="107"/>
        <v>General</v>
      </c>
    </row>
    <row r="528" spans="1:12" x14ac:dyDescent="0.25">
      <c r="A528">
        <f t="shared" si="96"/>
        <v>527</v>
      </c>
      <c r="B528">
        <f t="shared" ca="1" si="97"/>
        <v>20</v>
      </c>
      <c r="C528" t="str">
        <f t="shared" ca="1" si="98"/>
        <v>Male</v>
      </c>
      <c r="D528" s="1">
        <f t="shared" ca="1" si="99"/>
        <v>45428</v>
      </c>
      <c r="E528" s="1">
        <f t="shared" ca="1" si="100"/>
        <v>45441</v>
      </c>
      <c r="F528" t="str">
        <f t="shared" ca="1" si="101"/>
        <v>Pneumonia</v>
      </c>
      <c r="G528" t="str">
        <f t="shared" ca="1" si="102"/>
        <v>Therapy</v>
      </c>
      <c r="H528">
        <f t="shared" ca="1" si="103"/>
        <v>13</v>
      </c>
      <c r="I528" t="str">
        <f t="shared" ca="1" si="104"/>
        <v>No</v>
      </c>
      <c r="J528">
        <f t="shared" ca="1" si="105"/>
        <v>3</v>
      </c>
      <c r="K528" t="str">
        <f t="shared" ca="1" si="106"/>
        <v>None</v>
      </c>
      <c r="L528" t="str">
        <f t="shared" ca="1" si="107"/>
        <v>General</v>
      </c>
    </row>
    <row r="529" spans="1:12" x14ac:dyDescent="0.25">
      <c r="A529">
        <f t="shared" si="96"/>
        <v>528</v>
      </c>
      <c r="B529">
        <f t="shared" ca="1" si="97"/>
        <v>89</v>
      </c>
      <c r="C529" t="str">
        <f t="shared" ca="1" si="98"/>
        <v>Female</v>
      </c>
      <c r="D529" s="1">
        <f t="shared" ca="1" si="99"/>
        <v>45610</v>
      </c>
      <c r="E529" s="1">
        <f t="shared" ca="1" si="100"/>
        <v>45614</v>
      </c>
      <c r="F529" t="str">
        <f t="shared" ca="1" si="101"/>
        <v>Diabetes</v>
      </c>
      <c r="G529" t="str">
        <f t="shared" ca="1" si="102"/>
        <v>Therapy</v>
      </c>
      <c r="H529">
        <f t="shared" ca="1" si="103"/>
        <v>4</v>
      </c>
      <c r="I529" t="str">
        <f t="shared" ca="1" si="104"/>
        <v>No</v>
      </c>
      <c r="J529">
        <f t="shared" ca="1" si="105"/>
        <v>4</v>
      </c>
      <c r="K529" t="str">
        <f t="shared" ca="1" si="106"/>
        <v>Private</v>
      </c>
      <c r="L529" t="str">
        <f t="shared" ca="1" si="107"/>
        <v>Cardiology</v>
      </c>
    </row>
    <row r="530" spans="1:12" x14ac:dyDescent="0.25">
      <c r="A530">
        <f t="shared" si="96"/>
        <v>529</v>
      </c>
      <c r="B530">
        <f t="shared" ca="1" si="97"/>
        <v>46</v>
      </c>
      <c r="C530" t="str">
        <f t="shared" ca="1" si="98"/>
        <v>Female</v>
      </c>
      <c r="D530" s="1">
        <f t="shared" ca="1" si="99"/>
        <v>45365</v>
      </c>
      <c r="E530" s="1">
        <f t="shared" ca="1" si="100"/>
        <v>45371</v>
      </c>
      <c r="F530" t="str">
        <f t="shared" ca="1" si="101"/>
        <v>Stroke</v>
      </c>
      <c r="G530" t="str">
        <f t="shared" ca="1" si="102"/>
        <v>Medication</v>
      </c>
      <c r="H530">
        <f t="shared" ca="1" si="103"/>
        <v>6</v>
      </c>
      <c r="I530" t="str">
        <f t="shared" ca="1" si="104"/>
        <v>No</v>
      </c>
      <c r="J530">
        <f t="shared" ca="1" si="105"/>
        <v>1</v>
      </c>
      <c r="K530" t="str">
        <f t="shared" ca="1" si="106"/>
        <v>Public</v>
      </c>
      <c r="L530" t="str">
        <f t="shared" ca="1" si="107"/>
        <v>Neurology</v>
      </c>
    </row>
    <row r="531" spans="1:12" x14ac:dyDescent="0.25">
      <c r="A531">
        <f t="shared" si="96"/>
        <v>530</v>
      </c>
      <c r="B531">
        <f t="shared" ca="1" si="97"/>
        <v>90</v>
      </c>
      <c r="C531" t="str">
        <f t="shared" ca="1" si="98"/>
        <v>Male</v>
      </c>
      <c r="D531" s="1">
        <f t="shared" ca="1" si="99"/>
        <v>45634</v>
      </c>
      <c r="E531" s="1">
        <f t="shared" ca="1" si="100"/>
        <v>45648</v>
      </c>
      <c r="F531" t="str">
        <f t="shared" ca="1" si="101"/>
        <v>Heart Failure</v>
      </c>
      <c r="G531" t="str">
        <f t="shared" ca="1" si="102"/>
        <v>Surgery</v>
      </c>
      <c r="H531">
        <f t="shared" ca="1" si="103"/>
        <v>14</v>
      </c>
      <c r="I531" t="str">
        <f t="shared" ca="1" si="104"/>
        <v>No</v>
      </c>
      <c r="J531">
        <f t="shared" ca="1" si="105"/>
        <v>4</v>
      </c>
      <c r="K531" t="str">
        <f t="shared" ca="1" si="106"/>
        <v>Private</v>
      </c>
      <c r="L531" t="str">
        <f t="shared" ca="1" si="107"/>
        <v>General</v>
      </c>
    </row>
    <row r="532" spans="1:12" x14ac:dyDescent="0.25">
      <c r="A532">
        <f t="shared" si="96"/>
        <v>531</v>
      </c>
      <c r="B532">
        <f t="shared" ca="1" si="97"/>
        <v>82</v>
      </c>
      <c r="C532" t="str">
        <f t="shared" ca="1" si="98"/>
        <v>Male</v>
      </c>
      <c r="D532" s="1">
        <f t="shared" ca="1" si="99"/>
        <v>45439</v>
      </c>
      <c r="E532" s="1">
        <f t="shared" ca="1" si="100"/>
        <v>45454</v>
      </c>
      <c r="F532" t="str">
        <f t="shared" ca="1" si="101"/>
        <v>Pneumonia</v>
      </c>
      <c r="G532" t="str">
        <f t="shared" ca="1" si="102"/>
        <v>Therapy</v>
      </c>
      <c r="H532">
        <f t="shared" ca="1" si="103"/>
        <v>15</v>
      </c>
      <c r="I532" t="str">
        <f t="shared" ca="1" si="104"/>
        <v>Yes</v>
      </c>
      <c r="J532">
        <f t="shared" ca="1" si="105"/>
        <v>0</v>
      </c>
      <c r="K532" t="str">
        <f t="shared" ca="1" si="106"/>
        <v>Private</v>
      </c>
      <c r="L532" t="str">
        <f t="shared" ca="1" si="107"/>
        <v>General</v>
      </c>
    </row>
    <row r="533" spans="1:12" x14ac:dyDescent="0.25">
      <c r="A533">
        <f t="shared" si="96"/>
        <v>532</v>
      </c>
      <c r="B533">
        <f t="shared" ca="1" si="97"/>
        <v>85</v>
      </c>
      <c r="C533" t="str">
        <f t="shared" ca="1" si="98"/>
        <v>Male</v>
      </c>
      <c r="D533" s="1">
        <f t="shared" ca="1" si="99"/>
        <v>45499</v>
      </c>
      <c r="E533" s="1">
        <f t="shared" ca="1" si="100"/>
        <v>45514</v>
      </c>
      <c r="F533" t="str">
        <f t="shared" ca="1" si="101"/>
        <v>Heart Failure</v>
      </c>
      <c r="G533" t="str">
        <f t="shared" ca="1" si="102"/>
        <v>Surgery</v>
      </c>
      <c r="H533">
        <f t="shared" ca="1" si="103"/>
        <v>15</v>
      </c>
      <c r="I533" t="str">
        <f t="shared" ca="1" si="104"/>
        <v>Yes</v>
      </c>
      <c r="J533">
        <f t="shared" ca="1" si="105"/>
        <v>0</v>
      </c>
      <c r="K533" t="str">
        <f t="shared" ca="1" si="106"/>
        <v>Private</v>
      </c>
      <c r="L533" t="str">
        <f t="shared" ca="1" si="107"/>
        <v>ER</v>
      </c>
    </row>
    <row r="534" spans="1:12" x14ac:dyDescent="0.25">
      <c r="A534">
        <f t="shared" si="96"/>
        <v>533</v>
      </c>
      <c r="B534">
        <f t="shared" ca="1" si="97"/>
        <v>59</v>
      </c>
      <c r="C534" t="str">
        <f t="shared" ca="1" si="98"/>
        <v>Female</v>
      </c>
      <c r="D534" s="1">
        <f t="shared" ca="1" si="99"/>
        <v>45386</v>
      </c>
      <c r="E534" s="1">
        <f t="shared" ca="1" si="100"/>
        <v>45390</v>
      </c>
      <c r="F534" t="str">
        <f t="shared" ca="1" si="101"/>
        <v>Hypertension</v>
      </c>
      <c r="G534" t="str">
        <f t="shared" ca="1" si="102"/>
        <v>Therapy</v>
      </c>
      <c r="H534">
        <f t="shared" ca="1" si="103"/>
        <v>4</v>
      </c>
      <c r="I534" t="str">
        <f t="shared" ca="1" si="104"/>
        <v>Yes</v>
      </c>
      <c r="J534">
        <f t="shared" ca="1" si="105"/>
        <v>0</v>
      </c>
      <c r="K534" t="str">
        <f t="shared" ca="1" si="106"/>
        <v>Public</v>
      </c>
      <c r="L534" t="str">
        <f t="shared" ca="1" si="107"/>
        <v>Cardiology</v>
      </c>
    </row>
    <row r="535" spans="1:12" x14ac:dyDescent="0.25">
      <c r="A535">
        <f t="shared" si="96"/>
        <v>534</v>
      </c>
      <c r="B535">
        <f t="shared" ca="1" si="97"/>
        <v>80</v>
      </c>
      <c r="C535" t="str">
        <f t="shared" ca="1" si="98"/>
        <v>Female</v>
      </c>
      <c r="D535" s="1">
        <f t="shared" ca="1" si="99"/>
        <v>45562</v>
      </c>
      <c r="E535" s="1">
        <f t="shared" ca="1" si="100"/>
        <v>45577</v>
      </c>
      <c r="F535" t="str">
        <f t="shared" ca="1" si="101"/>
        <v>Pneumonia</v>
      </c>
      <c r="G535" t="str">
        <f t="shared" ca="1" si="102"/>
        <v>Medication</v>
      </c>
      <c r="H535">
        <f t="shared" ca="1" si="103"/>
        <v>15</v>
      </c>
      <c r="I535" t="str">
        <f t="shared" ca="1" si="104"/>
        <v>No</v>
      </c>
      <c r="J535">
        <f t="shared" ca="1" si="105"/>
        <v>2</v>
      </c>
      <c r="K535" t="str">
        <f t="shared" ca="1" si="106"/>
        <v>Private</v>
      </c>
      <c r="L535" t="str">
        <f t="shared" ca="1" si="107"/>
        <v>General</v>
      </c>
    </row>
    <row r="536" spans="1:12" x14ac:dyDescent="0.25">
      <c r="A536">
        <f t="shared" si="96"/>
        <v>535</v>
      </c>
      <c r="B536">
        <f t="shared" ca="1" si="97"/>
        <v>68</v>
      </c>
      <c r="C536" t="str">
        <f t="shared" ca="1" si="98"/>
        <v>Female</v>
      </c>
      <c r="D536" s="1">
        <f t="shared" ca="1" si="99"/>
        <v>45301</v>
      </c>
      <c r="E536" s="1">
        <f t="shared" ca="1" si="100"/>
        <v>45309</v>
      </c>
      <c r="F536" t="str">
        <f t="shared" ca="1" si="101"/>
        <v>Pneumonia</v>
      </c>
      <c r="G536" t="str">
        <f t="shared" ca="1" si="102"/>
        <v>Therapy</v>
      </c>
      <c r="H536">
        <f t="shared" ca="1" si="103"/>
        <v>8</v>
      </c>
      <c r="I536" t="str">
        <f t="shared" ca="1" si="104"/>
        <v>No</v>
      </c>
      <c r="J536">
        <f t="shared" ca="1" si="105"/>
        <v>1</v>
      </c>
      <c r="K536" t="str">
        <f t="shared" ca="1" si="106"/>
        <v>Public</v>
      </c>
      <c r="L536" t="str">
        <f t="shared" ca="1" si="107"/>
        <v>Neurology</v>
      </c>
    </row>
    <row r="537" spans="1:12" x14ac:dyDescent="0.25">
      <c r="A537">
        <f t="shared" si="96"/>
        <v>536</v>
      </c>
      <c r="B537">
        <f t="shared" ca="1" si="97"/>
        <v>23</v>
      </c>
      <c r="C537" t="str">
        <f t="shared" ca="1" si="98"/>
        <v>Male</v>
      </c>
      <c r="D537" s="1">
        <f t="shared" ca="1" si="99"/>
        <v>45409</v>
      </c>
      <c r="E537" s="1">
        <f t="shared" ca="1" si="100"/>
        <v>45413</v>
      </c>
      <c r="F537" t="str">
        <f t="shared" ca="1" si="101"/>
        <v>Diabetes</v>
      </c>
      <c r="G537" t="str">
        <f t="shared" ca="1" si="102"/>
        <v>Therapy</v>
      </c>
      <c r="H537">
        <f t="shared" ca="1" si="103"/>
        <v>4</v>
      </c>
      <c r="I537" t="str">
        <f t="shared" ca="1" si="104"/>
        <v>Yes</v>
      </c>
      <c r="J537">
        <f t="shared" ca="1" si="105"/>
        <v>4</v>
      </c>
      <c r="K537" t="str">
        <f t="shared" ca="1" si="106"/>
        <v>None</v>
      </c>
      <c r="L537" t="str">
        <f t="shared" ca="1" si="107"/>
        <v>General</v>
      </c>
    </row>
    <row r="538" spans="1:12" x14ac:dyDescent="0.25">
      <c r="A538">
        <f t="shared" si="96"/>
        <v>537</v>
      </c>
      <c r="B538">
        <f t="shared" ca="1" si="97"/>
        <v>83</v>
      </c>
      <c r="C538" t="str">
        <f t="shared" ca="1" si="98"/>
        <v>Female</v>
      </c>
      <c r="D538" s="1">
        <f t="shared" ca="1" si="99"/>
        <v>45337</v>
      </c>
      <c r="E538" s="1">
        <f t="shared" ca="1" si="100"/>
        <v>45342</v>
      </c>
      <c r="F538" t="str">
        <f t="shared" ca="1" si="101"/>
        <v>Stroke</v>
      </c>
      <c r="G538" t="str">
        <f t="shared" ca="1" si="102"/>
        <v>Surgery</v>
      </c>
      <c r="H538">
        <f t="shared" ca="1" si="103"/>
        <v>5</v>
      </c>
      <c r="I538" t="str">
        <f t="shared" ca="1" si="104"/>
        <v>Yes</v>
      </c>
      <c r="J538">
        <f t="shared" ca="1" si="105"/>
        <v>0</v>
      </c>
      <c r="K538" t="str">
        <f t="shared" ca="1" si="106"/>
        <v>Public</v>
      </c>
      <c r="L538" t="str">
        <f t="shared" ca="1" si="107"/>
        <v>General</v>
      </c>
    </row>
    <row r="539" spans="1:12" x14ac:dyDescent="0.25">
      <c r="A539">
        <f t="shared" si="96"/>
        <v>538</v>
      </c>
      <c r="B539">
        <f t="shared" ca="1" si="97"/>
        <v>24</v>
      </c>
      <c r="C539" t="str">
        <f t="shared" ca="1" si="98"/>
        <v>Male</v>
      </c>
      <c r="D539" s="1">
        <f t="shared" ca="1" si="99"/>
        <v>45300</v>
      </c>
      <c r="E539" s="1">
        <f t="shared" ca="1" si="100"/>
        <v>45301</v>
      </c>
      <c r="F539" t="str">
        <f t="shared" ca="1" si="101"/>
        <v>Heart Failure</v>
      </c>
      <c r="G539" t="str">
        <f t="shared" ca="1" si="102"/>
        <v>Surgery</v>
      </c>
      <c r="H539">
        <f t="shared" ca="1" si="103"/>
        <v>1</v>
      </c>
      <c r="I539" t="str">
        <f t="shared" ca="1" si="104"/>
        <v>No</v>
      </c>
      <c r="J539">
        <f t="shared" ca="1" si="105"/>
        <v>0</v>
      </c>
      <c r="K539" t="str">
        <f t="shared" ca="1" si="106"/>
        <v>Public</v>
      </c>
      <c r="L539" t="str">
        <f t="shared" ca="1" si="107"/>
        <v>General</v>
      </c>
    </row>
    <row r="540" spans="1:12" x14ac:dyDescent="0.25">
      <c r="A540">
        <f t="shared" si="96"/>
        <v>539</v>
      </c>
      <c r="B540">
        <f t="shared" ca="1" si="97"/>
        <v>57</v>
      </c>
      <c r="C540" t="str">
        <f t="shared" ca="1" si="98"/>
        <v>Male</v>
      </c>
      <c r="D540" s="1">
        <f t="shared" ca="1" si="99"/>
        <v>45372</v>
      </c>
      <c r="E540" s="1">
        <f t="shared" ca="1" si="100"/>
        <v>45381</v>
      </c>
      <c r="F540" t="str">
        <f t="shared" ca="1" si="101"/>
        <v>Diabetes</v>
      </c>
      <c r="G540" t="str">
        <f t="shared" ca="1" si="102"/>
        <v>Surgery</v>
      </c>
      <c r="H540">
        <f t="shared" ca="1" si="103"/>
        <v>9</v>
      </c>
      <c r="I540" t="str">
        <f t="shared" ca="1" si="104"/>
        <v>No</v>
      </c>
      <c r="J540">
        <f t="shared" ca="1" si="105"/>
        <v>2</v>
      </c>
      <c r="K540" t="str">
        <f t="shared" ca="1" si="106"/>
        <v>Private</v>
      </c>
      <c r="L540" t="str">
        <f t="shared" ca="1" si="107"/>
        <v>ICU</v>
      </c>
    </row>
    <row r="541" spans="1:12" x14ac:dyDescent="0.25">
      <c r="A541">
        <f t="shared" si="96"/>
        <v>540</v>
      </c>
      <c r="B541">
        <f t="shared" ca="1" si="97"/>
        <v>48</v>
      </c>
      <c r="C541" t="str">
        <f t="shared" ca="1" si="98"/>
        <v>Female</v>
      </c>
      <c r="D541" s="1">
        <f t="shared" ca="1" si="99"/>
        <v>45472</v>
      </c>
      <c r="E541" s="1">
        <f t="shared" ca="1" si="100"/>
        <v>45480</v>
      </c>
      <c r="F541" t="str">
        <f t="shared" ca="1" si="101"/>
        <v>Heart Failure</v>
      </c>
      <c r="G541" t="str">
        <f t="shared" ca="1" si="102"/>
        <v>Therapy</v>
      </c>
      <c r="H541">
        <f t="shared" ca="1" si="103"/>
        <v>8</v>
      </c>
      <c r="I541" t="str">
        <f t="shared" ca="1" si="104"/>
        <v>Yes</v>
      </c>
      <c r="J541">
        <f t="shared" ca="1" si="105"/>
        <v>1</v>
      </c>
      <c r="K541" t="str">
        <f t="shared" ca="1" si="106"/>
        <v>Private</v>
      </c>
      <c r="L541" t="str">
        <f t="shared" ca="1" si="107"/>
        <v>Neurology</v>
      </c>
    </row>
    <row r="542" spans="1:12" x14ac:dyDescent="0.25">
      <c r="A542">
        <f t="shared" si="96"/>
        <v>541</v>
      </c>
      <c r="B542">
        <f t="shared" ca="1" si="97"/>
        <v>48</v>
      </c>
      <c r="C542" t="str">
        <f t="shared" ca="1" si="98"/>
        <v>Female</v>
      </c>
      <c r="D542" s="1">
        <f t="shared" ca="1" si="99"/>
        <v>45405</v>
      </c>
      <c r="E542" s="1">
        <f t="shared" ca="1" si="100"/>
        <v>45414</v>
      </c>
      <c r="F542" t="str">
        <f t="shared" ca="1" si="101"/>
        <v>Hypertension</v>
      </c>
      <c r="G542" t="str">
        <f t="shared" ca="1" si="102"/>
        <v>Medication</v>
      </c>
      <c r="H542">
        <f t="shared" ca="1" si="103"/>
        <v>9</v>
      </c>
      <c r="I542" t="str">
        <f t="shared" ca="1" si="104"/>
        <v>No</v>
      </c>
      <c r="J542">
        <f t="shared" ca="1" si="105"/>
        <v>1</v>
      </c>
      <c r="K542" t="str">
        <f t="shared" ca="1" si="106"/>
        <v>None</v>
      </c>
      <c r="L542" t="str">
        <f t="shared" ca="1" si="107"/>
        <v>ER</v>
      </c>
    </row>
    <row r="543" spans="1:12" x14ac:dyDescent="0.25">
      <c r="A543">
        <f t="shared" si="96"/>
        <v>542</v>
      </c>
      <c r="B543">
        <f t="shared" ca="1" si="97"/>
        <v>23</v>
      </c>
      <c r="C543" t="str">
        <f t="shared" ca="1" si="98"/>
        <v>Female</v>
      </c>
      <c r="D543" s="1">
        <f t="shared" ca="1" si="99"/>
        <v>45369</v>
      </c>
      <c r="E543" s="1">
        <f t="shared" ca="1" si="100"/>
        <v>45375</v>
      </c>
      <c r="F543" t="str">
        <f t="shared" ca="1" si="101"/>
        <v>Pneumonia</v>
      </c>
      <c r="G543" t="str">
        <f t="shared" ca="1" si="102"/>
        <v>Surgery</v>
      </c>
      <c r="H543">
        <f t="shared" ca="1" si="103"/>
        <v>6</v>
      </c>
      <c r="I543" t="str">
        <f t="shared" ca="1" si="104"/>
        <v>No</v>
      </c>
      <c r="J543">
        <f t="shared" ca="1" si="105"/>
        <v>0</v>
      </c>
      <c r="K543" t="str">
        <f t="shared" ca="1" si="106"/>
        <v>Private</v>
      </c>
      <c r="L543" t="str">
        <f t="shared" ca="1" si="107"/>
        <v>Cardiology</v>
      </c>
    </row>
    <row r="544" spans="1:12" x14ac:dyDescent="0.25">
      <c r="A544">
        <f t="shared" si="96"/>
        <v>543</v>
      </c>
      <c r="B544">
        <f t="shared" ca="1" si="97"/>
        <v>85</v>
      </c>
      <c r="C544" t="str">
        <f t="shared" ca="1" si="98"/>
        <v>Male</v>
      </c>
      <c r="D544" s="1">
        <f t="shared" ca="1" si="99"/>
        <v>45393</v>
      </c>
      <c r="E544" s="1">
        <f t="shared" ca="1" si="100"/>
        <v>45395</v>
      </c>
      <c r="F544" t="str">
        <f t="shared" ca="1" si="101"/>
        <v>Hypertension</v>
      </c>
      <c r="G544" t="str">
        <f t="shared" ca="1" si="102"/>
        <v>Therapy</v>
      </c>
      <c r="H544">
        <f t="shared" ca="1" si="103"/>
        <v>2</v>
      </c>
      <c r="I544" t="str">
        <f t="shared" ca="1" si="104"/>
        <v>No</v>
      </c>
      <c r="J544">
        <f t="shared" ca="1" si="105"/>
        <v>1</v>
      </c>
      <c r="K544" t="str">
        <f t="shared" ca="1" si="106"/>
        <v>Private</v>
      </c>
      <c r="L544" t="str">
        <f t="shared" ca="1" si="107"/>
        <v>General</v>
      </c>
    </row>
    <row r="545" spans="1:12" x14ac:dyDescent="0.25">
      <c r="A545">
        <f t="shared" si="96"/>
        <v>544</v>
      </c>
      <c r="B545">
        <f t="shared" ca="1" si="97"/>
        <v>74</v>
      </c>
      <c r="C545" t="str">
        <f t="shared" ca="1" si="98"/>
        <v>Male</v>
      </c>
      <c r="D545" s="1">
        <f t="shared" ca="1" si="99"/>
        <v>45569</v>
      </c>
      <c r="E545" s="1">
        <f t="shared" ca="1" si="100"/>
        <v>45581</v>
      </c>
      <c r="F545" t="str">
        <f t="shared" ca="1" si="101"/>
        <v>Diabetes</v>
      </c>
      <c r="G545" t="str">
        <f t="shared" ca="1" si="102"/>
        <v>Medication</v>
      </c>
      <c r="H545">
        <f t="shared" ca="1" si="103"/>
        <v>12</v>
      </c>
      <c r="I545" t="str">
        <f t="shared" ca="1" si="104"/>
        <v>No</v>
      </c>
      <c r="J545">
        <f t="shared" ca="1" si="105"/>
        <v>4</v>
      </c>
      <c r="K545" t="str">
        <f t="shared" ca="1" si="106"/>
        <v>None</v>
      </c>
      <c r="L545" t="str">
        <f t="shared" ca="1" si="107"/>
        <v>ER</v>
      </c>
    </row>
    <row r="546" spans="1:12" x14ac:dyDescent="0.25">
      <c r="A546">
        <f t="shared" si="96"/>
        <v>545</v>
      </c>
      <c r="B546">
        <f t="shared" ca="1" si="97"/>
        <v>23</v>
      </c>
      <c r="C546" t="str">
        <f t="shared" ca="1" si="98"/>
        <v>Male</v>
      </c>
      <c r="D546" s="1">
        <f t="shared" ca="1" si="99"/>
        <v>45640</v>
      </c>
      <c r="E546" s="1">
        <f t="shared" ca="1" si="100"/>
        <v>45648</v>
      </c>
      <c r="F546" t="str">
        <f t="shared" ca="1" si="101"/>
        <v>Hypertension</v>
      </c>
      <c r="G546" t="str">
        <f t="shared" ca="1" si="102"/>
        <v>Surgery</v>
      </c>
      <c r="H546">
        <f t="shared" ca="1" si="103"/>
        <v>8</v>
      </c>
      <c r="I546" t="str">
        <f t="shared" ca="1" si="104"/>
        <v>No</v>
      </c>
      <c r="J546">
        <f t="shared" ca="1" si="105"/>
        <v>1</v>
      </c>
      <c r="K546" t="str">
        <f t="shared" ca="1" si="106"/>
        <v>Public</v>
      </c>
      <c r="L546" t="str">
        <f t="shared" ca="1" si="107"/>
        <v>Neurology</v>
      </c>
    </row>
    <row r="547" spans="1:12" x14ac:dyDescent="0.25">
      <c r="A547">
        <f t="shared" si="96"/>
        <v>546</v>
      </c>
      <c r="B547">
        <f t="shared" ca="1" si="97"/>
        <v>77</v>
      </c>
      <c r="C547" t="str">
        <f t="shared" ca="1" si="98"/>
        <v>Female</v>
      </c>
      <c r="D547" s="1">
        <f t="shared" ca="1" si="99"/>
        <v>45644</v>
      </c>
      <c r="E547" s="1">
        <f t="shared" ca="1" si="100"/>
        <v>45651</v>
      </c>
      <c r="F547" t="str">
        <f t="shared" ca="1" si="101"/>
        <v>Stroke</v>
      </c>
      <c r="G547" t="str">
        <f t="shared" ca="1" si="102"/>
        <v>Medication</v>
      </c>
      <c r="H547">
        <f t="shared" ca="1" si="103"/>
        <v>7</v>
      </c>
      <c r="I547" t="str">
        <f t="shared" ca="1" si="104"/>
        <v>No</v>
      </c>
      <c r="J547">
        <f t="shared" ca="1" si="105"/>
        <v>2</v>
      </c>
      <c r="K547" t="str">
        <f t="shared" ca="1" si="106"/>
        <v>Private</v>
      </c>
      <c r="L547" t="str">
        <f t="shared" ca="1" si="107"/>
        <v>ICU</v>
      </c>
    </row>
    <row r="548" spans="1:12" x14ac:dyDescent="0.25">
      <c r="A548">
        <f t="shared" si="96"/>
        <v>547</v>
      </c>
      <c r="B548">
        <f t="shared" ca="1" si="97"/>
        <v>64</v>
      </c>
      <c r="C548" t="str">
        <f t="shared" ca="1" si="98"/>
        <v>Female</v>
      </c>
      <c r="D548" s="1">
        <f t="shared" ca="1" si="99"/>
        <v>45604</v>
      </c>
      <c r="E548" s="1">
        <f t="shared" ca="1" si="100"/>
        <v>45611</v>
      </c>
      <c r="F548" t="str">
        <f t="shared" ca="1" si="101"/>
        <v>Stroke</v>
      </c>
      <c r="G548" t="str">
        <f t="shared" ca="1" si="102"/>
        <v>Surgery</v>
      </c>
      <c r="H548">
        <f t="shared" ca="1" si="103"/>
        <v>7</v>
      </c>
      <c r="I548" t="str">
        <f t="shared" ca="1" si="104"/>
        <v>Yes</v>
      </c>
      <c r="J548">
        <f t="shared" ca="1" si="105"/>
        <v>3</v>
      </c>
      <c r="K548" t="str">
        <f t="shared" ca="1" si="106"/>
        <v>None</v>
      </c>
      <c r="L548" t="str">
        <f t="shared" ca="1" si="107"/>
        <v>ER</v>
      </c>
    </row>
    <row r="549" spans="1:12" x14ac:dyDescent="0.25">
      <c r="A549">
        <f t="shared" si="96"/>
        <v>548</v>
      </c>
      <c r="B549">
        <f t="shared" ca="1" si="97"/>
        <v>33</v>
      </c>
      <c r="C549" t="str">
        <f t="shared" ca="1" si="98"/>
        <v>Female</v>
      </c>
      <c r="D549" s="1">
        <f t="shared" ca="1" si="99"/>
        <v>45414</v>
      </c>
      <c r="E549" s="1">
        <f t="shared" ca="1" si="100"/>
        <v>45415</v>
      </c>
      <c r="F549" t="str">
        <f t="shared" ca="1" si="101"/>
        <v>Hypertension</v>
      </c>
      <c r="G549" t="str">
        <f t="shared" ca="1" si="102"/>
        <v>Medication</v>
      </c>
      <c r="H549">
        <f t="shared" ca="1" si="103"/>
        <v>1</v>
      </c>
      <c r="I549" t="str">
        <f t="shared" ca="1" si="104"/>
        <v>Yes</v>
      </c>
      <c r="J549">
        <f t="shared" ca="1" si="105"/>
        <v>3</v>
      </c>
      <c r="K549" t="str">
        <f t="shared" ca="1" si="106"/>
        <v>Private</v>
      </c>
      <c r="L549" t="str">
        <f t="shared" ca="1" si="107"/>
        <v>ICU</v>
      </c>
    </row>
    <row r="550" spans="1:12" x14ac:dyDescent="0.25">
      <c r="A550">
        <f t="shared" si="96"/>
        <v>549</v>
      </c>
      <c r="B550">
        <f t="shared" ca="1" si="97"/>
        <v>35</v>
      </c>
      <c r="C550" t="str">
        <f t="shared" ca="1" si="98"/>
        <v>Male</v>
      </c>
      <c r="D550" s="1">
        <f t="shared" ca="1" si="99"/>
        <v>45588</v>
      </c>
      <c r="E550" s="1">
        <f t="shared" ca="1" si="100"/>
        <v>45596</v>
      </c>
      <c r="F550" t="str">
        <f t="shared" ca="1" si="101"/>
        <v>Heart Failure</v>
      </c>
      <c r="G550" t="str">
        <f t="shared" ca="1" si="102"/>
        <v>Medication</v>
      </c>
      <c r="H550">
        <f t="shared" ca="1" si="103"/>
        <v>8</v>
      </c>
      <c r="I550" t="str">
        <f t="shared" ca="1" si="104"/>
        <v>No</v>
      </c>
      <c r="J550">
        <f t="shared" ca="1" si="105"/>
        <v>3</v>
      </c>
      <c r="K550" t="str">
        <f t="shared" ca="1" si="106"/>
        <v>Public</v>
      </c>
      <c r="L550" t="str">
        <f t="shared" ca="1" si="107"/>
        <v>ER</v>
      </c>
    </row>
    <row r="551" spans="1:12" x14ac:dyDescent="0.25">
      <c r="A551">
        <f t="shared" si="96"/>
        <v>550</v>
      </c>
      <c r="B551">
        <f t="shared" ca="1" si="97"/>
        <v>52</v>
      </c>
      <c r="C551" t="str">
        <f t="shared" ca="1" si="98"/>
        <v>Female</v>
      </c>
      <c r="D551" s="1">
        <f t="shared" ca="1" si="99"/>
        <v>45406</v>
      </c>
      <c r="E551" s="1">
        <f t="shared" ca="1" si="100"/>
        <v>45419</v>
      </c>
      <c r="F551" t="str">
        <f t="shared" ca="1" si="101"/>
        <v>Diabetes</v>
      </c>
      <c r="G551" t="str">
        <f t="shared" ca="1" si="102"/>
        <v>Surgery</v>
      </c>
      <c r="H551">
        <f t="shared" ca="1" si="103"/>
        <v>13</v>
      </c>
      <c r="I551" t="str">
        <f t="shared" ca="1" si="104"/>
        <v>No</v>
      </c>
      <c r="J551">
        <f t="shared" ca="1" si="105"/>
        <v>4</v>
      </c>
      <c r="K551" t="str">
        <f t="shared" ca="1" si="106"/>
        <v>Private</v>
      </c>
      <c r="L551" t="str">
        <f t="shared" ca="1" si="107"/>
        <v>General</v>
      </c>
    </row>
    <row r="552" spans="1:12" x14ac:dyDescent="0.25">
      <c r="A552">
        <f t="shared" si="96"/>
        <v>551</v>
      </c>
      <c r="B552">
        <f t="shared" ca="1" si="97"/>
        <v>78</v>
      </c>
      <c r="C552" t="str">
        <f t="shared" ca="1" si="98"/>
        <v>Female</v>
      </c>
      <c r="D552" s="1">
        <f t="shared" ca="1" si="99"/>
        <v>45327</v>
      </c>
      <c r="E552" s="1">
        <f t="shared" ca="1" si="100"/>
        <v>45337</v>
      </c>
      <c r="F552" t="str">
        <f t="shared" ca="1" si="101"/>
        <v>Heart Failure</v>
      </c>
      <c r="G552" t="str">
        <f t="shared" ca="1" si="102"/>
        <v>Surgery</v>
      </c>
      <c r="H552">
        <f t="shared" ca="1" si="103"/>
        <v>10</v>
      </c>
      <c r="I552" t="str">
        <f t="shared" ca="1" si="104"/>
        <v>No</v>
      </c>
      <c r="J552">
        <f t="shared" ca="1" si="105"/>
        <v>1</v>
      </c>
      <c r="K552" t="str">
        <f t="shared" ca="1" si="106"/>
        <v>Private</v>
      </c>
      <c r="L552" t="str">
        <f t="shared" ca="1" si="107"/>
        <v>Cardiology</v>
      </c>
    </row>
    <row r="553" spans="1:12" x14ac:dyDescent="0.25">
      <c r="A553">
        <f t="shared" si="96"/>
        <v>552</v>
      </c>
      <c r="B553">
        <f t="shared" ca="1" si="97"/>
        <v>84</v>
      </c>
      <c r="C553" t="str">
        <f t="shared" ca="1" si="98"/>
        <v>Male</v>
      </c>
      <c r="D553" s="1">
        <f t="shared" ca="1" si="99"/>
        <v>45547</v>
      </c>
      <c r="E553" s="1">
        <f t="shared" ca="1" si="100"/>
        <v>45553</v>
      </c>
      <c r="F553" t="str">
        <f t="shared" ca="1" si="101"/>
        <v>Heart Failure</v>
      </c>
      <c r="G553" t="str">
        <f t="shared" ca="1" si="102"/>
        <v>Therapy</v>
      </c>
      <c r="H553">
        <f t="shared" ca="1" si="103"/>
        <v>6</v>
      </c>
      <c r="I553" t="str">
        <f t="shared" ca="1" si="104"/>
        <v>No</v>
      </c>
      <c r="J553">
        <f t="shared" ca="1" si="105"/>
        <v>2</v>
      </c>
      <c r="K553" t="str">
        <f t="shared" ca="1" si="106"/>
        <v>None</v>
      </c>
      <c r="L553" t="str">
        <f t="shared" ca="1" si="107"/>
        <v>ICU</v>
      </c>
    </row>
    <row r="554" spans="1:12" x14ac:dyDescent="0.25">
      <c r="A554">
        <f t="shared" si="96"/>
        <v>553</v>
      </c>
      <c r="B554">
        <f t="shared" ca="1" si="97"/>
        <v>78</v>
      </c>
      <c r="C554" t="str">
        <f t="shared" ca="1" si="98"/>
        <v>Female</v>
      </c>
      <c r="D554" s="1">
        <f t="shared" ca="1" si="99"/>
        <v>45626</v>
      </c>
      <c r="E554" s="1">
        <f t="shared" ca="1" si="100"/>
        <v>45636</v>
      </c>
      <c r="F554" t="str">
        <f t="shared" ca="1" si="101"/>
        <v>Diabetes</v>
      </c>
      <c r="G554" t="str">
        <f t="shared" ca="1" si="102"/>
        <v>Medication</v>
      </c>
      <c r="H554">
        <f t="shared" ca="1" si="103"/>
        <v>10</v>
      </c>
      <c r="I554" t="str">
        <f t="shared" ca="1" si="104"/>
        <v>No</v>
      </c>
      <c r="J554">
        <f t="shared" ca="1" si="105"/>
        <v>2</v>
      </c>
      <c r="K554" t="str">
        <f t="shared" ca="1" si="106"/>
        <v>None</v>
      </c>
      <c r="L554" t="str">
        <f t="shared" ca="1" si="107"/>
        <v>ICU</v>
      </c>
    </row>
    <row r="555" spans="1:12" x14ac:dyDescent="0.25">
      <c r="A555">
        <f t="shared" si="96"/>
        <v>554</v>
      </c>
      <c r="B555">
        <f t="shared" ca="1" si="97"/>
        <v>79</v>
      </c>
      <c r="C555" t="str">
        <f t="shared" ca="1" si="98"/>
        <v>Female</v>
      </c>
      <c r="D555" s="1">
        <f t="shared" ca="1" si="99"/>
        <v>45651</v>
      </c>
      <c r="E555" s="1">
        <f t="shared" ca="1" si="100"/>
        <v>45663</v>
      </c>
      <c r="F555" t="str">
        <f t="shared" ca="1" si="101"/>
        <v>Stroke</v>
      </c>
      <c r="G555" t="str">
        <f t="shared" ca="1" si="102"/>
        <v>Medication</v>
      </c>
      <c r="H555">
        <f t="shared" ca="1" si="103"/>
        <v>12</v>
      </c>
      <c r="I555" t="str">
        <f t="shared" ca="1" si="104"/>
        <v>Yes</v>
      </c>
      <c r="J555">
        <f t="shared" ca="1" si="105"/>
        <v>2</v>
      </c>
      <c r="K555" t="str">
        <f t="shared" ca="1" si="106"/>
        <v>None</v>
      </c>
      <c r="L555" t="str">
        <f t="shared" ca="1" si="107"/>
        <v>Neurology</v>
      </c>
    </row>
    <row r="556" spans="1:12" x14ac:dyDescent="0.25">
      <c r="A556">
        <f t="shared" si="96"/>
        <v>555</v>
      </c>
      <c r="B556">
        <f t="shared" ca="1" si="97"/>
        <v>82</v>
      </c>
      <c r="C556" t="str">
        <f t="shared" ca="1" si="98"/>
        <v>Female</v>
      </c>
      <c r="D556" s="1">
        <f t="shared" ca="1" si="99"/>
        <v>45315</v>
      </c>
      <c r="E556" s="1">
        <f t="shared" ca="1" si="100"/>
        <v>45325</v>
      </c>
      <c r="F556" t="str">
        <f t="shared" ca="1" si="101"/>
        <v>Pneumonia</v>
      </c>
      <c r="G556" t="str">
        <f t="shared" ca="1" si="102"/>
        <v>Surgery</v>
      </c>
      <c r="H556">
        <f t="shared" ca="1" si="103"/>
        <v>10</v>
      </c>
      <c r="I556" t="str">
        <f t="shared" ca="1" si="104"/>
        <v>No</v>
      </c>
      <c r="J556">
        <f t="shared" ca="1" si="105"/>
        <v>4</v>
      </c>
      <c r="K556" t="str">
        <f t="shared" ca="1" si="106"/>
        <v>Public</v>
      </c>
      <c r="L556" t="str">
        <f t="shared" ca="1" si="107"/>
        <v>ICU</v>
      </c>
    </row>
    <row r="557" spans="1:12" x14ac:dyDescent="0.25">
      <c r="A557">
        <f t="shared" si="96"/>
        <v>556</v>
      </c>
      <c r="B557">
        <f t="shared" ca="1" si="97"/>
        <v>82</v>
      </c>
      <c r="C557" t="str">
        <f t="shared" ca="1" si="98"/>
        <v>Female</v>
      </c>
      <c r="D557" s="1">
        <f t="shared" ca="1" si="99"/>
        <v>45552</v>
      </c>
      <c r="E557" s="1">
        <f t="shared" ca="1" si="100"/>
        <v>45567</v>
      </c>
      <c r="F557" t="str">
        <f t="shared" ca="1" si="101"/>
        <v>Heart Failure</v>
      </c>
      <c r="G557" t="str">
        <f t="shared" ca="1" si="102"/>
        <v>Therapy</v>
      </c>
      <c r="H557">
        <f t="shared" ca="1" si="103"/>
        <v>15</v>
      </c>
      <c r="I557" t="str">
        <f t="shared" ca="1" si="104"/>
        <v>No</v>
      </c>
      <c r="J557">
        <f t="shared" ca="1" si="105"/>
        <v>3</v>
      </c>
      <c r="K557" t="str">
        <f t="shared" ca="1" si="106"/>
        <v>Private</v>
      </c>
      <c r="L557" t="str">
        <f t="shared" ca="1" si="107"/>
        <v>General</v>
      </c>
    </row>
    <row r="558" spans="1:12" x14ac:dyDescent="0.25">
      <c r="A558">
        <f t="shared" si="96"/>
        <v>557</v>
      </c>
      <c r="B558">
        <f t="shared" ca="1" si="97"/>
        <v>89</v>
      </c>
      <c r="C558" t="str">
        <f t="shared" ca="1" si="98"/>
        <v>Female</v>
      </c>
      <c r="D558" s="1">
        <f t="shared" ca="1" si="99"/>
        <v>45367</v>
      </c>
      <c r="E558" s="1">
        <f t="shared" ca="1" si="100"/>
        <v>45370</v>
      </c>
      <c r="F558" t="str">
        <f t="shared" ca="1" si="101"/>
        <v>Diabetes</v>
      </c>
      <c r="G558" t="str">
        <f t="shared" ca="1" si="102"/>
        <v>Therapy</v>
      </c>
      <c r="H558">
        <f t="shared" ca="1" si="103"/>
        <v>3</v>
      </c>
      <c r="I558" t="str">
        <f t="shared" ca="1" si="104"/>
        <v>No</v>
      </c>
      <c r="J558">
        <f t="shared" ca="1" si="105"/>
        <v>2</v>
      </c>
      <c r="K558" t="str">
        <f t="shared" ca="1" si="106"/>
        <v>Public</v>
      </c>
      <c r="L558" t="str">
        <f t="shared" ca="1" si="107"/>
        <v>ER</v>
      </c>
    </row>
    <row r="559" spans="1:12" x14ac:dyDescent="0.25">
      <c r="A559">
        <f t="shared" si="96"/>
        <v>558</v>
      </c>
      <c r="B559">
        <f t="shared" ca="1" si="97"/>
        <v>37</v>
      </c>
      <c r="C559" t="str">
        <f t="shared" ca="1" si="98"/>
        <v>Female</v>
      </c>
      <c r="D559" s="1">
        <f t="shared" ca="1" si="99"/>
        <v>45318</v>
      </c>
      <c r="E559" s="1">
        <f t="shared" ca="1" si="100"/>
        <v>45322</v>
      </c>
      <c r="F559" t="str">
        <f t="shared" ca="1" si="101"/>
        <v>Pneumonia</v>
      </c>
      <c r="G559" t="str">
        <f t="shared" ca="1" si="102"/>
        <v>Medication</v>
      </c>
      <c r="H559">
        <f t="shared" ca="1" si="103"/>
        <v>4</v>
      </c>
      <c r="I559" t="str">
        <f t="shared" ca="1" si="104"/>
        <v>No</v>
      </c>
      <c r="J559">
        <f t="shared" ca="1" si="105"/>
        <v>3</v>
      </c>
      <c r="K559" t="str">
        <f t="shared" ca="1" si="106"/>
        <v>Public</v>
      </c>
      <c r="L559" t="str">
        <f t="shared" ca="1" si="107"/>
        <v>Neurology</v>
      </c>
    </row>
    <row r="560" spans="1:12" x14ac:dyDescent="0.25">
      <c r="A560">
        <f t="shared" si="96"/>
        <v>559</v>
      </c>
      <c r="B560">
        <f t="shared" ca="1" si="97"/>
        <v>30</v>
      </c>
      <c r="C560" t="str">
        <f t="shared" ca="1" si="98"/>
        <v>Male</v>
      </c>
      <c r="D560" s="1">
        <f t="shared" ca="1" si="99"/>
        <v>45590</v>
      </c>
      <c r="E560" s="1">
        <f t="shared" ca="1" si="100"/>
        <v>45604</v>
      </c>
      <c r="F560" t="str">
        <f t="shared" ca="1" si="101"/>
        <v>Stroke</v>
      </c>
      <c r="G560" t="str">
        <f t="shared" ca="1" si="102"/>
        <v>Medication</v>
      </c>
      <c r="H560">
        <f t="shared" ca="1" si="103"/>
        <v>14</v>
      </c>
      <c r="I560" t="str">
        <f t="shared" ca="1" si="104"/>
        <v>No</v>
      </c>
      <c r="J560">
        <f t="shared" ca="1" si="105"/>
        <v>0</v>
      </c>
      <c r="K560" t="str">
        <f t="shared" ca="1" si="106"/>
        <v>None</v>
      </c>
      <c r="L560" t="str">
        <f t="shared" ca="1" si="107"/>
        <v>ER</v>
      </c>
    </row>
    <row r="561" spans="1:12" x14ac:dyDescent="0.25">
      <c r="A561">
        <f t="shared" si="96"/>
        <v>560</v>
      </c>
      <c r="B561">
        <f t="shared" ca="1" si="97"/>
        <v>38</v>
      </c>
      <c r="C561" t="str">
        <f t="shared" ca="1" si="98"/>
        <v>Male</v>
      </c>
      <c r="D561" s="1">
        <f t="shared" ca="1" si="99"/>
        <v>45536</v>
      </c>
      <c r="E561" s="1">
        <f t="shared" ca="1" si="100"/>
        <v>45542</v>
      </c>
      <c r="F561" t="str">
        <f t="shared" ca="1" si="101"/>
        <v>Diabetes</v>
      </c>
      <c r="G561" t="str">
        <f t="shared" ca="1" si="102"/>
        <v>Surgery</v>
      </c>
      <c r="H561">
        <f t="shared" ca="1" si="103"/>
        <v>6</v>
      </c>
      <c r="I561" t="str">
        <f t="shared" ca="1" si="104"/>
        <v>No</v>
      </c>
      <c r="J561">
        <f t="shared" ca="1" si="105"/>
        <v>2</v>
      </c>
      <c r="K561" t="str">
        <f t="shared" ca="1" si="106"/>
        <v>None</v>
      </c>
      <c r="L561" t="str">
        <f t="shared" ca="1" si="107"/>
        <v>ICU</v>
      </c>
    </row>
    <row r="562" spans="1:12" x14ac:dyDescent="0.25">
      <c r="A562">
        <f t="shared" si="96"/>
        <v>561</v>
      </c>
      <c r="B562">
        <f t="shared" ca="1" si="97"/>
        <v>80</v>
      </c>
      <c r="C562" t="str">
        <f t="shared" ca="1" si="98"/>
        <v>Male</v>
      </c>
      <c r="D562" s="1">
        <f t="shared" ca="1" si="99"/>
        <v>45338</v>
      </c>
      <c r="E562" s="1">
        <f t="shared" ca="1" si="100"/>
        <v>45350</v>
      </c>
      <c r="F562" t="str">
        <f t="shared" ca="1" si="101"/>
        <v>Stroke</v>
      </c>
      <c r="G562" t="str">
        <f t="shared" ca="1" si="102"/>
        <v>Surgery</v>
      </c>
      <c r="H562">
        <f t="shared" ca="1" si="103"/>
        <v>12</v>
      </c>
      <c r="I562" t="str">
        <f t="shared" ca="1" si="104"/>
        <v>Yes</v>
      </c>
      <c r="J562">
        <f t="shared" ca="1" si="105"/>
        <v>3</v>
      </c>
      <c r="K562" t="str">
        <f t="shared" ca="1" si="106"/>
        <v>Public</v>
      </c>
      <c r="L562" t="str">
        <f t="shared" ca="1" si="107"/>
        <v>Cardiology</v>
      </c>
    </row>
    <row r="563" spans="1:12" x14ac:dyDescent="0.25">
      <c r="A563">
        <f t="shared" si="96"/>
        <v>562</v>
      </c>
      <c r="B563">
        <f t="shared" ca="1" si="97"/>
        <v>21</v>
      </c>
      <c r="C563" t="str">
        <f t="shared" ca="1" si="98"/>
        <v>Male</v>
      </c>
      <c r="D563" s="1">
        <f t="shared" ca="1" si="99"/>
        <v>45358</v>
      </c>
      <c r="E563" s="1">
        <f t="shared" ca="1" si="100"/>
        <v>45365</v>
      </c>
      <c r="F563" t="str">
        <f t="shared" ca="1" si="101"/>
        <v>Stroke</v>
      </c>
      <c r="G563" t="str">
        <f t="shared" ca="1" si="102"/>
        <v>Therapy</v>
      </c>
      <c r="H563">
        <f t="shared" ca="1" si="103"/>
        <v>7</v>
      </c>
      <c r="I563" t="str">
        <f t="shared" ca="1" si="104"/>
        <v>Yes</v>
      </c>
      <c r="J563">
        <f t="shared" ca="1" si="105"/>
        <v>3</v>
      </c>
      <c r="K563" t="str">
        <f t="shared" ca="1" si="106"/>
        <v>Public</v>
      </c>
      <c r="L563" t="str">
        <f t="shared" ca="1" si="107"/>
        <v>ER</v>
      </c>
    </row>
    <row r="564" spans="1:12" x14ac:dyDescent="0.25">
      <c r="A564">
        <f t="shared" si="96"/>
        <v>563</v>
      </c>
      <c r="B564">
        <f t="shared" ca="1" si="97"/>
        <v>87</v>
      </c>
      <c r="C564" t="str">
        <f t="shared" ca="1" si="98"/>
        <v>Male</v>
      </c>
      <c r="D564" s="1">
        <f t="shared" ca="1" si="99"/>
        <v>45592</v>
      </c>
      <c r="E564" s="1">
        <f t="shared" ca="1" si="100"/>
        <v>45604</v>
      </c>
      <c r="F564" t="str">
        <f t="shared" ca="1" si="101"/>
        <v>Hypertension</v>
      </c>
      <c r="G564" t="str">
        <f t="shared" ca="1" si="102"/>
        <v>Surgery</v>
      </c>
      <c r="H564">
        <f t="shared" ca="1" si="103"/>
        <v>12</v>
      </c>
      <c r="I564" t="str">
        <f t="shared" ca="1" si="104"/>
        <v>No</v>
      </c>
      <c r="J564">
        <f t="shared" ca="1" si="105"/>
        <v>0</v>
      </c>
      <c r="K564" t="str">
        <f t="shared" ca="1" si="106"/>
        <v>None</v>
      </c>
      <c r="L564" t="str">
        <f t="shared" ca="1" si="107"/>
        <v>Cardiology</v>
      </c>
    </row>
    <row r="565" spans="1:12" x14ac:dyDescent="0.25">
      <c r="A565">
        <f t="shared" si="96"/>
        <v>564</v>
      </c>
      <c r="B565">
        <f t="shared" ca="1" si="97"/>
        <v>73</v>
      </c>
      <c r="C565" t="str">
        <f t="shared" ca="1" si="98"/>
        <v>Male</v>
      </c>
      <c r="D565" s="1">
        <f t="shared" ca="1" si="99"/>
        <v>45529</v>
      </c>
      <c r="E565" s="1">
        <f t="shared" ca="1" si="100"/>
        <v>45538</v>
      </c>
      <c r="F565" t="str">
        <f t="shared" ca="1" si="101"/>
        <v>Hypertension</v>
      </c>
      <c r="G565" t="str">
        <f t="shared" ca="1" si="102"/>
        <v>Medication</v>
      </c>
      <c r="H565">
        <f t="shared" ca="1" si="103"/>
        <v>9</v>
      </c>
      <c r="I565" t="str">
        <f t="shared" ca="1" si="104"/>
        <v>No</v>
      </c>
      <c r="J565">
        <f t="shared" ca="1" si="105"/>
        <v>3</v>
      </c>
      <c r="K565" t="str">
        <f t="shared" ca="1" si="106"/>
        <v>Private</v>
      </c>
      <c r="L565" t="str">
        <f t="shared" ca="1" si="107"/>
        <v>ER</v>
      </c>
    </row>
    <row r="566" spans="1:12" x14ac:dyDescent="0.25">
      <c r="A566">
        <f t="shared" si="96"/>
        <v>565</v>
      </c>
      <c r="B566">
        <f t="shared" ca="1" si="97"/>
        <v>40</v>
      </c>
      <c r="C566" t="str">
        <f t="shared" ca="1" si="98"/>
        <v>Female</v>
      </c>
      <c r="D566" s="1">
        <f t="shared" ca="1" si="99"/>
        <v>45368</v>
      </c>
      <c r="E566" s="1">
        <f t="shared" ca="1" si="100"/>
        <v>45370</v>
      </c>
      <c r="F566" t="str">
        <f t="shared" ca="1" si="101"/>
        <v>Stroke</v>
      </c>
      <c r="G566" t="str">
        <f t="shared" ca="1" si="102"/>
        <v>Surgery</v>
      </c>
      <c r="H566">
        <f t="shared" ca="1" si="103"/>
        <v>2</v>
      </c>
      <c r="I566" t="str">
        <f t="shared" ca="1" si="104"/>
        <v>No</v>
      </c>
      <c r="J566">
        <f t="shared" ca="1" si="105"/>
        <v>1</v>
      </c>
      <c r="K566" t="str">
        <f t="shared" ca="1" si="106"/>
        <v>Public</v>
      </c>
      <c r="L566" t="str">
        <f t="shared" ca="1" si="107"/>
        <v>Cardiology</v>
      </c>
    </row>
    <row r="567" spans="1:12" x14ac:dyDescent="0.25">
      <c r="A567">
        <f t="shared" si="96"/>
        <v>566</v>
      </c>
      <c r="B567">
        <f t="shared" ca="1" si="97"/>
        <v>25</v>
      </c>
      <c r="C567" t="str">
        <f t="shared" ca="1" si="98"/>
        <v>Female</v>
      </c>
      <c r="D567" s="1">
        <f t="shared" ca="1" si="99"/>
        <v>45590</v>
      </c>
      <c r="E567" s="1">
        <f t="shared" ca="1" si="100"/>
        <v>45592</v>
      </c>
      <c r="F567" t="str">
        <f t="shared" ca="1" si="101"/>
        <v>Pneumonia</v>
      </c>
      <c r="G567" t="str">
        <f t="shared" ca="1" si="102"/>
        <v>Medication</v>
      </c>
      <c r="H567">
        <f t="shared" ca="1" si="103"/>
        <v>2</v>
      </c>
      <c r="I567" t="str">
        <f t="shared" ca="1" si="104"/>
        <v>No</v>
      </c>
      <c r="J567">
        <f t="shared" ca="1" si="105"/>
        <v>3</v>
      </c>
      <c r="K567" t="str">
        <f t="shared" ca="1" si="106"/>
        <v>Private</v>
      </c>
      <c r="L567" t="str">
        <f t="shared" ca="1" si="107"/>
        <v>ER</v>
      </c>
    </row>
    <row r="568" spans="1:12" x14ac:dyDescent="0.25">
      <c r="A568">
        <f t="shared" si="96"/>
        <v>567</v>
      </c>
      <c r="B568">
        <f t="shared" ca="1" si="97"/>
        <v>81</v>
      </c>
      <c r="C568" t="str">
        <f t="shared" ca="1" si="98"/>
        <v>Male</v>
      </c>
      <c r="D568" s="1">
        <f t="shared" ca="1" si="99"/>
        <v>45436</v>
      </c>
      <c r="E568" s="1">
        <f t="shared" ca="1" si="100"/>
        <v>45437</v>
      </c>
      <c r="F568" t="str">
        <f t="shared" ca="1" si="101"/>
        <v>Diabetes</v>
      </c>
      <c r="G568" t="str">
        <f t="shared" ca="1" si="102"/>
        <v>Therapy</v>
      </c>
      <c r="H568">
        <f t="shared" ca="1" si="103"/>
        <v>1</v>
      </c>
      <c r="I568" t="str">
        <f t="shared" ca="1" si="104"/>
        <v>No</v>
      </c>
      <c r="J568">
        <f t="shared" ca="1" si="105"/>
        <v>0</v>
      </c>
      <c r="K568" t="str">
        <f t="shared" ca="1" si="106"/>
        <v>None</v>
      </c>
      <c r="L568" t="str">
        <f t="shared" ca="1" si="107"/>
        <v>ER</v>
      </c>
    </row>
    <row r="569" spans="1:12" x14ac:dyDescent="0.25">
      <c r="A569">
        <f t="shared" si="96"/>
        <v>568</v>
      </c>
      <c r="B569">
        <f t="shared" ca="1" si="97"/>
        <v>26</v>
      </c>
      <c r="C569" t="str">
        <f t="shared" ca="1" si="98"/>
        <v>Female</v>
      </c>
      <c r="D569" s="1">
        <f t="shared" ca="1" si="99"/>
        <v>45377</v>
      </c>
      <c r="E569" s="1">
        <f t="shared" ca="1" si="100"/>
        <v>45382</v>
      </c>
      <c r="F569" t="str">
        <f t="shared" ca="1" si="101"/>
        <v>Hypertension</v>
      </c>
      <c r="G569" t="str">
        <f t="shared" ca="1" si="102"/>
        <v>Medication</v>
      </c>
      <c r="H569">
        <f t="shared" ca="1" si="103"/>
        <v>5</v>
      </c>
      <c r="I569" t="str">
        <f t="shared" ca="1" si="104"/>
        <v>No</v>
      </c>
      <c r="J569">
        <f t="shared" ca="1" si="105"/>
        <v>0</v>
      </c>
      <c r="K569" t="str">
        <f t="shared" ca="1" si="106"/>
        <v>Public</v>
      </c>
      <c r="L569" t="str">
        <f t="shared" ca="1" si="107"/>
        <v>ER</v>
      </c>
    </row>
    <row r="570" spans="1:12" x14ac:dyDescent="0.25">
      <c r="A570">
        <f t="shared" si="96"/>
        <v>569</v>
      </c>
      <c r="B570">
        <f t="shared" ca="1" si="97"/>
        <v>39</v>
      </c>
      <c r="C570" t="str">
        <f t="shared" ca="1" si="98"/>
        <v>Female</v>
      </c>
      <c r="D570" s="1">
        <f t="shared" ca="1" si="99"/>
        <v>45638</v>
      </c>
      <c r="E570" s="1">
        <f t="shared" ca="1" si="100"/>
        <v>45644</v>
      </c>
      <c r="F570" t="str">
        <f t="shared" ca="1" si="101"/>
        <v>Diabetes</v>
      </c>
      <c r="G570" t="str">
        <f t="shared" ca="1" si="102"/>
        <v>Medication</v>
      </c>
      <c r="H570">
        <f t="shared" ca="1" si="103"/>
        <v>6</v>
      </c>
      <c r="I570" t="str">
        <f t="shared" ca="1" si="104"/>
        <v>No</v>
      </c>
      <c r="J570">
        <f t="shared" ca="1" si="105"/>
        <v>0</v>
      </c>
      <c r="K570" t="str">
        <f t="shared" ca="1" si="106"/>
        <v>Public</v>
      </c>
      <c r="L570" t="str">
        <f t="shared" ca="1" si="107"/>
        <v>Cardiology</v>
      </c>
    </row>
    <row r="571" spans="1:12" x14ac:dyDescent="0.25">
      <c r="A571">
        <f t="shared" si="96"/>
        <v>570</v>
      </c>
      <c r="B571">
        <f t="shared" ca="1" si="97"/>
        <v>73</v>
      </c>
      <c r="C571" t="str">
        <f t="shared" ca="1" si="98"/>
        <v>Female</v>
      </c>
      <c r="D571" s="1">
        <f t="shared" ca="1" si="99"/>
        <v>45348</v>
      </c>
      <c r="E571" s="1">
        <f t="shared" ca="1" si="100"/>
        <v>45356</v>
      </c>
      <c r="F571" t="str">
        <f t="shared" ca="1" si="101"/>
        <v>Heart Failure</v>
      </c>
      <c r="G571" t="str">
        <f t="shared" ca="1" si="102"/>
        <v>Surgery</v>
      </c>
      <c r="H571">
        <f t="shared" ca="1" si="103"/>
        <v>8</v>
      </c>
      <c r="I571" t="str">
        <f t="shared" ca="1" si="104"/>
        <v>No</v>
      </c>
      <c r="J571">
        <f t="shared" ca="1" si="105"/>
        <v>2</v>
      </c>
      <c r="K571" t="str">
        <f t="shared" ca="1" si="106"/>
        <v>None</v>
      </c>
      <c r="L571" t="str">
        <f t="shared" ca="1" si="107"/>
        <v>ICU</v>
      </c>
    </row>
    <row r="572" spans="1:12" x14ac:dyDescent="0.25">
      <c r="A572">
        <f t="shared" si="96"/>
        <v>571</v>
      </c>
      <c r="B572">
        <f t="shared" ca="1" si="97"/>
        <v>68</v>
      </c>
      <c r="C572" t="str">
        <f t="shared" ca="1" si="98"/>
        <v>Male</v>
      </c>
      <c r="D572" s="1">
        <f t="shared" ca="1" si="99"/>
        <v>45531</v>
      </c>
      <c r="E572" s="1">
        <f t="shared" ca="1" si="100"/>
        <v>45532</v>
      </c>
      <c r="F572" t="str">
        <f t="shared" ca="1" si="101"/>
        <v>Pneumonia</v>
      </c>
      <c r="G572" t="str">
        <f t="shared" ca="1" si="102"/>
        <v>Surgery</v>
      </c>
      <c r="H572">
        <f t="shared" ca="1" si="103"/>
        <v>1</v>
      </c>
      <c r="I572" t="str">
        <f t="shared" ca="1" si="104"/>
        <v>No</v>
      </c>
      <c r="J572">
        <f t="shared" ca="1" si="105"/>
        <v>3</v>
      </c>
      <c r="K572" t="str">
        <f t="shared" ca="1" si="106"/>
        <v>Private</v>
      </c>
      <c r="L572" t="str">
        <f t="shared" ca="1" si="107"/>
        <v>Neurology</v>
      </c>
    </row>
    <row r="573" spans="1:12" x14ac:dyDescent="0.25">
      <c r="A573">
        <f t="shared" si="96"/>
        <v>572</v>
      </c>
      <c r="B573">
        <f t="shared" ca="1" si="97"/>
        <v>40</v>
      </c>
      <c r="C573" t="str">
        <f t="shared" ca="1" si="98"/>
        <v>Female</v>
      </c>
      <c r="D573" s="1">
        <f t="shared" ca="1" si="99"/>
        <v>45420</v>
      </c>
      <c r="E573" s="1">
        <f t="shared" ca="1" si="100"/>
        <v>45425</v>
      </c>
      <c r="F573" t="str">
        <f t="shared" ca="1" si="101"/>
        <v>Heart Failure</v>
      </c>
      <c r="G573" t="str">
        <f t="shared" ca="1" si="102"/>
        <v>Medication</v>
      </c>
      <c r="H573">
        <f t="shared" ca="1" si="103"/>
        <v>5</v>
      </c>
      <c r="I573" t="str">
        <f t="shared" ca="1" si="104"/>
        <v>No</v>
      </c>
      <c r="J573">
        <f t="shared" ca="1" si="105"/>
        <v>2</v>
      </c>
      <c r="K573" t="str">
        <f t="shared" ca="1" si="106"/>
        <v>None</v>
      </c>
      <c r="L573" t="str">
        <f t="shared" ca="1" si="107"/>
        <v>General</v>
      </c>
    </row>
    <row r="574" spans="1:12" x14ac:dyDescent="0.25">
      <c r="A574">
        <f t="shared" si="96"/>
        <v>573</v>
      </c>
      <c r="B574">
        <f t="shared" ca="1" si="97"/>
        <v>27</v>
      </c>
      <c r="C574" t="str">
        <f t="shared" ca="1" si="98"/>
        <v>Female</v>
      </c>
      <c r="D574" s="1">
        <f t="shared" ca="1" si="99"/>
        <v>45652</v>
      </c>
      <c r="E574" s="1">
        <f t="shared" ca="1" si="100"/>
        <v>45664</v>
      </c>
      <c r="F574" t="str">
        <f t="shared" ca="1" si="101"/>
        <v>Stroke</v>
      </c>
      <c r="G574" t="str">
        <f t="shared" ca="1" si="102"/>
        <v>Medication</v>
      </c>
      <c r="H574">
        <f t="shared" ca="1" si="103"/>
        <v>12</v>
      </c>
      <c r="I574" t="str">
        <f t="shared" ca="1" si="104"/>
        <v>Yes</v>
      </c>
      <c r="J574">
        <f t="shared" ca="1" si="105"/>
        <v>2</v>
      </c>
      <c r="K574" t="str">
        <f t="shared" ca="1" si="106"/>
        <v>Public</v>
      </c>
      <c r="L574" t="str">
        <f t="shared" ca="1" si="107"/>
        <v>ICU</v>
      </c>
    </row>
    <row r="575" spans="1:12" x14ac:dyDescent="0.25">
      <c r="A575">
        <f t="shared" si="96"/>
        <v>574</v>
      </c>
      <c r="B575">
        <f t="shared" ca="1" si="97"/>
        <v>77</v>
      </c>
      <c r="C575" t="str">
        <f t="shared" ca="1" si="98"/>
        <v>Male</v>
      </c>
      <c r="D575" s="1">
        <f t="shared" ca="1" si="99"/>
        <v>45352</v>
      </c>
      <c r="E575" s="1">
        <f t="shared" ca="1" si="100"/>
        <v>45363</v>
      </c>
      <c r="F575" t="str">
        <f t="shared" ca="1" si="101"/>
        <v>Diabetes</v>
      </c>
      <c r="G575" t="str">
        <f t="shared" ca="1" si="102"/>
        <v>Medication</v>
      </c>
      <c r="H575">
        <f t="shared" ca="1" si="103"/>
        <v>11</v>
      </c>
      <c r="I575" t="str">
        <f t="shared" ca="1" si="104"/>
        <v>Yes</v>
      </c>
      <c r="J575">
        <f t="shared" ca="1" si="105"/>
        <v>4</v>
      </c>
      <c r="K575" t="str">
        <f t="shared" ca="1" si="106"/>
        <v>Public</v>
      </c>
      <c r="L575" t="str">
        <f t="shared" ca="1" si="107"/>
        <v>ER</v>
      </c>
    </row>
    <row r="576" spans="1:12" x14ac:dyDescent="0.25">
      <c r="A576">
        <f t="shared" si="96"/>
        <v>575</v>
      </c>
      <c r="B576">
        <f t="shared" ca="1" si="97"/>
        <v>52</v>
      </c>
      <c r="C576" t="str">
        <f t="shared" ca="1" si="98"/>
        <v>Female</v>
      </c>
      <c r="D576" s="1">
        <f t="shared" ca="1" si="99"/>
        <v>45636</v>
      </c>
      <c r="E576" s="1">
        <f t="shared" ca="1" si="100"/>
        <v>45646</v>
      </c>
      <c r="F576" t="str">
        <f t="shared" ca="1" si="101"/>
        <v>Heart Failure</v>
      </c>
      <c r="G576" t="str">
        <f t="shared" ca="1" si="102"/>
        <v>Surgery</v>
      </c>
      <c r="H576">
        <f t="shared" ca="1" si="103"/>
        <v>10</v>
      </c>
      <c r="I576" t="str">
        <f t="shared" ca="1" si="104"/>
        <v>No</v>
      </c>
      <c r="J576">
        <f t="shared" ca="1" si="105"/>
        <v>2</v>
      </c>
      <c r="K576" t="str">
        <f t="shared" ca="1" si="106"/>
        <v>None</v>
      </c>
      <c r="L576" t="str">
        <f t="shared" ca="1" si="107"/>
        <v>ER</v>
      </c>
    </row>
    <row r="577" spans="1:12" x14ac:dyDescent="0.25">
      <c r="A577">
        <f t="shared" si="96"/>
        <v>576</v>
      </c>
      <c r="B577">
        <f t="shared" ca="1" si="97"/>
        <v>48</v>
      </c>
      <c r="C577" t="str">
        <f t="shared" ca="1" si="98"/>
        <v>Female</v>
      </c>
      <c r="D577" s="1">
        <f t="shared" ca="1" si="99"/>
        <v>45492</v>
      </c>
      <c r="E577" s="1">
        <f t="shared" ca="1" si="100"/>
        <v>45496</v>
      </c>
      <c r="F577" t="str">
        <f t="shared" ca="1" si="101"/>
        <v>Pneumonia</v>
      </c>
      <c r="G577" t="str">
        <f t="shared" ca="1" si="102"/>
        <v>Therapy</v>
      </c>
      <c r="H577">
        <f t="shared" ca="1" si="103"/>
        <v>4</v>
      </c>
      <c r="I577" t="str">
        <f t="shared" ca="1" si="104"/>
        <v>Yes</v>
      </c>
      <c r="J577">
        <f t="shared" ca="1" si="105"/>
        <v>1</v>
      </c>
      <c r="K577" t="str">
        <f t="shared" ca="1" si="106"/>
        <v>Public</v>
      </c>
      <c r="L577" t="str">
        <f t="shared" ca="1" si="107"/>
        <v>Neurology</v>
      </c>
    </row>
    <row r="578" spans="1:12" x14ac:dyDescent="0.25">
      <c r="A578">
        <f t="shared" si="96"/>
        <v>577</v>
      </c>
      <c r="B578">
        <f t="shared" ca="1" si="97"/>
        <v>26</v>
      </c>
      <c r="C578" t="str">
        <f t="shared" ca="1" si="98"/>
        <v>Male</v>
      </c>
      <c r="D578" s="1">
        <f t="shared" ca="1" si="99"/>
        <v>45295</v>
      </c>
      <c r="E578" s="1">
        <f t="shared" ca="1" si="100"/>
        <v>45301</v>
      </c>
      <c r="F578" t="str">
        <f t="shared" ca="1" si="101"/>
        <v>Stroke</v>
      </c>
      <c r="G578" t="str">
        <f t="shared" ca="1" si="102"/>
        <v>Medication</v>
      </c>
      <c r="H578">
        <f t="shared" ca="1" si="103"/>
        <v>6</v>
      </c>
      <c r="I578" t="str">
        <f t="shared" ca="1" si="104"/>
        <v>Yes</v>
      </c>
      <c r="J578">
        <f t="shared" ca="1" si="105"/>
        <v>0</v>
      </c>
      <c r="K578" t="str">
        <f t="shared" ca="1" si="106"/>
        <v>Private</v>
      </c>
      <c r="L578" t="str">
        <f t="shared" ca="1" si="107"/>
        <v>ICU</v>
      </c>
    </row>
    <row r="579" spans="1:12" x14ac:dyDescent="0.25">
      <c r="A579">
        <f t="shared" ref="A579:A642" si="108">ROW() -1</f>
        <v>578</v>
      </c>
      <c r="B579">
        <f t="shared" ref="B579:B642" ca="1" si="109">RANDBETWEEN(20,90)</f>
        <v>77</v>
      </c>
      <c r="C579" t="str">
        <f t="shared" ref="C579:C642" ca="1" si="110">IF(RAND()&lt;0.5,"Male","Female")</f>
        <v>Male</v>
      </c>
      <c r="D579" s="1">
        <f t="shared" ref="D579:D642" ca="1" si="111">DATE(2024,1,1)+RANDBETWEEN(0,364)</f>
        <v>45540</v>
      </c>
      <c r="E579" s="1">
        <f t="shared" ref="E579:E642" ca="1" si="112">D579+RANDBETWEEN(1,15)</f>
        <v>45542</v>
      </c>
      <c r="F579" t="str">
        <f t="shared" ref="F579:F642" ca="1" si="113">CHOOSE(RANDBETWEEN(1,5),"Diabetes","Heart Failure","Pneumonia","Stroke","Hypertension")</f>
        <v>Heart Failure</v>
      </c>
      <c r="G579" t="str">
        <f t="shared" ref="G579:G642" ca="1" si="114">CHOOSE(RANDBETWEEN(1,3),"Medication","Surgery","Therapy")</f>
        <v>Surgery</v>
      </c>
      <c r="H579">
        <f t="shared" ref="H579:H642" ca="1" si="115">DATEDIF(D579,E579,"D")</f>
        <v>2</v>
      </c>
      <c r="I579" t="str">
        <f t="shared" ref="I579:I642" ca="1" si="116">IF(RAND()&lt;0.3,"Yes","No")</f>
        <v>No</v>
      </c>
      <c r="J579">
        <f t="shared" ref="J579:J642" ca="1" si="117">RANDBETWEEN(0,4)</f>
        <v>3</v>
      </c>
      <c r="K579" t="str">
        <f t="shared" ref="K579:K642" ca="1" si="118">CHOOSE(RANDBETWEEN(1,3),"Private","Public","None")</f>
        <v>Public</v>
      </c>
      <c r="L579" t="str">
        <f t="shared" ref="L579:L642" ca="1" si="119">CHOOSE(RANDBETWEEN(1,5),"ER","Cardiology","Neurology","General","ICU")</f>
        <v>Cardiology</v>
      </c>
    </row>
    <row r="580" spans="1:12" x14ac:dyDescent="0.25">
      <c r="A580">
        <f t="shared" si="108"/>
        <v>579</v>
      </c>
      <c r="B580">
        <f t="shared" ca="1" si="109"/>
        <v>82</v>
      </c>
      <c r="C580" t="str">
        <f t="shared" ca="1" si="110"/>
        <v>Male</v>
      </c>
      <c r="D580" s="1">
        <f t="shared" ca="1" si="111"/>
        <v>45489</v>
      </c>
      <c r="E580" s="1">
        <f t="shared" ca="1" si="112"/>
        <v>45502</v>
      </c>
      <c r="F580" t="str">
        <f t="shared" ca="1" si="113"/>
        <v>Stroke</v>
      </c>
      <c r="G580" t="str">
        <f t="shared" ca="1" si="114"/>
        <v>Medication</v>
      </c>
      <c r="H580">
        <f t="shared" ca="1" si="115"/>
        <v>13</v>
      </c>
      <c r="I580" t="str">
        <f t="shared" ca="1" si="116"/>
        <v>No</v>
      </c>
      <c r="J580">
        <f t="shared" ca="1" si="117"/>
        <v>0</v>
      </c>
      <c r="K580" t="str">
        <f t="shared" ca="1" si="118"/>
        <v>Private</v>
      </c>
      <c r="L580" t="str">
        <f t="shared" ca="1" si="119"/>
        <v>Neurology</v>
      </c>
    </row>
    <row r="581" spans="1:12" x14ac:dyDescent="0.25">
      <c r="A581">
        <f t="shared" si="108"/>
        <v>580</v>
      </c>
      <c r="B581">
        <f t="shared" ca="1" si="109"/>
        <v>83</v>
      </c>
      <c r="C581" t="str">
        <f t="shared" ca="1" si="110"/>
        <v>Male</v>
      </c>
      <c r="D581" s="1">
        <f t="shared" ca="1" si="111"/>
        <v>45514</v>
      </c>
      <c r="E581" s="1">
        <f t="shared" ca="1" si="112"/>
        <v>45526</v>
      </c>
      <c r="F581" t="str">
        <f t="shared" ca="1" si="113"/>
        <v>Stroke</v>
      </c>
      <c r="G581" t="str">
        <f t="shared" ca="1" si="114"/>
        <v>Surgery</v>
      </c>
      <c r="H581">
        <f t="shared" ca="1" si="115"/>
        <v>12</v>
      </c>
      <c r="I581" t="str">
        <f t="shared" ca="1" si="116"/>
        <v>Yes</v>
      </c>
      <c r="J581">
        <f t="shared" ca="1" si="117"/>
        <v>1</v>
      </c>
      <c r="K581" t="str">
        <f t="shared" ca="1" si="118"/>
        <v>Private</v>
      </c>
      <c r="L581" t="str">
        <f t="shared" ca="1" si="119"/>
        <v>Neurology</v>
      </c>
    </row>
    <row r="582" spans="1:12" x14ac:dyDescent="0.25">
      <c r="A582">
        <f t="shared" si="108"/>
        <v>581</v>
      </c>
      <c r="B582">
        <f t="shared" ca="1" si="109"/>
        <v>44</v>
      </c>
      <c r="C582" t="str">
        <f t="shared" ca="1" si="110"/>
        <v>Male</v>
      </c>
      <c r="D582" s="1">
        <f t="shared" ca="1" si="111"/>
        <v>45528</v>
      </c>
      <c r="E582" s="1">
        <f t="shared" ca="1" si="112"/>
        <v>45542</v>
      </c>
      <c r="F582" t="str">
        <f t="shared" ca="1" si="113"/>
        <v>Pneumonia</v>
      </c>
      <c r="G582" t="str">
        <f t="shared" ca="1" si="114"/>
        <v>Surgery</v>
      </c>
      <c r="H582">
        <f t="shared" ca="1" si="115"/>
        <v>14</v>
      </c>
      <c r="I582" t="str">
        <f t="shared" ca="1" si="116"/>
        <v>No</v>
      </c>
      <c r="J582">
        <f t="shared" ca="1" si="117"/>
        <v>2</v>
      </c>
      <c r="K582" t="str">
        <f t="shared" ca="1" si="118"/>
        <v>None</v>
      </c>
      <c r="L582" t="str">
        <f t="shared" ca="1" si="119"/>
        <v>Neurology</v>
      </c>
    </row>
    <row r="583" spans="1:12" x14ac:dyDescent="0.25">
      <c r="A583">
        <f t="shared" si="108"/>
        <v>582</v>
      </c>
      <c r="B583">
        <f t="shared" ca="1" si="109"/>
        <v>26</v>
      </c>
      <c r="C583" t="str">
        <f t="shared" ca="1" si="110"/>
        <v>Female</v>
      </c>
      <c r="D583" s="1">
        <f t="shared" ca="1" si="111"/>
        <v>45534</v>
      </c>
      <c r="E583" s="1">
        <f t="shared" ca="1" si="112"/>
        <v>45549</v>
      </c>
      <c r="F583" t="str">
        <f t="shared" ca="1" si="113"/>
        <v>Pneumonia</v>
      </c>
      <c r="G583" t="str">
        <f t="shared" ca="1" si="114"/>
        <v>Surgery</v>
      </c>
      <c r="H583">
        <f t="shared" ca="1" si="115"/>
        <v>15</v>
      </c>
      <c r="I583" t="str">
        <f t="shared" ca="1" si="116"/>
        <v>Yes</v>
      </c>
      <c r="J583">
        <f t="shared" ca="1" si="117"/>
        <v>0</v>
      </c>
      <c r="K583" t="str">
        <f t="shared" ca="1" si="118"/>
        <v>None</v>
      </c>
      <c r="L583" t="str">
        <f t="shared" ca="1" si="119"/>
        <v>Cardiology</v>
      </c>
    </row>
    <row r="584" spans="1:12" x14ac:dyDescent="0.25">
      <c r="A584">
        <f t="shared" si="108"/>
        <v>583</v>
      </c>
      <c r="B584">
        <f t="shared" ca="1" si="109"/>
        <v>54</v>
      </c>
      <c r="C584" t="str">
        <f t="shared" ca="1" si="110"/>
        <v>Female</v>
      </c>
      <c r="D584" s="1">
        <f t="shared" ca="1" si="111"/>
        <v>45422</v>
      </c>
      <c r="E584" s="1">
        <f t="shared" ca="1" si="112"/>
        <v>45437</v>
      </c>
      <c r="F584" t="str">
        <f t="shared" ca="1" si="113"/>
        <v>Diabetes</v>
      </c>
      <c r="G584" t="str">
        <f t="shared" ca="1" si="114"/>
        <v>Therapy</v>
      </c>
      <c r="H584">
        <f t="shared" ca="1" si="115"/>
        <v>15</v>
      </c>
      <c r="I584" t="str">
        <f t="shared" ca="1" si="116"/>
        <v>No</v>
      </c>
      <c r="J584">
        <f t="shared" ca="1" si="117"/>
        <v>3</v>
      </c>
      <c r="K584" t="str">
        <f t="shared" ca="1" si="118"/>
        <v>Public</v>
      </c>
      <c r="L584" t="str">
        <f t="shared" ca="1" si="119"/>
        <v>ICU</v>
      </c>
    </row>
    <row r="585" spans="1:12" x14ac:dyDescent="0.25">
      <c r="A585">
        <f t="shared" si="108"/>
        <v>584</v>
      </c>
      <c r="B585">
        <f t="shared" ca="1" si="109"/>
        <v>33</v>
      </c>
      <c r="C585" t="str">
        <f t="shared" ca="1" si="110"/>
        <v>Male</v>
      </c>
      <c r="D585" s="1">
        <f t="shared" ca="1" si="111"/>
        <v>45330</v>
      </c>
      <c r="E585" s="1">
        <f t="shared" ca="1" si="112"/>
        <v>45341</v>
      </c>
      <c r="F585" t="str">
        <f t="shared" ca="1" si="113"/>
        <v>Pneumonia</v>
      </c>
      <c r="G585" t="str">
        <f t="shared" ca="1" si="114"/>
        <v>Medication</v>
      </c>
      <c r="H585">
        <f t="shared" ca="1" si="115"/>
        <v>11</v>
      </c>
      <c r="I585" t="str">
        <f t="shared" ca="1" si="116"/>
        <v>No</v>
      </c>
      <c r="J585">
        <f t="shared" ca="1" si="117"/>
        <v>4</v>
      </c>
      <c r="K585" t="str">
        <f t="shared" ca="1" si="118"/>
        <v>None</v>
      </c>
      <c r="L585" t="str">
        <f t="shared" ca="1" si="119"/>
        <v>General</v>
      </c>
    </row>
    <row r="586" spans="1:12" x14ac:dyDescent="0.25">
      <c r="A586">
        <f t="shared" si="108"/>
        <v>585</v>
      </c>
      <c r="B586">
        <f t="shared" ca="1" si="109"/>
        <v>58</v>
      </c>
      <c r="C586" t="str">
        <f t="shared" ca="1" si="110"/>
        <v>Male</v>
      </c>
      <c r="D586" s="1">
        <f t="shared" ca="1" si="111"/>
        <v>45398</v>
      </c>
      <c r="E586" s="1">
        <f t="shared" ca="1" si="112"/>
        <v>45403</v>
      </c>
      <c r="F586" t="str">
        <f t="shared" ca="1" si="113"/>
        <v>Hypertension</v>
      </c>
      <c r="G586" t="str">
        <f t="shared" ca="1" si="114"/>
        <v>Surgery</v>
      </c>
      <c r="H586">
        <f t="shared" ca="1" si="115"/>
        <v>5</v>
      </c>
      <c r="I586" t="str">
        <f t="shared" ca="1" si="116"/>
        <v>No</v>
      </c>
      <c r="J586">
        <f t="shared" ca="1" si="117"/>
        <v>4</v>
      </c>
      <c r="K586" t="str">
        <f t="shared" ca="1" si="118"/>
        <v>Public</v>
      </c>
      <c r="L586" t="str">
        <f t="shared" ca="1" si="119"/>
        <v>General</v>
      </c>
    </row>
    <row r="587" spans="1:12" x14ac:dyDescent="0.25">
      <c r="A587">
        <f t="shared" si="108"/>
        <v>586</v>
      </c>
      <c r="B587">
        <f t="shared" ca="1" si="109"/>
        <v>48</v>
      </c>
      <c r="C587" t="str">
        <f t="shared" ca="1" si="110"/>
        <v>Male</v>
      </c>
      <c r="D587" s="1">
        <f t="shared" ca="1" si="111"/>
        <v>45376</v>
      </c>
      <c r="E587" s="1">
        <f t="shared" ca="1" si="112"/>
        <v>45379</v>
      </c>
      <c r="F587" t="str">
        <f t="shared" ca="1" si="113"/>
        <v>Diabetes</v>
      </c>
      <c r="G587" t="str">
        <f t="shared" ca="1" si="114"/>
        <v>Surgery</v>
      </c>
      <c r="H587">
        <f t="shared" ca="1" si="115"/>
        <v>3</v>
      </c>
      <c r="I587" t="str">
        <f t="shared" ca="1" si="116"/>
        <v>No</v>
      </c>
      <c r="J587">
        <f t="shared" ca="1" si="117"/>
        <v>0</v>
      </c>
      <c r="K587" t="str">
        <f t="shared" ca="1" si="118"/>
        <v>None</v>
      </c>
      <c r="L587" t="str">
        <f t="shared" ca="1" si="119"/>
        <v>Cardiology</v>
      </c>
    </row>
    <row r="588" spans="1:12" x14ac:dyDescent="0.25">
      <c r="A588">
        <f t="shared" si="108"/>
        <v>587</v>
      </c>
      <c r="B588">
        <f t="shared" ca="1" si="109"/>
        <v>48</v>
      </c>
      <c r="C588" t="str">
        <f t="shared" ca="1" si="110"/>
        <v>Female</v>
      </c>
      <c r="D588" s="1">
        <f t="shared" ca="1" si="111"/>
        <v>45321</v>
      </c>
      <c r="E588" s="1">
        <f t="shared" ca="1" si="112"/>
        <v>45323</v>
      </c>
      <c r="F588" t="str">
        <f t="shared" ca="1" si="113"/>
        <v>Heart Failure</v>
      </c>
      <c r="G588" t="str">
        <f t="shared" ca="1" si="114"/>
        <v>Therapy</v>
      </c>
      <c r="H588">
        <f t="shared" ca="1" si="115"/>
        <v>2</v>
      </c>
      <c r="I588" t="str">
        <f t="shared" ca="1" si="116"/>
        <v>No</v>
      </c>
      <c r="J588">
        <f t="shared" ca="1" si="117"/>
        <v>1</v>
      </c>
      <c r="K588" t="str">
        <f t="shared" ca="1" si="118"/>
        <v>Public</v>
      </c>
      <c r="L588" t="str">
        <f t="shared" ca="1" si="119"/>
        <v>ICU</v>
      </c>
    </row>
    <row r="589" spans="1:12" x14ac:dyDescent="0.25">
      <c r="A589">
        <f t="shared" si="108"/>
        <v>588</v>
      </c>
      <c r="B589">
        <f t="shared" ca="1" si="109"/>
        <v>23</v>
      </c>
      <c r="C589" t="str">
        <f t="shared" ca="1" si="110"/>
        <v>Male</v>
      </c>
      <c r="D589" s="1">
        <f t="shared" ca="1" si="111"/>
        <v>45384</v>
      </c>
      <c r="E589" s="1">
        <f t="shared" ca="1" si="112"/>
        <v>45399</v>
      </c>
      <c r="F589" t="str">
        <f t="shared" ca="1" si="113"/>
        <v>Heart Failure</v>
      </c>
      <c r="G589" t="str">
        <f t="shared" ca="1" si="114"/>
        <v>Medication</v>
      </c>
      <c r="H589">
        <f t="shared" ca="1" si="115"/>
        <v>15</v>
      </c>
      <c r="I589" t="str">
        <f t="shared" ca="1" si="116"/>
        <v>No</v>
      </c>
      <c r="J589">
        <f t="shared" ca="1" si="117"/>
        <v>3</v>
      </c>
      <c r="K589" t="str">
        <f t="shared" ca="1" si="118"/>
        <v>Public</v>
      </c>
      <c r="L589" t="str">
        <f t="shared" ca="1" si="119"/>
        <v>Cardiology</v>
      </c>
    </row>
    <row r="590" spans="1:12" x14ac:dyDescent="0.25">
      <c r="A590">
        <f t="shared" si="108"/>
        <v>589</v>
      </c>
      <c r="B590">
        <f t="shared" ca="1" si="109"/>
        <v>29</v>
      </c>
      <c r="C590" t="str">
        <f t="shared" ca="1" si="110"/>
        <v>Male</v>
      </c>
      <c r="D590" s="1">
        <f t="shared" ca="1" si="111"/>
        <v>45612</v>
      </c>
      <c r="E590" s="1">
        <f t="shared" ca="1" si="112"/>
        <v>45620</v>
      </c>
      <c r="F590" t="str">
        <f t="shared" ca="1" si="113"/>
        <v>Hypertension</v>
      </c>
      <c r="G590" t="str">
        <f t="shared" ca="1" si="114"/>
        <v>Surgery</v>
      </c>
      <c r="H590">
        <f t="shared" ca="1" si="115"/>
        <v>8</v>
      </c>
      <c r="I590" t="str">
        <f t="shared" ca="1" si="116"/>
        <v>No</v>
      </c>
      <c r="J590">
        <f t="shared" ca="1" si="117"/>
        <v>3</v>
      </c>
      <c r="K590" t="str">
        <f t="shared" ca="1" si="118"/>
        <v>None</v>
      </c>
      <c r="L590" t="str">
        <f t="shared" ca="1" si="119"/>
        <v>General</v>
      </c>
    </row>
    <row r="591" spans="1:12" x14ac:dyDescent="0.25">
      <c r="A591">
        <f t="shared" si="108"/>
        <v>590</v>
      </c>
      <c r="B591">
        <f t="shared" ca="1" si="109"/>
        <v>44</v>
      </c>
      <c r="C591" t="str">
        <f t="shared" ca="1" si="110"/>
        <v>Male</v>
      </c>
      <c r="D591" s="1">
        <f t="shared" ca="1" si="111"/>
        <v>45588</v>
      </c>
      <c r="E591" s="1">
        <f t="shared" ca="1" si="112"/>
        <v>45594</v>
      </c>
      <c r="F591" t="str">
        <f t="shared" ca="1" si="113"/>
        <v>Hypertension</v>
      </c>
      <c r="G591" t="str">
        <f t="shared" ca="1" si="114"/>
        <v>Therapy</v>
      </c>
      <c r="H591">
        <f t="shared" ca="1" si="115"/>
        <v>6</v>
      </c>
      <c r="I591" t="str">
        <f t="shared" ca="1" si="116"/>
        <v>Yes</v>
      </c>
      <c r="J591">
        <f t="shared" ca="1" si="117"/>
        <v>1</v>
      </c>
      <c r="K591" t="str">
        <f t="shared" ca="1" si="118"/>
        <v>Public</v>
      </c>
      <c r="L591" t="str">
        <f t="shared" ca="1" si="119"/>
        <v>ICU</v>
      </c>
    </row>
    <row r="592" spans="1:12" x14ac:dyDescent="0.25">
      <c r="A592">
        <f t="shared" si="108"/>
        <v>591</v>
      </c>
      <c r="B592">
        <f t="shared" ca="1" si="109"/>
        <v>22</v>
      </c>
      <c r="C592" t="str">
        <f t="shared" ca="1" si="110"/>
        <v>Male</v>
      </c>
      <c r="D592" s="1">
        <f t="shared" ca="1" si="111"/>
        <v>45348</v>
      </c>
      <c r="E592" s="1">
        <f t="shared" ca="1" si="112"/>
        <v>45360</v>
      </c>
      <c r="F592" t="str">
        <f t="shared" ca="1" si="113"/>
        <v>Heart Failure</v>
      </c>
      <c r="G592" t="str">
        <f t="shared" ca="1" si="114"/>
        <v>Surgery</v>
      </c>
      <c r="H592">
        <f t="shared" ca="1" si="115"/>
        <v>12</v>
      </c>
      <c r="I592" t="str">
        <f t="shared" ca="1" si="116"/>
        <v>No</v>
      </c>
      <c r="J592">
        <f t="shared" ca="1" si="117"/>
        <v>0</v>
      </c>
      <c r="K592" t="str">
        <f t="shared" ca="1" si="118"/>
        <v>Public</v>
      </c>
      <c r="L592" t="str">
        <f t="shared" ca="1" si="119"/>
        <v>Cardiology</v>
      </c>
    </row>
    <row r="593" spans="1:12" x14ac:dyDescent="0.25">
      <c r="A593">
        <f t="shared" si="108"/>
        <v>592</v>
      </c>
      <c r="B593">
        <f t="shared" ca="1" si="109"/>
        <v>44</v>
      </c>
      <c r="C593" t="str">
        <f t="shared" ca="1" si="110"/>
        <v>Male</v>
      </c>
      <c r="D593" s="1">
        <f t="shared" ca="1" si="111"/>
        <v>45396</v>
      </c>
      <c r="E593" s="1">
        <f t="shared" ca="1" si="112"/>
        <v>45401</v>
      </c>
      <c r="F593" t="str">
        <f t="shared" ca="1" si="113"/>
        <v>Diabetes</v>
      </c>
      <c r="G593" t="str">
        <f t="shared" ca="1" si="114"/>
        <v>Therapy</v>
      </c>
      <c r="H593">
        <f t="shared" ca="1" si="115"/>
        <v>5</v>
      </c>
      <c r="I593" t="str">
        <f t="shared" ca="1" si="116"/>
        <v>Yes</v>
      </c>
      <c r="J593">
        <f t="shared" ca="1" si="117"/>
        <v>4</v>
      </c>
      <c r="K593" t="str">
        <f t="shared" ca="1" si="118"/>
        <v>None</v>
      </c>
      <c r="L593" t="str">
        <f t="shared" ca="1" si="119"/>
        <v>ER</v>
      </c>
    </row>
    <row r="594" spans="1:12" x14ac:dyDescent="0.25">
      <c r="A594">
        <f t="shared" si="108"/>
        <v>593</v>
      </c>
      <c r="B594">
        <f t="shared" ca="1" si="109"/>
        <v>44</v>
      </c>
      <c r="C594" t="str">
        <f t="shared" ca="1" si="110"/>
        <v>Male</v>
      </c>
      <c r="D594" s="1">
        <f t="shared" ca="1" si="111"/>
        <v>45482</v>
      </c>
      <c r="E594" s="1">
        <f t="shared" ca="1" si="112"/>
        <v>45485</v>
      </c>
      <c r="F594" t="str">
        <f t="shared" ca="1" si="113"/>
        <v>Pneumonia</v>
      </c>
      <c r="G594" t="str">
        <f t="shared" ca="1" si="114"/>
        <v>Medication</v>
      </c>
      <c r="H594">
        <f t="shared" ca="1" si="115"/>
        <v>3</v>
      </c>
      <c r="I594" t="str">
        <f t="shared" ca="1" si="116"/>
        <v>No</v>
      </c>
      <c r="J594">
        <f t="shared" ca="1" si="117"/>
        <v>2</v>
      </c>
      <c r="K594" t="str">
        <f t="shared" ca="1" si="118"/>
        <v>Public</v>
      </c>
      <c r="L594" t="str">
        <f t="shared" ca="1" si="119"/>
        <v>ICU</v>
      </c>
    </row>
    <row r="595" spans="1:12" x14ac:dyDescent="0.25">
      <c r="A595">
        <f t="shared" si="108"/>
        <v>594</v>
      </c>
      <c r="B595">
        <f t="shared" ca="1" si="109"/>
        <v>49</v>
      </c>
      <c r="C595" t="str">
        <f t="shared" ca="1" si="110"/>
        <v>Female</v>
      </c>
      <c r="D595" s="1">
        <f t="shared" ca="1" si="111"/>
        <v>45515</v>
      </c>
      <c r="E595" s="1">
        <f t="shared" ca="1" si="112"/>
        <v>45520</v>
      </c>
      <c r="F595" t="str">
        <f t="shared" ca="1" si="113"/>
        <v>Hypertension</v>
      </c>
      <c r="G595" t="str">
        <f t="shared" ca="1" si="114"/>
        <v>Medication</v>
      </c>
      <c r="H595">
        <f t="shared" ca="1" si="115"/>
        <v>5</v>
      </c>
      <c r="I595" t="str">
        <f t="shared" ca="1" si="116"/>
        <v>No</v>
      </c>
      <c r="J595">
        <f t="shared" ca="1" si="117"/>
        <v>3</v>
      </c>
      <c r="K595" t="str">
        <f t="shared" ca="1" si="118"/>
        <v>Public</v>
      </c>
      <c r="L595" t="str">
        <f t="shared" ca="1" si="119"/>
        <v>ICU</v>
      </c>
    </row>
    <row r="596" spans="1:12" x14ac:dyDescent="0.25">
      <c r="A596">
        <f t="shared" si="108"/>
        <v>595</v>
      </c>
      <c r="B596">
        <f t="shared" ca="1" si="109"/>
        <v>74</v>
      </c>
      <c r="C596" t="str">
        <f t="shared" ca="1" si="110"/>
        <v>Female</v>
      </c>
      <c r="D596" s="1">
        <f t="shared" ca="1" si="111"/>
        <v>45495</v>
      </c>
      <c r="E596" s="1">
        <f t="shared" ca="1" si="112"/>
        <v>45508</v>
      </c>
      <c r="F596" t="str">
        <f t="shared" ca="1" si="113"/>
        <v>Stroke</v>
      </c>
      <c r="G596" t="str">
        <f t="shared" ca="1" si="114"/>
        <v>Therapy</v>
      </c>
      <c r="H596">
        <f t="shared" ca="1" si="115"/>
        <v>13</v>
      </c>
      <c r="I596" t="str">
        <f t="shared" ca="1" si="116"/>
        <v>No</v>
      </c>
      <c r="J596">
        <f t="shared" ca="1" si="117"/>
        <v>1</v>
      </c>
      <c r="K596" t="str">
        <f t="shared" ca="1" si="118"/>
        <v>None</v>
      </c>
      <c r="L596" t="str">
        <f t="shared" ca="1" si="119"/>
        <v>ER</v>
      </c>
    </row>
    <row r="597" spans="1:12" x14ac:dyDescent="0.25">
      <c r="A597">
        <f t="shared" si="108"/>
        <v>596</v>
      </c>
      <c r="B597">
        <f t="shared" ca="1" si="109"/>
        <v>67</v>
      </c>
      <c r="C597" t="str">
        <f t="shared" ca="1" si="110"/>
        <v>Female</v>
      </c>
      <c r="D597" s="1">
        <f t="shared" ca="1" si="111"/>
        <v>45365</v>
      </c>
      <c r="E597" s="1">
        <f t="shared" ca="1" si="112"/>
        <v>45376</v>
      </c>
      <c r="F597" t="str">
        <f t="shared" ca="1" si="113"/>
        <v>Pneumonia</v>
      </c>
      <c r="G597" t="str">
        <f t="shared" ca="1" si="114"/>
        <v>Medication</v>
      </c>
      <c r="H597">
        <f t="shared" ca="1" si="115"/>
        <v>11</v>
      </c>
      <c r="I597" t="str">
        <f t="shared" ca="1" si="116"/>
        <v>No</v>
      </c>
      <c r="J597">
        <f t="shared" ca="1" si="117"/>
        <v>3</v>
      </c>
      <c r="K597" t="str">
        <f t="shared" ca="1" si="118"/>
        <v>None</v>
      </c>
      <c r="L597" t="str">
        <f t="shared" ca="1" si="119"/>
        <v>Neurology</v>
      </c>
    </row>
    <row r="598" spans="1:12" x14ac:dyDescent="0.25">
      <c r="A598">
        <f t="shared" si="108"/>
        <v>597</v>
      </c>
      <c r="B598">
        <f t="shared" ca="1" si="109"/>
        <v>50</v>
      </c>
      <c r="C598" t="str">
        <f t="shared" ca="1" si="110"/>
        <v>Male</v>
      </c>
      <c r="D598" s="1">
        <f t="shared" ca="1" si="111"/>
        <v>45413</v>
      </c>
      <c r="E598" s="1">
        <f t="shared" ca="1" si="112"/>
        <v>45419</v>
      </c>
      <c r="F598" t="str">
        <f t="shared" ca="1" si="113"/>
        <v>Pneumonia</v>
      </c>
      <c r="G598" t="str">
        <f t="shared" ca="1" si="114"/>
        <v>Medication</v>
      </c>
      <c r="H598">
        <f t="shared" ca="1" si="115"/>
        <v>6</v>
      </c>
      <c r="I598" t="str">
        <f t="shared" ca="1" si="116"/>
        <v>Yes</v>
      </c>
      <c r="J598">
        <f t="shared" ca="1" si="117"/>
        <v>2</v>
      </c>
      <c r="K598" t="str">
        <f t="shared" ca="1" si="118"/>
        <v>None</v>
      </c>
      <c r="L598" t="str">
        <f t="shared" ca="1" si="119"/>
        <v>Neurology</v>
      </c>
    </row>
    <row r="599" spans="1:12" x14ac:dyDescent="0.25">
      <c r="A599">
        <f t="shared" si="108"/>
        <v>598</v>
      </c>
      <c r="B599">
        <f t="shared" ca="1" si="109"/>
        <v>70</v>
      </c>
      <c r="C599" t="str">
        <f t="shared" ca="1" si="110"/>
        <v>Female</v>
      </c>
      <c r="D599" s="1">
        <f t="shared" ca="1" si="111"/>
        <v>45602</v>
      </c>
      <c r="E599" s="1">
        <f t="shared" ca="1" si="112"/>
        <v>45617</v>
      </c>
      <c r="F599" t="str">
        <f t="shared" ca="1" si="113"/>
        <v>Diabetes</v>
      </c>
      <c r="G599" t="str">
        <f t="shared" ca="1" si="114"/>
        <v>Medication</v>
      </c>
      <c r="H599">
        <f t="shared" ca="1" si="115"/>
        <v>15</v>
      </c>
      <c r="I599" t="str">
        <f t="shared" ca="1" si="116"/>
        <v>No</v>
      </c>
      <c r="J599">
        <f t="shared" ca="1" si="117"/>
        <v>4</v>
      </c>
      <c r="K599" t="str">
        <f t="shared" ca="1" si="118"/>
        <v>Private</v>
      </c>
      <c r="L599" t="str">
        <f t="shared" ca="1" si="119"/>
        <v>General</v>
      </c>
    </row>
    <row r="600" spans="1:12" x14ac:dyDescent="0.25">
      <c r="A600">
        <f t="shared" si="108"/>
        <v>599</v>
      </c>
      <c r="B600">
        <f t="shared" ca="1" si="109"/>
        <v>69</v>
      </c>
      <c r="C600" t="str">
        <f t="shared" ca="1" si="110"/>
        <v>Male</v>
      </c>
      <c r="D600" s="1">
        <f t="shared" ca="1" si="111"/>
        <v>45550</v>
      </c>
      <c r="E600" s="1">
        <f t="shared" ca="1" si="112"/>
        <v>45565</v>
      </c>
      <c r="F600" t="str">
        <f t="shared" ca="1" si="113"/>
        <v>Diabetes</v>
      </c>
      <c r="G600" t="str">
        <f t="shared" ca="1" si="114"/>
        <v>Therapy</v>
      </c>
      <c r="H600">
        <f t="shared" ca="1" si="115"/>
        <v>15</v>
      </c>
      <c r="I600" t="str">
        <f t="shared" ca="1" si="116"/>
        <v>No</v>
      </c>
      <c r="J600">
        <f t="shared" ca="1" si="117"/>
        <v>2</v>
      </c>
      <c r="K600" t="str">
        <f t="shared" ca="1" si="118"/>
        <v>Public</v>
      </c>
      <c r="L600" t="str">
        <f t="shared" ca="1" si="119"/>
        <v>Cardiology</v>
      </c>
    </row>
    <row r="601" spans="1:12" x14ac:dyDescent="0.25">
      <c r="A601">
        <f t="shared" si="108"/>
        <v>600</v>
      </c>
      <c r="B601">
        <f t="shared" ca="1" si="109"/>
        <v>22</v>
      </c>
      <c r="C601" t="str">
        <f t="shared" ca="1" si="110"/>
        <v>Male</v>
      </c>
      <c r="D601" s="1">
        <f t="shared" ca="1" si="111"/>
        <v>45397</v>
      </c>
      <c r="E601" s="1">
        <f t="shared" ca="1" si="112"/>
        <v>45411</v>
      </c>
      <c r="F601" t="str">
        <f t="shared" ca="1" si="113"/>
        <v>Stroke</v>
      </c>
      <c r="G601" t="str">
        <f t="shared" ca="1" si="114"/>
        <v>Therapy</v>
      </c>
      <c r="H601">
        <f t="shared" ca="1" si="115"/>
        <v>14</v>
      </c>
      <c r="I601" t="str">
        <f t="shared" ca="1" si="116"/>
        <v>Yes</v>
      </c>
      <c r="J601">
        <f t="shared" ca="1" si="117"/>
        <v>2</v>
      </c>
      <c r="K601" t="str">
        <f t="shared" ca="1" si="118"/>
        <v>None</v>
      </c>
      <c r="L601" t="str">
        <f t="shared" ca="1" si="119"/>
        <v>ER</v>
      </c>
    </row>
    <row r="602" spans="1:12" x14ac:dyDescent="0.25">
      <c r="A602">
        <f t="shared" si="108"/>
        <v>601</v>
      </c>
      <c r="B602">
        <f t="shared" ca="1" si="109"/>
        <v>37</v>
      </c>
      <c r="C602" t="str">
        <f t="shared" ca="1" si="110"/>
        <v>Female</v>
      </c>
      <c r="D602" s="1">
        <f t="shared" ca="1" si="111"/>
        <v>45607</v>
      </c>
      <c r="E602" s="1">
        <f t="shared" ca="1" si="112"/>
        <v>45610</v>
      </c>
      <c r="F602" t="str">
        <f t="shared" ca="1" si="113"/>
        <v>Stroke</v>
      </c>
      <c r="G602" t="str">
        <f t="shared" ca="1" si="114"/>
        <v>Surgery</v>
      </c>
      <c r="H602">
        <f t="shared" ca="1" si="115"/>
        <v>3</v>
      </c>
      <c r="I602" t="str">
        <f t="shared" ca="1" si="116"/>
        <v>No</v>
      </c>
      <c r="J602">
        <f t="shared" ca="1" si="117"/>
        <v>2</v>
      </c>
      <c r="K602" t="str">
        <f t="shared" ca="1" si="118"/>
        <v>Public</v>
      </c>
      <c r="L602" t="str">
        <f t="shared" ca="1" si="119"/>
        <v>ER</v>
      </c>
    </row>
    <row r="603" spans="1:12" x14ac:dyDescent="0.25">
      <c r="A603">
        <f t="shared" si="108"/>
        <v>602</v>
      </c>
      <c r="B603">
        <f t="shared" ca="1" si="109"/>
        <v>84</v>
      </c>
      <c r="C603" t="str">
        <f t="shared" ca="1" si="110"/>
        <v>Male</v>
      </c>
      <c r="D603" s="1">
        <f t="shared" ca="1" si="111"/>
        <v>45507</v>
      </c>
      <c r="E603" s="1">
        <f t="shared" ca="1" si="112"/>
        <v>45509</v>
      </c>
      <c r="F603" t="str">
        <f t="shared" ca="1" si="113"/>
        <v>Hypertension</v>
      </c>
      <c r="G603" t="str">
        <f t="shared" ca="1" si="114"/>
        <v>Therapy</v>
      </c>
      <c r="H603">
        <f t="shared" ca="1" si="115"/>
        <v>2</v>
      </c>
      <c r="I603" t="str">
        <f t="shared" ca="1" si="116"/>
        <v>No</v>
      </c>
      <c r="J603">
        <f t="shared" ca="1" si="117"/>
        <v>0</v>
      </c>
      <c r="K603" t="str">
        <f t="shared" ca="1" si="118"/>
        <v>None</v>
      </c>
      <c r="L603" t="str">
        <f t="shared" ca="1" si="119"/>
        <v>Neurology</v>
      </c>
    </row>
    <row r="604" spans="1:12" x14ac:dyDescent="0.25">
      <c r="A604">
        <f t="shared" si="108"/>
        <v>603</v>
      </c>
      <c r="B604">
        <f t="shared" ca="1" si="109"/>
        <v>85</v>
      </c>
      <c r="C604" t="str">
        <f t="shared" ca="1" si="110"/>
        <v>Female</v>
      </c>
      <c r="D604" s="1">
        <f t="shared" ca="1" si="111"/>
        <v>45376</v>
      </c>
      <c r="E604" s="1">
        <f t="shared" ca="1" si="112"/>
        <v>45391</v>
      </c>
      <c r="F604" t="str">
        <f t="shared" ca="1" si="113"/>
        <v>Pneumonia</v>
      </c>
      <c r="G604" t="str">
        <f t="shared" ca="1" si="114"/>
        <v>Therapy</v>
      </c>
      <c r="H604">
        <f t="shared" ca="1" si="115"/>
        <v>15</v>
      </c>
      <c r="I604" t="str">
        <f t="shared" ca="1" si="116"/>
        <v>Yes</v>
      </c>
      <c r="J604">
        <f t="shared" ca="1" si="117"/>
        <v>1</v>
      </c>
      <c r="K604" t="str">
        <f t="shared" ca="1" si="118"/>
        <v>Public</v>
      </c>
      <c r="L604" t="str">
        <f t="shared" ca="1" si="119"/>
        <v>ICU</v>
      </c>
    </row>
    <row r="605" spans="1:12" x14ac:dyDescent="0.25">
      <c r="A605">
        <f t="shared" si="108"/>
        <v>604</v>
      </c>
      <c r="B605">
        <f t="shared" ca="1" si="109"/>
        <v>32</v>
      </c>
      <c r="C605" t="str">
        <f t="shared" ca="1" si="110"/>
        <v>Male</v>
      </c>
      <c r="D605" s="1">
        <f t="shared" ca="1" si="111"/>
        <v>45399</v>
      </c>
      <c r="E605" s="1">
        <f t="shared" ca="1" si="112"/>
        <v>45408</v>
      </c>
      <c r="F605" t="str">
        <f t="shared" ca="1" si="113"/>
        <v>Hypertension</v>
      </c>
      <c r="G605" t="str">
        <f t="shared" ca="1" si="114"/>
        <v>Surgery</v>
      </c>
      <c r="H605">
        <f t="shared" ca="1" si="115"/>
        <v>9</v>
      </c>
      <c r="I605" t="str">
        <f t="shared" ca="1" si="116"/>
        <v>Yes</v>
      </c>
      <c r="J605">
        <f t="shared" ca="1" si="117"/>
        <v>4</v>
      </c>
      <c r="K605" t="str">
        <f t="shared" ca="1" si="118"/>
        <v>None</v>
      </c>
      <c r="L605" t="str">
        <f t="shared" ca="1" si="119"/>
        <v>ICU</v>
      </c>
    </row>
    <row r="606" spans="1:12" x14ac:dyDescent="0.25">
      <c r="A606">
        <f t="shared" si="108"/>
        <v>605</v>
      </c>
      <c r="B606">
        <f t="shared" ca="1" si="109"/>
        <v>30</v>
      </c>
      <c r="C606" t="str">
        <f t="shared" ca="1" si="110"/>
        <v>Male</v>
      </c>
      <c r="D606" s="1">
        <f t="shared" ca="1" si="111"/>
        <v>45593</v>
      </c>
      <c r="E606" s="1">
        <f t="shared" ca="1" si="112"/>
        <v>45604</v>
      </c>
      <c r="F606" t="str">
        <f t="shared" ca="1" si="113"/>
        <v>Diabetes</v>
      </c>
      <c r="G606" t="str">
        <f t="shared" ca="1" si="114"/>
        <v>Surgery</v>
      </c>
      <c r="H606">
        <f t="shared" ca="1" si="115"/>
        <v>11</v>
      </c>
      <c r="I606" t="str">
        <f t="shared" ca="1" si="116"/>
        <v>No</v>
      </c>
      <c r="J606">
        <f t="shared" ca="1" si="117"/>
        <v>1</v>
      </c>
      <c r="K606" t="str">
        <f t="shared" ca="1" si="118"/>
        <v>None</v>
      </c>
      <c r="L606" t="str">
        <f t="shared" ca="1" si="119"/>
        <v>ER</v>
      </c>
    </row>
    <row r="607" spans="1:12" x14ac:dyDescent="0.25">
      <c r="A607">
        <f t="shared" si="108"/>
        <v>606</v>
      </c>
      <c r="B607">
        <f t="shared" ca="1" si="109"/>
        <v>47</v>
      </c>
      <c r="C607" t="str">
        <f t="shared" ca="1" si="110"/>
        <v>Male</v>
      </c>
      <c r="D607" s="1">
        <f t="shared" ca="1" si="111"/>
        <v>45613</v>
      </c>
      <c r="E607" s="1">
        <f t="shared" ca="1" si="112"/>
        <v>45624</v>
      </c>
      <c r="F607" t="str">
        <f t="shared" ca="1" si="113"/>
        <v>Stroke</v>
      </c>
      <c r="G607" t="str">
        <f t="shared" ca="1" si="114"/>
        <v>Surgery</v>
      </c>
      <c r="H607">
        <f t="shared" ca="1" si="115"/>
        <v>11</v>
      </c>
      <c r="I607" t="str">
        <f t="shared" ca="1" si="116"/>
        <v>No</v>
      </c>
      <c r="J607">
        <f t="shared" ca="1" si="117"/>
        <v>1</v>
      </c>
      <c r="K607" t="str">
        <f t="shared" ca="1" si="118"/>
        <v>Public</v>
      </c>
      <c r="L607" t="str">
        <f t="shared" ca="1" si="119"/>
        <v>Neurology</v>
      </c>
    </row>
    <row r="608" spans="1:12" x14ac:dyDescent="0.25">
      <c r="A608">
        <f t="shared" si="108"/>
        <v>607</v>
      </c>
      <c r="B608">
        <f t="shared" ca="1" si="109"/>
        <v>30</v>
      </c>
      <c r="C608" t="str">
        <f t="shared" ca="1" si="110"/>
        <v>Female</v>
      </c>
      <c r="D608" s="1">
        <f t="shared" ca="1" si="111"/>
        <v>45571</v>
      </c>
      <c r="E608" s="1">
        <f t="shared" ca="1" si="112"/>
        <v>45573</v>
      </c>
      <c r="F608" t="str">
        <f t="shared" ca="1" si="113"/>
        <v>Diabetes</v>
      </c>
      <c r="G608" t="str">
        <f t="shared" ca="1" si="114"/>
        <v>Surgery</v>
      </c>
      <c r="H608">
        <f t="shared" ca="1" si="115"/>
        <v>2</v>
      </c>
      <c r="I608" t="str">
        <f t="shared" ca="1" si="116"/>
        <v>Yes</v>
      </c>
      <c r="J608">
        <f t="shared" ca="1" si="117"/>
        <v>0</v>
      </c>
      <c r="K608" t="str">
        <f t="shared" ca="1" si="118"/>
        <v>Public</v>
      </c>
      <c r="L608" t="str">
        <f t="shared" ca="1" si="119"/>
        <v>Cardiology</v>
      </c>
    </row>
    <row r="609" spans="1:12" x14ac:dyDescent="0.25">
      <c r="A609">
        <f t="shared" si="108"/>
        <v>608</v>
      </c>
      <c r="B609">
        <f t="shared" ca="1" si="109"/>
        <v>60</v>
      </c>
      <c r="C609" t="str">
        <f t="shared" ca="1" si="110"/>
        <v>Female</v>
      </c>
      <c r="D609" s="1">
        <f t="shared" ca="1" si="111"/>
        <v>45453</v>
      </c>
      <c r="E609" s="1">
        <f t="shared" ca="1" si="112"/>
        <v>45456</v>
      </c>
      <c r="F609" t="str">
        <f t="shared" ca="1" si="113"/>
        <v>Pneumonia</v>
      </c>
      <c r="G609" t="str">
        <f t="shared" ca="1" si="114"/>
        <v>Surgery</v>
      </c>
      <c r="H609">
        <f t="shared" ca="1" si="115"/>
        <v>3</v>
      </c>
      <c r="I609" t="str">
        <f t="shared" ca="1" si="116"/>
        <v>No</v>
      </c>
      <c r="J609">
        <f t="shared" ca="1" si="117"/>
        <v>3</v>
      </c>
      <c r="K609" t="str">
        <f t="shared" ca="1" si="118"/>
        <v>None</v>
      </c>
      <c r="L609" t="str">
        <f t="shared" ca="1" si="119"/>
        <v>Neurology</v>
      </c>
    </row>
    <row r="610" spans="1:12" x14ac:dyDescent="0.25">
      <c r="A610">
        <f t="shared" si="108"/>
        <v>609</v>
      </c>
      <c r="B610">
        <f t="shared" ca="1" si="109"/>
        <v>74</v>
      </c>
      <c r="C610" t="str">
        <f t="shared" ca="1" si="110"/>
        <v>Female</v>
      </c>
      <c r="D610" s="1">
        <f t="shared" ca="1" si="111"/>
        <v>45367</v>
      </c>
      <c r="E610" s="1">
        <f t="shared" ca="1" si="112"/>
        <v>45372</v>
      </c>
      <c r="F610" t="str">
        <f t="shared" ca="1" si="113"/>
        <v>Pneumonia</v>
      </c>
      <c r="G610" t="str">
        <f t="shared" ca="1" si="114"/>
        <v>Therapy</v>
      </c>
      <c r="H610">
        <f t="shared" ca="1" si="115"/>
        <v>5</v>
      </c>
      <c r="I610" t="str">
        <f t="shared" ca="1" si="116"/>
        <v>No</v>
      </c>
      <c r="J610">
        <f t="shared" ca="1" si="117"/>
        <v>1</v>
      </c>
      <c r="K610" t="str">
        <f t="shared" ca="1" si="118"/>
        <v>None</v>
      </c>
      <c r="L610" t="str">
        <f t="shared" ca="1" si="119"/>
        <v>ICU</v>
      </c>
    </row>
    <row r="611" spans="1:12" x14ac:dyDescent="0.25">
      <c r="A611">
        <f t="shared" si="108"/>
        <v>610</v>
      </c>
      <c r="B611">
        <f t="shared" ca="1" si="109"/>
        <v>51</v>
      </c>
      <c r="C611" t="str">
        <f t="shared" ca="1" si="110"/>
        <v>Female</v>
      </c>
      <c r="D611" s="1">
        <f t="shared" ca="1" si="111"/>
        <v>45560</v>
      </c>
      <c r="E611" s="1">
        <f t="shared" ca="1" si="112"/>
        <v>45573</v>
      </c>
      <c r="F611" t="str">
        <f t="shared" ca="1" si="113"/>
        <v>Hypertension</v>
      </c>
      <c r="G611" t="str">
        <f t="shared" ca="1" si="114"/>
        <v>Therapy</v>
      </c>
      <c r="H611">
        <f t="shared" ca="1" si="115"/>
        <v>13</v>
      </c>
      <c r="I611" t="str">
        <f t="shared" ca="1" si="116"/>
        <v>No</v>
      </c>
      <c r="J611">
        <f t="shared" ca="1" si="117"/>
        <v>4</v>
      </c>
      <c r="K611" t="str">
        <f t="shared" ca="1" si="118"/>
        <v>None</v>
      </c>
      <c r="L611" t="str">
        <f t="shared" ca="1" si="119"/>
        <v>ER</v>
      </c>
    </row>
    <row r="612" spans="1:12" x14ac:dyDescent="0.25">
      <c r="A612">
        <f t="shared" si="108"/>
        <v>611</v>
      </c>
      <c r="B612">
        <f t="shared" ca="1" si="109"/>
        <v>21</v>
      </c>
      <c r="C612" t="str">
        <f t="shared" ca="1" si="110"/>
        <v>Female</v>
      </c>
      <c r="D612" s="1">
        <f t="shared" ca="1" si="111"/>
        <v>45481</v>
      </c>
      <c r="E612" s="1">
        <f t="shared" ca="1" si="112"/>
        <v>45488</v>
      </c>
      <c r="F612" t="str">
        <f t="shared" ca="1" si="113"/>
        <v>Hypertension</v>
      </c>
      <c r="G612" t="str">
        <f t="shared" ca="1" si="114"/>
        <v>Medication</v>
      </c>
      <c r="H612">
        <f t="shared" ca="1" si="115"/>
        <v>7</v>
      </c>
      <c r="I612" t="str">
        <f t="shared" ca="1" si="116"/>
        <v>No</v>
      </c>
      <c r="J612">
        <f t="shared" ca="1" si="117"/>
        <v>2</v>
      </c>
      <c r="K612" t="str">
        <f t="shared" ca="1" si="118"/>
        <v>Public</v>
      </c>
      <c r="L612" t="str">
        <f t="shared" ca="1" si="119"/>
        <v>Cardiology</v>
      </c>
    </row>
    <row r="613" spans="1:12" x14ac:dyDescent="0.25">
      <c r="A613">
        <f t="shared" si="108"/>
        <v>612</v>
      </c>
      <c r="B613">
        <f t="shared" ca="1" si="109"/>
        <v>49</v>
      </c>
      <c r="C613" t="str">
        <f t="shared" ca="1" si="110"/>
        <v>Male</v>
      </c>
      <c r="D613" s="1">
        <f t="shared" ca="1" si="111"/>
        <v>45452</v>
      </c>
      <c r="E613" s="1">
        <f t="shared" ca="1" si="112"/>
        <v>45464</v>
      </c>
      <c r="F613" t="str">
        <f t="shared" ca="1" si="113"/>
        <v>Diabetes</v>
      </c>
      <c r="G613" t="str">
        <f t="shared" ca="1" si="114"/>
        <v>Surgery</v>
      </c>
      <c r="H613">
        <f t="shared" ca="1" si="115"/>
        <v>12</v>
      </c>
      <c r="I613" t="str">
        <f t="shared" ca="1" si="116"/>
        <v>Yes</v>
      </c>
      <c r="J613">
        <f t="shared" ca="1" si="117"/>
        <v>2</v>
      </c>
      <c r="K613" t="str">
        <f t="shared" ca="1" si="118"/>
        <v>Public</v>
      </c>
      <c r="L613" t="str">
        <f t="shared" ca="1" si="119"/>
        <v>Cardiology</v>
      </c>
    </row>
    <row r="614" spans="1:12" x14ac:dyDescent="0.25">
      <c r="A614">
        <f t="shared" si="108"/>
        <v>613</v>
      </c>
      <c r="B614">
        <f t="shared" ca="1" si="109"/>
        <v>81</v>
      </c>
      <c r="C614" t="str">
        <f t="shared" ca="1" si="110"/>
        <v>Female</v>
      </c>
      <c r="D614" s="1">
        <f t="shared" ca="1" si="111"/>
        <v>45530</v>
      </c>
      <c r="E614" s="1">
        <f t="shared" ca="1" si="112"/>
        <v>45534</v>
      </c>
      <c r="F614" t="str">
        <f t="shared" ca="1" si="113"/>
        <v>Diabetes</v>
      </c>
      <c r="G614" t="str">
        <f t="shared" ca="1" si="114"/>
        <v>Therapy</v>
      </c>
      <c r="H614">
        <f t="shared" ca="1" si="115"/>
        <v>4</v>
      </c>
      <c r="I614" t="str">
        <f t="shared" ca="1" si="116"/>
        <v>No</v>
      </c>
      <c r="J614">
        <f t="shared" ca="1" si="117"/>
        <v>1</v>
      </c>
      <c r="K614" t="str">
        <f t="shared" ca="1" si="118"/>
        <v>None</v>
      </c>
      <c r="L614" t="str">
        <f t="shared" ca="1" si="119"/>
        <v>Neurology</v>
      </c>
    </row>
    <row r="615" spans="1:12" x14ac:dyDescent="0.25">
      <c r="A615">
        <f t="shared" si="108"/>
        <v>614</v>
      </c>
      <c r="B615">
        <f t="shared" ca="1" si="109"/>
        <v>27</v>
      </c>
      <c r="C615" t="str">
        <f t="shared" ca="1" si="110"/>
        <v>Female</v>
      </c>
      <c r="D615" s="1">
        <f t="shared" ca="1" si="111"/>
        <v>45330</v>
      </c>
      <c r="E615" s="1">
        <f t="shared" ca="1" si="112"/>
        <v>45334</v>
      </c>
      <c r="F615" t="str">
        <f t="shared" ca="1" si="113"/>
        <v>Hypertension</v>
      </c>
      <c r="G615" t="str">
        <f t="shared" ca="1" si="114"/>
        <v>Therapy</v>
      </c>
      <c r="H615">
        <f t="shared" ca="1" si="115"/>
        <v>4</v>
      </c>
      <c r="I615" t="str">
        <f t="shared" ca="1" si="116"/>
        <v>No</v>
      </c>
      <c r="J615">
        <f t="shared" ca="1" si="117"/>
        <v>4</v>
      </c>
      <c r="K615" t="str">
        <f t="shared" ca="1" si="118"/>
        <v>Public</v>
      </c>
      <c r="L615" t="str">
        <f t="shared" ca="1" si="119"/>
        <v>General</v>
      </c>
    </row>
    <row r="616" spans="1:12" x14ac:dyDescent="0.25">
      <c r="A616">
        <f t="shared" si="108"/>
        <v>615</v>
      </c>
      <c r="B616">
        <f t="shared" ca="1" si="109"/>
        <v>51</v>
      </c>
      <c r="C616" t="str">
        <f t="shared" ca="1" si="110"/>
        <v>Female</v>
      </c>
      <c r="D616" s="1">
        <f t="shared" ca="1" si="111"/>
        <v>45564</v>
      </c>
      <c r="E616" s="1">
        <f t="shared" ca="1" si="112"/>
        <v>45567</v>
      </c>
      <c r="F616" t="str">
        <f t="shared" ca="1" si="113"/>
        <v>Diabetes</v>
      </c>
      <c r="G616" t="str">
        <f t="shared" ca="1" si="114"/>
        <v>Medication</v>
      </c>
      <c r="H616">
        <f t="shared" ca="1" si="115"/>
        <v>3</v>
      </c>
      <c r="I616" t="str">
        <f t="shared" ca="1" si="116"/>
        <v>No</v>
      </c>
      <c r="J616">
        <f t="shared" ca="1" si="117"/>
        <v>1</v>
      </c>
      <c r="K616" t="str">
        <f t="shared" ca="1" si="118"/>
        <v>None</v>
      </c>
      <c r="L616" t="str">
        <f t="shared" ca="1" si="119"/>
        <v>Neurology</v>
      </c>
    </row>
    <row r="617" spans="1:12" x14ac:dyDescent="0.25">
      <c r="A617">
        <f t="shared" si="108"/>
        <v>616</v>
      </c>
      <c r="B617">
        <f t="shared" ca="1" si="109"/>
        <v>23</v>
      </c>
      <c r="C617" t="str">
        <f t="shared" ca="1" si="110"/>
        <v>Male</v>
      </c>
      <c r="D617" s="1">
        <f t="shared" ca="1" si="111"/>
        <v>45339</v>
      </c>
      <c r="E617" s="1">
        <f t="shared" ca="1" si="112"/>
        <v>45340</v>
      </c>
      <c r="F617" t="str">
        <f t="shared" ca="1" si="113"/>
        <v>Hypertension</v>
      </c>
      <c r="G617" t="str">
        <f t="shared" ca="1" si="114"/>
        <v>Surgery</v>
      </c>
      <c r="H617">
        <f t="shared" ca="1" si="115"/>
        <v>1</v>
      </c>
      <c r="I617" t="str">
        <f t="shared" ca="1" si="116"/>
        <v>Yes</v>
      </c>
      <c r="J617">
        <f t="shared" ca="1" si="117"/>
        <v>2</v>
      </c>
      <c r="K617" t="str">
        <f t="shared" ca="1" si="118"/>
        <v>None</v>
      </c>
      <c r="L617" t="str">
        <f t="shared" ca="1" si="119"/>
        <v>General</v>
      </c>
    </row>
    <row r="618" spans="1:12" x14ac:dyDescent="0.25">
      <c r="A618">
        <f t="shared" si="108"/>
        <v>617</v>
      </c>
      <c r="B618">
        <f t="shared" ca="1" si="109"/>
        <v>63</v>
      </c>
      <c r="C618" t="str">
        <f t="shared" ca="1" si="110"/>
        <v>Female</v>
      </c>
      <c r="D618" s="1">
        <f t="shared" ca="1" si="111"/>
        <v>45504</v>
      </c>
      <c r="E618" s="1">
        <f t="shared" ca="1" si="112"/>
        <v>45516</v>
      </c>
      <c r="F618" t="str">
        <f t="shared" ca="1" si="113"/>
        <v>Pneumonia</v>
      </c>
      <c r="G618" t="str">
        <f t="shared" ca="1" si="114"/>
        <v>Therapy</v>
      </c>
      <c r="H618">
        <f t="shared" ca="1" si="115"/>
        <v>12</v>
      </c>
      <c r="I618" t="str">
        <f t="shared" ca="1" si="116"/>
        <v>Yes</v>
      </c>
      <c r="J618">
        <f t="shared" ca="1" si="117"/>
        <v>4</v>
      </c>
      <c r="K618" t="str">
        <f t="shared" ca="1" si="118"/>
        <v>None</v>
      </c>
      <c r="L618" t="str">
        <f t="shared" ca="1" si="119"/>
        <v>Neurology</v>
      </c>
    </row>
    <row r="619" spans="1:12" x14ac:dyDescent="0.25">
      <c r="A619">
        <f t="shared" si="108"/>
        <v>618</v>
      </c>
      <c r="B619">
        <f t="shared" ca="1" si="109"/>
        <v>51</v>
      </c>
      <c r="C619" t="str">
        <f t="shared" ca="1" si="110"/>
        <v>Female</v>
      </c>
      <c r="D619" s="1">
        <f t="shared" ca="1" si="111"/>
        <v>45625</v>
      </c>
      <c r="E619" s="1">
        <f t="shared" ca="1" si="112"/>
        <v>45632</v>
      </c>
      <c r="F619" t="str">
        <f t="shared" ca="1" si="113"/>
        <v>Heart Failure</v>
      </c>
      <c r="G619" t="str">
        <f t="shared" ca="1" si="114"/>
        <v>Surgery</v>
      </c>
      <c r="H619">
        <f t="shared" ca="1" si="115"/>
        <v>7</v>
      </c>
      <c r="I619" t="str">
        <f t="shared" ca="1" si="116"/>
        <v>Yes</v>
      </c>
      <c r="J619">
        <f t="shared" ca="1" si="117"/>
        <v>2</v>
      </c>
      <c r="K619" t="str">
        <f t="shared" ca="1" si="118"/>
        <v>Private</v>
      </c>
      <c r="L619" t="str">
        <f t="shared" ca="1" si="119"/>
        <v>General</v>
      </c>
    </row>
    <row r="620" spans="1:12" x14ac:dyDescent="0.25">
      <c r="A620">
        <f t="shared" si="108"/>
        <v>619</v>
      </c>
      <c r="B620">
        <f t="shared" ca="1" si="109"/>
        <v>82</v>
      </c>
      <c r="C620" t="str">
        <f t="shared" ca="1" si="110"/>
        <v>Male</v>
      </c>
      <c r="D620" s="1">
        <f t="shared" ca="1" si="111"/>
        <v>45475</v>
      </c>
      <c r="E620" s="1">
        <f t="shared" ca="1" si="112"/>
        <v>45478</v>
      </c>
      <c r="F620" t="str">
        <f t="shared" ca="1" si="113"/>
        <v>Heart Failure</v>
      </c>
      <c r="G620" t="str">
        <f t="shared" ca="1" si="114"/>
        <v>Medication</v>
      </c>
      <c r="H620">
        <f t="shared" ca="1" si="115"/>
        <v>3</v>
      </c>
      <c r="I620" t="str">
        <f t="shared" ca="1" si="116"/>
        <v>Yes</v>
      </c>
      <c r="J620">
        <f t="shared" ca="1" si="117"/>
        <v>1</v>
      </c>
      <c r="K620" t="str">
        <f t="shared" ca="1" si="118"/>
        <v>Public</v>
      </c>
      <c r="L620" t="str">
        <f t="shared" ca="1" si="119"/>
        <v>Neurology</v>
      </c>
    </row>
    <row r="621" spans="1:12" x14ac:dyDescent="0.25">
      <c r="A621">
        <f t="shared" si="108"/>
        <v>620</v>
      </c>
      <c r="B621">
        <f t="shared" ca="1" si="109"/>
        <v>25</v>
      </c>
      <c r="C621" t="str">
        <f t="shared" ca="1" si="110"/>
        <v>Female</v>
      </c>
      <c r="D621" s="1">
        <f t="shared" ca="1" si="111"/>
        <v>45615</v>
      </c>
      <c r="E621" s="1">
        <f t="shared" ca="1" si="112"/>
        <v>45625</v>
      </c>
      <c r="F621" t="str">
        <f t="shared" ca="1" si="113"/>
        <v>Heart Failure</v>
      </c>
      <c r="G621" t="str">
        <f t="shared" ca="1" si="114"/>
        <v>Medication</v>
      </c>
      <c r="H621">
        <f t="shared" ca="1" si="115"/>
        <v>10</v>
      </c>
      <c r="I621" t="str">
        <f t="shared" ca="1" si="116"/>
        <v>Yes</v>
      </c>
      <c r="J621">
        <f t="shared" ca="1" si="117"/>
        <v>3</v>
      </c>
      <c r="K621" t="str">
        <f t="shared" ca="1" si="118"/>
        <v>Public</v>
      </c>
      <c r="L621" t="str">
        <f t="shared" ca="1" si="119"/>
        <v>ICU</v>
      </c>
    </row>
    <row r="622" spans="1:12" x14ac:dyDescent="0.25">
      <c r="A622">
        <f t="shared" si="108"/>
        <v>621</v>
      </c>
      <c r="B622">
        <f t="shared" ca="1" si="109"/>
        <v>56</v>
      </c>
      <c r="C622" t="str">
        <f t="shared" ca="1" si="110"/>
        <v>Male</v>
      </c>
      <c r="D622" s="1">
        <f t="shared" ca="1" si="111"/>
        <v>45599</v>
      </c>
      <c r="E622" s="1">
        <f t="shared" ca="1" si="112"/>
        <v>45605</v>
      </c>
      <c r="F622" t="str">
        <f t="shared" ca="1" si="113"/>
        <v>Pneumonia</v>
      </c>
      <c r="G622" t="str">
        <f t="shared" ca="1" si="114"/>
        <v>Medication</v>
      </c>
      <c r="H622">
        <f t="shared" ca="1" si="115"/>
        <v>6</v>
      </c>
      <c r="I622" t="str">
        <f t="shared" ca="1" si="116"/>
        <v>No</v>
      </c>
      <c r="J622">
        <f t="shared" ca="1" si="117"/>
        <v>3</v>
      </c>
      <c r="K622" t="str">
        <f t="shared" ca="1" si="118"/>
        <v>Private</v>
      </c>
      <c r="L622" t="str">
        <f t="shared" ca="1" si="119"/>
        <v>ICU</v>
      </c>
    </row>
    <row r="623" spans="1:12" x14ac:dyDescent="0.25">
      <c r="A623">
        <f t="shared" si="108"/>
        <v>622</v>
      </c>
      <c r="B623">
        <f t="shared" ca="1" si="109"/>
        <v>58</v>
      </c>
      <c r="C623" t="str">
        <f t="shared" ca="1" si="110"/>
        <v>Female</v>
      </c>
      <c r="D623" s="1">
        <f t="shared" ca="1" si="111"/>
        <v>45637</v>
      </c>
      <c r="E623" s="1">
        <f t="shared" ca="1" si="112"/>
        <v>45638</v>
      </c>
      <c r="F623" t="str">
        <f t="shared" ca="1" si="113"/>
        <v>Pneumonia</v>
      </c>
      <c r="G623" t="str">
        <f t="shared" ca="1" si="114"/>
        <v>Surgery</v>
      </c>
      <c r="H623">
        <f t="shared" ca="1" si="115"/>
        <v>1</v>
      </c>
      <c r="I623" t="str">
        <f t="shared" ca="1" si="116"/>
        <v>No</v>
      </c>
      <c r="J623">
        <f t="shared" ca="1" si="117"/>
        <v>0</v>
      </c>
      <c r="K623" t="str">
        <f t="shared" ca="1" si="118"/>
        <v>Private</v>
      </c>
      <c r="L623" t="str">
        <f t="shared" ca="1" si="119"/>
        <v>Neurology</v>
      </c>
    </row>
    <row r="624" spans="1:12" x14ac:dyDescent="0.25">
      <c r="A624">
        <f t="shared" si="108"/>
        <v>623</v>
      </c>
      <c r="B624">
        <f t="shared" ca="1" si="109"/>
        <v>22</v>
      </c>
      <c r="C624" t="str">
        <f t="shared" ca="1" si="110"/>
        <v>Female</v>
      </c>
      <c r="D624" s="1">
        <f t="shared" ca="1" si="111"/>
        <v>45480</v>
      </c>
      <c r="E624" s="1">
        <f t="shared" ca="1" si="112"/>
        <v>45483</v>
      </c>
      <c r="F624" t="str">
        <f t="shared" ca="1" si="113"/>
        <v>Heart Failure</v>
      </c>
      <c r="G624" t="str">
        <f t="shared" ca="1" si="114"/>
        <v>Surgery</v>
      </c>
      <c r="H624">
        <f t="shared" ca="1" si="115"/>
        <v>3</v>
      </c>
      <c r="I624" t="str">
        <f t="shared" ca="1" si="116"/>
        <v>Yes</v>
      </c>
      <c r="J624">
        <f t="shared" ca="1" si="117"/>
        <v>4</v>
      </c>
      <c r="K624" t="str">
        <f t="shared" ca="1" si="118"/>
        <v>None</v>
      </c>
      <c r="L624" t="str">
        <f t="shared" ca="1" si="119"/>
        <v>ICU</v>
      </c>
    </row>
    <row r="625" spans="1:12" x14ac:dyDescent="0.25">
      <c r="A625">
        <f t="shared" si="108"/>
        <v>624</v>
      </c>
      <c r="B625">
        <f t="shared" ca="1" si="109"/>
        <v>39</v>
      </c>
      <c r="C625" t="str">
        <f t="shared" ca="1" si="110"/>
        <v>Male</v>
      </c>
      <c r="D625" s="1">
        <f t="shared" ca="1" si="111"/>
        <v>45502</v>
      </c>
      <c r="E625" s="1">
        <f t="shared" ca="1" si="112"/>
        <v>45516</v>
      </c>
      <c r="F625" t="str">
        <f t="shared" ca="1" si="113"/>
        <v>Hypertension</v>
      </c>
      <c r="G625" t="str">
        <f t="shared" ca="1" si="114"/>
        <v>Therapy</v>
      </c>
      <c r="H625">
        <f t="shared" ca="1" si="115"/>
        <v>14</v>
      </c>
      <c r="I625" t="str">
        <f t="shared" ca="1" si="116"/>
        <v>Yes</v>
      </c>
      <c r="J625">
        <f t="shared" ca="1" si="117"/>
        <v>4</v>
      </c>
      <c r="K625" t="str">
        <f t="shared" ca="1" si="118"/>
        <v>Private</v>
      </c>
      <c r="L625" t="str">
        <f t="shared" ca="1" si="119"/>
        <v>ER</v>
      </c>
    </row>
    <row r="626" spans="1:12" x14ac:dyDescent="0.25">
      <c r="A626">
        <f t="shared" si="108"/>
        <v>625</v>
      </c>
      <c r="B626">
        <f t="shared" ca="1" si="109"/>
        <v>90</v>
      </c>
      <c r="C626" t="str">
        <f t="shared" ca="1" si="110"/>
        <v>Female</v>
      </c>
      <c r="D626" s="1">
        <f t="shared" ca="1" si="111"/>
        <v>45637</v>
      </c>
      <c r="E626" s="1">
        <f t="shared" ca="1" si="112"/>
        <v>45642</v>
      </c>
      <c r="F626" t="str">
        <f t="shared" ca="1" si="113"/>
        <v>Heart Failure</v>
      </c>
      <c r="G626" t="str">
        <f t="shared" ca="1" si="114"/>
        <v>Surgery</v>
      </c>
      <c r="H626">
        <f t="shared" ca="1" si="115"/>
        <v>5</v>
      </c>
      <c r="I626" t="str">
        <f t="shared" ca="1" si="116"/>
        <v>Yes</v>
      </c>
      <c r="J626">
        <f t="shared" ca="1" si="117"/>
        <v>3</v>
      </c>
      <c r="K626" t="str">
        <f t="shared" ca="1" si="118"/>
        <v>Public</v>
      </c>
      <c r="L626" t="str">
        <f t="shared" ca="1" si="119"/>
        <v>ER</v>
      </c>
    </row>
    <row r="627" spans="1:12" x14ac:dyDescent="0.25">
      <c r="A627">
        <f t="shared" si="108"/>
        <v>626</v>
      </c>
      <c r="B627">
        <f t="shared" ca="1" si="109"/>
        <v>73</v>
      </c>
      <c r="C627" t="str">
        <f t="shared" ca="1" si="110"/>
        <v>Female</v>
      </c>
      <c r="D627" s="1">
        <f t="shared" ca="1" si="111"/>
        <v>45633</v>
      </c>
      <c r="E627" s="1">
        <f t="shared" ca="1" si="112"/>
        <v>45634</v>
      </c>
      <c r="F627" t="str">
        <f t="shared" ca="1" si="113"/>
        <v>Heart Failure</v>
      </c>
      <c r="G627" t="str">
        <f t="shared" ca="1" si="114"/>
        <v>Medication</v>
      </c>
      <c r="H627">
        <f t="shared" ca="1" si="115"/>
        <v>1</v>
      </c>
      <c r="I627" t="str">
        <f t="shared" ca="1" si="116"/>
        <v>No</v>
      </c>
      <c r="J627">
        <f t="shared" ca="1" si="117"/>
        <v>4</v>
      </c>
      <c r="K627" t="str">
        <f t="shared" ca="1" si="118"/>
        <v>Public</v>
      </c>
      <c r="L627" t="str">
        <f t="shared" ca="1" si="119"/>
        <v>Neurology</v>
      </c>
    </row>
    <row r="628" spans="1:12" x14ac:dyDescent="0.25">
      <c r="A628">
        <f t="shared" si="108"/>
        <v>627</v>
      </c>
      <c r="B628">
        <f t="shared" ca="1" si="109"/>
        <v>65</v>
      </c>
      <c r="C628" t="str">
        <f t="shared" ca="1" si="110"/>
        <v>Male</v>
      </c>
      <c r="D628" s="1">
        <f t="shared" ca="1" si="111"/>
        <v>45429</v>
      </c>
      <c r="E628" s="1">
        <f t="shared" ca="1" si="112"/>
        <v>45432</v>
      </c>
      <c r="F628" t="str">
        <f t="shared" ca="1" si="113"/>
        <v>Hypertension</v>
      </c>
      <c r="G628" t="str">
        <f t="shared" ca="1" si="114"/>
        <v>Surgery</v>
      </c>
      <c r="H628">
        <f t="shared" ca="1" si="115"/>
        <v>3</v>
      </c>
      <c r="I628" t="str">
        <f t="shared" ca="1" si="116"/>
        <v>No</v>
      </c>
      <c r="J628">
        <f t="shared" ca="1" si="117"/>
        <v>4</v>
      </c>
      <c r="K628" t="str">
        <f t="shared" ca="1" si="118"/>
        <v>Public</v>
      </c>
      <c r="L628" t="str">
        <f t="shared" ca="1" si="119"/>
        <v>ER</v>
      </c>
    </row>
    <row r="629" spans="1:12" x14ac:dyDescent="0.25">
      <c r="A629">
        <f t="shared" si="108"/>
        <v>628</v>
      </c>
      <c r="B629">
        <f t="shared" ca="1" si="109"/>
        <v>74</v>
      </c>
      <c r="C629" t="str">
        <f t="shared" ca="1" si="110"/>
        <v>Male</v>
      </c>
      <c r="D629" s="1">
        <f t="shared" ca="1" si="111"/>
        <v>45410</v>
      </c>
      <c r="E629" s="1">
        <f t="shared" ca="1" si="112"/>
        <v>45418</v>
      </c>
      <c r="F629" t="str">
        <f t="shared" ca="1" si="113"/>
        <v>Pneumonia</v>
      </c>
      <c r="G629" t="str">
        <f t="shared" ca="1" si="114"/>
        <v>Therapy</v>
      </c>
      <c r="H629">
        <f t="shared" ca="1" si="115"/>
        <v>8</v>
      </c>
      <c r="I629" t="str">
        <f t="shared" ca="1" si="116"/>
        <v>No</v>
      </c>
      <c r="J629">
        <f t="shared" ca="1" si="117"/>
        <v>3</v>
      </c>
      <c r="K629" t="str">
        <f t="shared" ca="1" si="118"/>
        <v>None</v>
      </c>
      <c r="L629" t="str">
        <f t="shared" ca="1" si="119"/>
        <v>ICU</v>
      </c>
    </row>
    <row r="630" spans="1:12" x14ac:dyDescent="0.25">
      <c r="A630">
        <f t="shared" si="108"/>
        <v>629</v>
      </c>
      <c r="B630">
        <f t="shared" ca="1" si="109"/>
        <v>56</v>
      </c>
      <c r="C630" t="str">
        <f t="shared" ca="1" si="110"/>
        <v>Female</v>
      </c>
      <c r="D630" s="1">
        <f t="shared" ca="1" si="111"/>
        <v>45406</v>
      </c>
      <c r="E630" s="1">
        <f t="shared" ca="1" si="112"/>
        <v>45419</v>
      </c>
      <c r="F630" t="str">
        <f t="shared" ca="1" si="113"/>
        <v>Heart Failure</v>
      </c>
      <c r="G630" t="str">
        <f t="shared" ca="1" si="114"/>
        <v>Medication</v>
      </c>
      <c r="H630">
        <f t="shared" ca="1" si="115"/>
        <v>13</v>
      </c>
      <c r="I630" t="str">
        <f t="shared" ca="1" si="116"/>
        <v>No</v>
      </c>
      <c r="J630">
        <f t="shared" ca="1" si="117"/>
        <v>1</v>
      </c>
      <c r="K630" t="str">
        <f t="shared" ca="1" si="118"/>
        <v>None</v>
      </c>
      <c r="L630" t="str">
        <f t="shared" ca="1" si="119"/>
        <v>ICU</v>
      </c>
    </row>
    <row r="631" spans="1:12" x14ac:dyDescent="0.25">
      <c r="A631">
        <f t="shared" si="108"/>
        <v>630</v>
      </c>
      <c r="B631">
        <f t="shared" ca="1" si="109"/>
        <v>72</v>
      </c>
      <c r="C631" t="str">
        <f t="shared" ca="1" si="110"/>
        <v>Male</v>
      </c>
      <c r="D631" s="1">
        <f t="shared" ca="1" si="111"/>
        <v>45401</v>
      </c>
      <c r="E631" s="1">
        <f t="shared" ca="1" si="112"/>
        <v>45414</v>
      </c>
      <c r="F631" t="str">
        <f t="shared" ca="1" si="113"/>
        <v>Heart Failure</v>
      </c>
      <c r="G631" t="str">
        <f t="shared" ca="1" si="114"/>
        <v>Medication</v>
      </c>
      <c r="H631">
        <f t="shared" ca="1" si="115"/>
        <v>13</v>
      </c>
      <c r="I631" t="str">
        <f t="shared" ca="1" si="116"/>
        <v>Yes</v>
      </c>
      <c r="J631">
        <f t="shared" ca="1" si="117"/>
        <v>1</v>
      </c>
      <c r="K631" t="str">
        <f t="shared" ca="1" si="118"/>
        <v>Public</v>
      </c>
      <c r="L631" t="str">
        <f t="shared" ca="1" si="119"/>
        <v>ICU</v>
      </c>
    </row>
    <row r="632" spans="1:12" x14ac:dyDescent="0.25">
      <c r="A632">
        <f t="shared" si="108"/>
        <v>631</v>
      </c>
      <c r="B632">
        <f t="shared" ca="1" si="109"/>
        <v>71</v>
      </c>
      <c r="C632" t="str">
        <f t="shared" ca="1" si="110"/>
        <v>Male</v>
      </c>
      <c r="D632" s="1">
        <f t="shared" ca="1" si="111"/>
        <v>45572</v>
      </c>
      <c r="E632" s="1">
        <f t="shared" ca="1" si="112"/>
        <v>45585</v>
      </c>
      <c r="F632" t="str">
        <f t="shared" ca="1" si="113"/>
        <v>Stroke</v>
      </c>
      <c r="G632" t="str">
        <f t="shared" ca="1" si="114"/>
        <v>Medication</v>
      </c>
      <c r="H632">
        <f t="shared" ca="1" si="115"/>
        <v>13</v>
      </c>
      <c r="I632" t="str">
        <f t="shared" ca="1" si="116"/>
        <v>No</v>
      </c>
      <c r="J632">
        <f t="shared" ca="1" si="117"/>
        <v>2</v>
      </c>
      <c r="K632" t="str">
        <f t="shared" ca="1" si="118"/>
        <v>Private</v>
      </c>
      <c r="L632" t="str">
        <f t="shared" ca="1" si="119"/>
        <v>ICU</v>
      </c>
    </row>
    <row r="633" spans="1:12" x14ac:dyDescent="0.25">
      <c r="A633">
        <f t="shared" si="108"/>
        <v>632</v>
      </c>
      <c r="B633">
        <f t="shared" ca="1" si="109"/>
        <v>35</v>
      </c>
      <c r="C633" t="str">
        <f t="shared" ca="1" si="110"/>
        <v>Female</v>
      </c>
      <c r="D633" s="1">
        <f t="shared" ca="1" si="111"/>
        <v>45446</v>
      </c>
      <c r="E633" s="1">
        <f t="shared" ca="1" si="112"/>
        <v>45451</v>
      </c>
      <c r="F633" t="str">
        <f t="shared" ca="1" si="113"/>
        <v>Heart Failure</v>
      </c>
      <c r="G633" t="str">
        <f t="shared" ca="1" si="114"/>
        <v>Surgery</v>
      </c>
      <c r="H633">
        <f t="shared" ca="1" si="115"/>
        <v>5</v>
      </c>
      <c r="I633" t="str">
        <f t="shared" ca="1" si="116"/>
        <v>No</v>
      </c>
      <c r="J633">
        <f t="shared" ca="1" si="117"/>
        <v>3</v>
      </c>
      <c r="K633" t="str">
        <f t="shared" ca="1" si="118"/>
        <v>Public</v>
      </c>
      <c r="L633" t="str">
        <f t="shared" ca="1" si="119"/>
        <v>ICU</v>
      </c>
    </row>
    <row r="634" spans="1:12" x14ac:dyDescent="0.25">
      <c r="A634">
        <f t="shared" si="108"/>
        <v>633</v>
      </c>
      <c r="B634">
        <f t="shared" ca="1" si="109"/>
        <v>22</v>
      </c>
      <c r="C634" t="str">
        <f t="shared" ca="1" si="110"/>
        <v>Female</v>
      </c>
      <c r="D634" s="1">
        <f t="shared" ca="1" si="111"/>
        <v>45584</v>
      </c>
      <c r="E634" s="1">
        <f t="shared" ca="1" si="112"/>
        <v>45595</v>
      </c>
      <c r="F634" t="str">
        <f t="shared" ca="1" si="113"/>
        <v>Stroke</v>
      </c>
      <c r="G634" t="str">
        <f t="shared" ca="1" si="114"/>
        <v>Therapy</v>
      </c>
      <c r="H634">
        <f t="shared" ca="1" si="115"/>
        <v>11</v>
      </c>
      <c r="I634" t="str">
        <f t="shared" ca="1" si="116"/>
        <v>No</v>
      </c>
      <c r="J634">
        <f t="shared" ca="1" si="117"/>
        <v>1</v>
      </c>
      <c r="K634" t="str">
        <f t="shared" ca="1" si="118"/>
        <v>None</v>
      </c>
      <c r="L634" t="str">
        <f t="shared" ca="1" si="119"/>
        <v>Neurology</v>
      </c>
    </row>
    <row r="635" spans="1:12" x14ac:dyDescent="0.25">
      <c r="A635">
        <f t="shared" si="108"/>
        <v>634</v>
      </c>
      <c r="B635">
        <f t="shared" ca="1" si="109"/>
        <v>36</v>
      </c>
      <c r="C635" t="str">
        <f t="shared" ca="1" si="110"/>
        <v>Female</v>
      </c>
      <c r="D635" s="1">
        <f t="shared" ca="1" si="111"/>
        <v>45646</v>
      </c>
      <c r="E635" s="1">
        <f t="shared" ca="1" si="112"/>
        <v>45649</v>
      </c>
      <c r="F635" t="str">
        <f t="shared" ca="1" si="113"/>
        <v>Diabetes</v>
      </c>
      <c r="G635" t="str">
        <f t="shared" ca="1" si="114"/>
        <v>Therapy</v>
      </c>
      <c r="H635">
        <f t="shared" ca="1" si="115"/>
        <v>3</v>
      </c>
      <c r="I635" t="str">
        <f t="shared" ca="1" si="116"/>
        <v>Yes</v>
      </c>
      <c r="J635">
        <f t="shared" ca="1" si="117"/>
        <v>1</v>
      </c>
      <c r="K635" t="str">
        <f t="shared" ca="1" si="118"/>
        <v>Public</v>
      </c>
      <c r="L635" t="str">
        <f t="shared" ca="1" si="119"/>
        <v>ER</v>
      </c>
    </row>
    <row r="636" spans="1:12" x14ac:dyDescent="0.25">
      <c r="A636">
        <f t="shared" si="108"/>
        <v>635</v>
      </c>
      <c r="B636">
        <f t="shared" ca="1" si="109"/>
        <v>30</v>
      </c>
      <c r="C636" t="str">
        <f t="shared" ca="1" si="110"/>
        <v>Male</v>
      </c>
      <c r="D636" s="1">
        <f t="shared" ca="1" si="111"/>
        <v>45595</v>
      </c>
      <c r="E636" s="1">
        <f t="shared" ca="1" si="112"/>
        <v>45606</v>
      </c>
      <c r="F636" t="str">
        <f t="shared" ca="1" si="113"/>
        <v>Heart Failure</v>
      </c>
      <c r="G636" t="str">
        <f t="shared" ca="1" si="114"/>
        <v>Surgery</v>
      </c>
      <c r="H636">
        <f t="shared" ca="1" si="115"/>
        <v>11</v>
      </c>
      <c r="I636" t="str">
        <f t="shared" ca="1" si="116"/>
        <v>No</v>
      </c>
      <c r="J636">
        <f t="shared" ca="1" si="117"/>
        <v>1</v>
      </c>
      <c r="K636" t="str">
        <f t="shared" ca="1" si="118"/>
        <v>None</v>
      </c>
      <c r="L636" t="str">
        <f t="shared" ca="1" si="119"/>
        <v>Neurology</v>
      </c>
    </row>
    <row r="637" spans="1:12" x14ac:dyDescent="0.25">
      <c r="A637">
        <f t="shared" si="108"/>
        <v>636</v>
      </c>
      <c r="B637">
        <f t="shared" ca="1" si="109"/>
        <v>55</v>
      </c>
      <c r="C637" t="str">
        <f t="shared" ca="1" si="110"/>
        <v>Male</v>
      </c>
      <c r="D637" s="1">
        <f t="shared" ca="1" si="111"/>
        <v>45497</v>
      </c>
      <c r="E637" s="1">
        <f t="shared" ca="1" si="112"/>
        <v>45504</v>
      </c>
      <c r="F637" t="str">
        <f t="shared" ca="1" si="113"/>
        <v>Heart Failure</v>
      </c>
      <c r="G637" t="str">
        <f t="shared" ca="1" si="114"/>
        <v>Therapy</v>
      </c>
      <c r="H637">
        <f t="shared" ca="1" si="115"/>
        <v>7</v>
      </c>
      <c r="I637" t="str">
        <f t="shared" ca="1" si="116"/>
        <v>No</v>
      </c>
      <c r="J637">
        <f t="shared" ca="1" si="117"/>
        <v>4</v>
      </c>
      <c r="K637" t="str">
        <f t="shared" ca="1" si="118"/>
        <v>None</v>
      </c>
      <c r="L637" t="str">
        <f t="shared" ca="1" si="119"/>
        <v>General</v>
      </c>
    </row>
    <row r="638" spans="1:12" x14ac:dyDescent="0.25">
      <c r="A638">
        <f t="shared" si="108"/>
        <v>637</v>
      </c>
      <c r="B638">
        <f t="shared" ca="1" si="109"/>
        <v>56</v>
      </c>
      <c r="C638" t="str">
        <f t="shared" ca="1" si="110"/>
        <v>Male</v>
      </c>
      <c r="D638" s="1">
        <f t="shared" ca="1" si="111"/>
        <v>45547</v>
      </c>
      <c r="E638" s="1">
        <f t="shared" ca="1" si="112"/>
        <v>45560</v>
      </c>
      <c r="F638" t="str">
        <f t="shared" ca="1" si="113"/>
        <v>Hypertension</v>
      </c>
      <c r="G638" t="str">
        <f t="shared" ca="1" si="114"/>
        <v>Therapy</v>
      </c>
      <c r="H638">
        <f t="shared" ca="1" si="115"/>
        <v>13</v>
      </c>
      <c r="I638" t="str">
        <f t="shared" ca="1" si="116"/>
        <v>No</v>
      </c>
      <c r="J638">
        <f t="shared" ca="1" si="117"/>
        <v>1</v>
      </c>
      <c r="K638" t="str">
        <f t="shared" ca="1" si="118"/>
        <v>Public</v>
      </c>
      <c r="L638" t="str">
        <f t="shared" ca="1" si="119"/>
        <v>Neurology</v>
      </c>
    </row>
    <row r="639" spans="1:12" x14ac:dyDescent="0.25">
      <c r="A639">
        <f t="shared" si="108"/>
        <v>638</v>
      </c>
      <c r="B639">
        <f t="shared" ca="1" si="109"/>
        <v>24</v>
      </c>
      <c r="C639" t="str">
        <f t="shared" ca="1" si="110"/>
        <v>Female</v>
      </c>
      <c r="D639" s="1">
        <f t="shared" ca="1" si="111"/>
        <v>45652</v>
      </c>
      <c r="E639" s="1">
        <f t="shared" ca="1" si="112"/>
        <v>45655</v>
      </c>
      <c r="F639" t="str">
        <f t="shared" ca="1" si="113"/>
        <v>Pneumonia</v>
      </c>
      <c r="G639" t="str">
        <f t="shared" ca="1" si="114"/>
        <v>Therapy</v>
      </c>
      <c r="H639">
        <f t="shared" ca="1" si="115"/>
        <v>3</v>
      </c>
      <c r="I639" t="str">
        <f t="shared" ca="1" si="116"/>
        <v>Yes</v>
      </c>
      <c r="J639">
        <f t="shared" ca="1" si="117"/>
        <v>2</v>
      </c>
      <c r="K639" t="str">
        <f t="shared" ca="1" si="118"/>
        <v>Public</v>
      </c>
      <c r="L639" t="str">
        <f t="shared" ca="1" si="119"/>
        <v>Cardiology</v>
      </c>
    </row>
    <row r="640" spans="1:12" x14ac:dyDescent="0.25">
      <c r="A640">
        <f t="shared" si="108"/>
        <v>639</v>
      </c>
      <c r="B640">
        <f t="shared" ca="1" si="109"/>
        <v>32</v>
      </c>
      <c r="C640" t="str">
        <f t="shared" ca="1" si="110"/>
        <v>Male</v>
      </c>
      <c r="D640" s="1">
        <f t="shared" ca="1" si="111"/>
        <v>45394</v>
      </c>
      <c r="E640" s="1">
        <f t="shared" ca="1" si="112"/>
        <v>45401</v>
      </c>
      <c r="F640" t="str">
        <f t="shared" ca="1" si="113"/>
        <v>Pneumonia</v>
      </c>
      <c r="G640" t="str">
        <f t="shared" ca="1" si="114"/>
        <v>Surgery</v>
      </c>
      <c r="H640">
        <f t="shared" ca="1" si="115"/>
        <v>7</v>
      </c>
      <c r="I640" t="str">
        <f t="shared" ca="1" si="116"/>
        <v>No</v>
      </c>
      <c r="J640">
        <f t="shared" ca="1" si="117"/>
        <v>2</v>
      </c>
      <c r="K640" t="str">
        <f t="shared" ca="1" si="118"/>
        <v>None</v>
      </c>
      <c r="L640" t="str">
        <f t="shared" ca="1" si="119"/>
        <v>General</v>
      </c>
    </row>
    <row r="641" spans="1:12" x14ac:dyDescent="0.25">
      <c r="A641">
        <f t="shared" si="108"/>
        <v>640</v>
      </c>
      <c r="B641">
        <f t="shared" ca="1" si="109"/>
        <v>56</v>
      </c>
      <c r="C641" t="str">
        <f t="shared" ca="1" si="110"/>
        <v>Male</v>
      </c>
      <c r="D641" s="1">
        <f t="shared" ca="1" si="111"/>
        <v>45561</v>
      </c>
      <c r="E641" s="1">
        <f t="shared" ca="1" si="112"/>
        <v>45573</v>
      </c>
      <c r="F641" t="str">
        <f t="shared" ca="1" si="113"/>
        <v>Hypertension</v>
      </c>
      <c r="G641" t="str">
        <f t="shared" ca="1" si="114"/>
        <v>Therapy</v>
      </c>
      <c r="H641">
        <f t="shared" ca="1" si="115"/>
        <v>12</v>
      </c>
      <c r="I641" t="str">
        <f t="shared" ca="1" si="116"/>
        <v>Yes</v>
      </c>
      <c r="J641">
        <f t="shared" ca="1" si="117"/>
        <v>2</v>
      </c>
      <c r="K641" t="str">
        <f t="shared" ca="1" si="118"/>
        <v>Private</v>
      </c>
      <c r="L641" t="str">
        <f t="shared" ca="1" si="119"/>
        <v>ER</v>
      </c>
    </row>
    <row r="642" spans="1:12" x14ac:dyDescent="0.25">
      <c r="A642">
        <f t="shared" si="108"/>
        <v>641</v>
      </c>
      <c r="B642">
        <f t="shared" ca="1" si="109"/>
        <v>45</v>
      </c>
      <c r="C642" t="str">
        <f t="shared" ca="1" si="110"/>
        <v>Male</v>
      </c>
      <c r="D642" s="1">
        <f t="shared" ca="1" si="111"/>
        <v>45422</v>
      </c>
      <c r="E642" s="1">
        <f t="shared" ca="1" si="112"/>
        <v>45437</v>
      </c>
      <c r="F642" t="str">
        <f t="shared" ca="1" si="113"/>
        <v>Pneumonia</v>
      </c>
      <c r="G642" t="str">
        <f t="shared" ca="1" si="114"/>
        <v>Medication</v>
      </c>
      <c r="H642">
        <f t="shared" ca="1" si="115"/>
        <v>15</v>
      </c>
      <c r="I642" t="str">
        <f t="shared" ca="1" si="116"/>
        <v>Yes</v>
      </c>
      <c r="J642">
        <f t="shared" ca="1" si="117"/>
        <v>0</v>
      </c>
      <c r="K642" t="str">
        <f t="shared" ca="1" si="118"/>
        <v>None</v>
      </c>
      <c r="L642" t="str">
        <f t="shared" ca="1" si="119"/>
        <v>ER</v>
      </c>
    </row>
    <row r="643" spans="1:12" x14ac:dyDescent="0.25">
      <c r="A643">
        <f t="shared" ref="A643:A706" si="120">ROW() -1</f>
        <v>642</v>
      </c>
      <c r="B643">
        <f t="shared" ref="B643:B706" ca="1" si="121">RANDBETWEEN(20,90)</f>
        <v>72</v>
      </c>
      <c r="C643" t="str">
        <f t="shared" ref="C643:C706" ca="1" si="122">IF(RAND()&lt;0.5,"Male","Female")</f>
        <v>Female</v>
      </c>
      <c r="D643" s="1">
        <f t="shared" ref="D643:D706" ca="1" si="123">DATE(2024,1,1)+RANDBETWEEN(0,364)</f>
        <v>45429</v>
      </c>
      <c r="E643" s="1">
        <f t="shared" ref="E643:E706" ca="1" si="124">D643+RANDBETWEEN(1,15)</f>
        <v>45437</v>
      </c>
      <c r="F643" t="str">
        <f t="shared" ref="F643:F706" ca="1" si="125">CHOOSE(RANDBETWEEN(1,5),"Diabetes","Heart Failure","Pneumonia","Stroke","Hypertension")</f>
        <v>Diabetes</v>
      </c>
      <c r="G643" t="str">
        <f t="shared" ref="G643:G706" ca="1" si="126">CHOOSE(RANDBETWEEN(1,3),"Medication","Surgery","Therapy")</f>
        <v>Therapy</v>
      </c>
      <c r="H643">
        <f t="shared" ref="H643:H706" ca="1" si="127">DATEDIF(D643,E643,"D")</f>
        <v>8</v>
      </c>
      <c r="I643" t="str">
        <f t="shared" ref="I643:I706" ca="1" si="128">IF(RAND()&lt;0.3,"Yes","No")</f>
        <v>No</v>
      </c>
      <c r="J643">
        <f t="shared" ref="J643:J706" ca="1" si="129">RANDBETWEEN(0,4)</f>
        <v>4</v>
      </c>
      <c r="K643" t="str">
        <f t="shared" ref="K643:K706" ca="1" si="130">CHOOSE(RANDBETWEEN(1,3),"Private","Public","None")</f>
        <v>Public</v>
      </c>
      <c r="L643" t="str">
        <f t="shared" ref="L643:L706" ca="1" si="131">CHOOSE(RANDBETWEEN(1,5),"ER","Cardiology","Neurology","General","ICU")</f>
        <v>ER</v>
      </c>
    </row>
    <row r="644" spans="1:12" x14ac:dyDescent="0.25">
      <c r="A644">
        <f t="shared" si="120"/>
        <v>643</v>
      </c>
      <c r="B644">
        <f t="shared" ca="1" si="121"/>
        <v>55</v>
      </c>
      <c r="C644" t="str">
        <f t="shared" ca="1" si="122"/>
        <v>Female</v>
      </c>
      <c r="D644" s="1">
        <f t="shared" ca="1" si="123"/>
        <v>45509</v>
      </c>
      <c r="E644" s="1">
        <f t="shared" ca="1" si="124"/>
        <v>45511</v>
      </c>
      <c r="F644" t="str">
        <f t="shared" ca="1" si="125"/>
        <v>Heart Failure</v>
      </c>
      <c r="G644" t="str">
        <f t="shared" ca="1" si="126"/>
        <v>Therapy</v>
      </c>
      <c r="H644">
        <f t="shared" ca="1" si="127"/>
        <v>2</v>
      </c>
      <c r="I644" t="str">
        <f t="shared" ca="1" si="128"/>
        <v>No</v>
      </c>
      <c r="J644">
        <f t="shared" ca="1" si="129"/>
        <v>0</v>
      </c>
      <c r="K644" t="str">
        <f t="shared" ca="1" si="130"/>
        <v>Private</v>
      </c>
      <c r="L644" t="str">
        <f t="shared" ca="1" si="131"/>
        <v>ER</v>
      </c>
    </row>
    <row r="645" spans="1:12" x14ac:dyDescent="0.25">
      <c r="A645">
        <f t="shared" si="120"/>
        <v>644</v>
      </c>
      <c r="B645">
        <f t="shared" ca="1" si="121"/>
        <v>26</v>
      </c>
      <c r="C645" t="str">
        <f t="shared" ca="1" si="122"/>
        <v>Female</v>
      </c>
      <c r="D645" s="1">
        <f t="shared" ca="1" si="123"/>
        <v>45499</v>
      </c>
      <c r="E645" s="1">
        <f t="shared" ca="1" si="124"/>
        <v>45502</v>
      </c>
      <c r="F645" t="str">
        <f t="shared" ca="1" si="125"/>
        <v>Hypertension</v>
      </c>
      <c r="G645" t="str">
        <f t="shared" ca="1" si="126"/>
        <v>Therapy</v>
      </c>
      <c r="H645">
        <f t="shared" ca="1" si="127"/>
        <v>3</v>
      </c>
      <c r="I645" t="str">
        <f t="shared" ca="1" si="128"/>
        <v>No</v>
      </c>
      <c r="J645">
        <f t="shared" ca="1" si="129"/>
        <v>2</v>
      </c>
      <c r="K645" t="str">
        <f t="shared" ca="1" si="130"/>
        <v>Private</v>
      </c>
      <c r="L645" t="str">
        <f t="shared" ca="1" si="131"/>
        <v>ICU</v>
      </c>
    </row>
    <row r="646" spans="1:12" x14ac:dyDescent="0.25">
      <c r="A646">
        <f t="shared" si="120"/>
        <v>645</v>
      </c>
      <c r="B646">
        <f t="shared" ca="1" si="121"/>
        <v>27</v>
      </c>
      <c r="C646" t="str">
        <f t="shared" ca="1" si="122"/>
        <v>Female</v>
      </c>
      <c r="D646" s="1">
        <f t="shared" ca="1" si="123"/>
        <v>45600</v>
      </c>
      <c r="E646" s="1">
        <f t="shared" ca="1" si="124"/>
        <v>45605</v>
      </c>
      <c r="F646" t="str">
        <f t="shared" ca="1" si="125"/>
        <v>Hypertension</v>
      </c>
      <c r="G646" t="str">
        <f t="shared" ca="1" si="126"/>
        <v>Surgery</v>
      </c>
      <c r="H646">
        <f t="shared" ca="1" si="127"/>
        <v>5</v>
      </c>
      <c r="I646" t="str">
        <f t="shared" ca="1" si="128"/>
        <v>Yes</v>
      </c>
      <c r="J646">
        <f t="shared" ca="1" si="129"/>
        <v>1</v>
      </c>
      <c r="K646" t="str">
        <f t="shared" ca="1" si="130"/>
        <v>None</v>
      </c>
      <c r="L646" t="str">
        <f t="shared" ca="1" si="131"/>
        <v>Cardiology</v>
      </c>
    </row>
    <row r="647" spans="1:12" x14ac:dyDescent="0.25">
      <c r="A647">
        <f t="shared" si="120"/>
        <v>646</v>
      </c>
      <c r="B647">
        <f t="shared" ca="1" si="121"/>
        <v>53</v>
      </c>
      <c r="C647" t="str">
        <f t="shared" ca="1" si="122"/>
        <v>Female</v>
      </c>
      <c r="D647" s="1">
        <f t="shared" ca="1" si="123"/>
        <v>45645</v>
      </c>
      <c r="E647" s="1">
        <f t="shared" ca="1" si="124"/>
        <v>45651</v>
      </c>
      <c r="F647" t="str">
        <f t="shared" ca="1" si="125"/>
        <v>Heart Failure</v>
      </c>
      <c r="G647" t="str">
        <f t="shared" ca="1" si="126"/>
        <v>Medication</v>
      </c>
      <c r="H647">
        <f t="shared" ca="1" si="127"/>
        <v>6</v>
      </c>
      <c r="I647" t="str">
        <f t="shared" ca="1" si="128"/>
        <v>No</v>
      </c>
      <c r="J647">
        <f t="shared" ca="1" si="129"/>
        <v>4</v>
      </c>
      <c r="K647" t="str">
        <f t="shared" ca="1" si="130"/>
        <v>Public</v>
      </c>
      <c r="L647" t="str">
        <f t="shared" ca="1" si="131"/>
        <v>Neurology</v>
      </c>
    </row>
    <row r="648" spans="1:12" x14ac:dyDescent="0.25">
      <c r="A648">
        <f t="shared" si="120"/>
        <v>647</v>
      </c>
      <c r="B648">
        <f t="shared" ca="1" si="121"/>
        <v>56</v>
      </c>
      <c r="C648" t="str">
        <f t="shared" ca="1" si="122"/>
        <v>Male</v>
      </c>
      <c r="D648" s="1">
        <f t="shared" ca="1" si="123"/>
        <v>45634</v>
      </c>
      <c r="E648" s="1">
        <f t="shared" ca="1" si="124"/>
        <v>45645</v>
      </c>
      <c r="F648" t="str">
        <f t="shared" ca="1" si="125"/>
        <v>Stroke</v>
      </c>
      <c r="G648" t="str">
        <f t="shared" ca="1" si="126"/>
        <v>Medication</v>
      </c>
      <c r="H648">
        <f t="shared" ca="1" si="127"/>
        <v>11</v>
      </c>
      <c r="I648" t="str">
        <f t="shared" ca="1" si="128"/>
        <v>No</v>
      </c>
      <c r="J648">
        <f t="shared" ca="1" si="129"/>
        <v>3</v>
      </c>
      <c r="K648" t="str">
        <f t="shared" ca="1" si="130"/>
        <v>Public</v>
      </c>
      <c r="L648" t="str">
        <f t="shared" ca="1" si="131"/>
        <v>Neurology</v>
      </c>
    </row>
    <row r="649" spans="1:12" x14ac:dyDescent="0.25">
      <c r="A649">
        <f t="shared" si="120"/>
        <v>648</v>
      </c>
      <c r="B649">
        <f t="shared" ca="1" si="121"/>
        <v>55</v>
      </c>
      <c r="C649" t="str">
        <f t="shared" ca="1" si="122"/>
        <v>Female</v>
      </c>
      <c r="D649" s="1">
        <f t="shared" ca="1" si="123"/>
        <v>45399</v>
      </c>
      <c r="E649" s="1">
        <f t="shared" ca="1" si="124"/>
        <v>45408</v>
      </c>
      <c r="F649" t="str">
        <f t="shared" ca="1" si="125"/>
        <v>Stroke</v>
      </c>
      <c r="G649" t="str">
        <f t="shared" ca="1" si="126"/>
        <v>Surgery</v>
      </c>
      <c r="H649">
        <f t="shared" ca="1" si="127"/>
        <v>9</v>
      </c>
      <c r="I649" t="str">
        <f t="shared" ca="1" si="128"/>
        <v>No</v>
      </c>
      <c r="J649">
        <f t="shared" ca="1" si="129"/>
        <v>3</v>
      </c>
      <c r="K649" t="str">
        <f t="shared" ca="1" si="130"/>
        <v>Public</v>
      </c>
      <c r="L649" t="str">
        <f t="shared" ca="1" si="131"/>
        <v>Cardiology</v>
      </c>
    </row>
    <row r="650" spans="1:12" x14ac:dyDescent="0.25">
      <c r="A650">
        <f t="shared" si="120"/>
        <v>649</v>
      </c>
      <c r="B650">
        <f t="shared" ca="1" si="121"/>
        <v>46</v>
      </c>
      <c r="C650" t="str">
        <f t="shared" ca="1" si="122"/>
        <v>Male</v>
      </c>
      <c r="D650" s="1">
        <f t="shared" ca="1" si="123"/>
        <v>45580</v>
      </c>
      <c r="E650" s="1">
        <f t="shared" ca="1" si="124"/>
        <v>45588</v>
      </c>
      <c r="F650" t="str">
        <f t="shared" ca="1" si="125"/>
        <v>Heart Failure</v>
      </c>
      <c r="G650" t="str">
        <f t="shared" ca="1" si="126"/>
        <v>Therapy</v>
      </c>
      <c r="H650">
        <f t="shared" ca="1" si="127"/>
        <v>8</v>
      </c>
      <c r="I650" t="str">
        <f t="shared" ca="1" si="128"/>
        <v>No</v>
      </c>
      <c r="J650">
        <f t="shared" ca="1" si="129"/>
        <v>1</v>
      </c>
      <c r="K650" t="str">
        <f t="shared" ca="1" si="130"/>
        <v>None</v>
      </c>
      <c r="L650" t="str">
        <f t="shared" ca="1" si="131"/>
        <v>Cardiology</v>
      </c>
    </row>
    <row r="651" spans="1:12" x14ac:dyDescent="0.25">
      <c r="A651">
        <f t="shared" si="120"/>
        <v>650</v>
      </c>
      <c r="B651">
        <f t="shared" ca="1" si="121"/>
        <v>47</v>
      </c>
      <c r="C651" t="str">
        <f t="shared" ca="1" si="122"/>
        <v>Female</v>
      </c>
      <c r="D651" s="1">
        <f t="shared" ca="1" si="123"/>
        <v>45627</v>
      </c>
      <c r="E651" s="1">
        <f t="shared" ca="1" si="124"/>
        <v>45632</v>
      </c>
      <c r="F651" t="str">
        <f t="shared" ca="1" si="125"/>
        <v>Hypertension</v>
      </c>
      <c r="G651" t="str">
        <f t="shared" ca="1" si="126"/>
        <v>Medication</v>
      </c>
      <c r="H651">
        <f t="shared" ca="1" si="127"/>
        <v>5</v>
      </c>
      <c r="I651" t="str">
        <f t="shared" ca="1" si="128"/>
        <v>Yes</v>
      </c>
      <c r="J651">
        <f t="shared" ca="1" si="129"/>
        <v>0</v>
      </c>
      <c r="K651" t="str">
        <f t="shared" ca="1" si="130"/>
        <v>None</v>
      </c>
      <c r="L651" t="str">
        <f t="shared" ca="1" si="131"/>
        <v>Neurology</v>
      </c>
    </row>
    <row r="652" spans="1:12" x14ac:dyDescent="0.25">
      <c r="A652">
        <f t="shared" si="120"/>
        <v>651</v>
      </c>
      <c r="B652">
        <f t="shared" ca="1" si="121"/>
        <v>62</v>
      </c>
      <c r="C652" t="str">
        <f t="shared" ca="1" si="122"/>
        <v>Female</v>
      </c>
      <c r="D652" s="1">
        <f t="shared" ca="1" si="123"/>
        <v>45406</v>
      </c>
      <c r="E652" s="1">
        <f t="shared" ca="1" si="124"/>
        <v>45410</v>
      </c>
      <c r="F652" t="str">
        <f t="shared" ca="1" si="125"/>
        <v>Hypertension</v>
      </c>
      <c r="G652" t="str">
        <f t="shared" ca="1" si="126"/>
        <v>Surgery</v>
      </c>
      <c r="H652">
        <f t="shared" ca="1" si="127"/>
        <v>4</v>
      </c>
      <c r="I652" t="str">
        <f t="shared" ca="1" si="128"/>
        <v>No</v>
      </c>
      <c r="J652">
        <f t="shared" ca="1" si="129"/>
        <v>3</v>
      </c>
      <c r="K652" t="str">
        <f t="shared" ca="1" si="130"/>
        <v>Private</v>
      </c>
      <c r="L652" t="str">
        <f t="shared" ca="1" si="131"/>
        <v>General</v>
      </c>
    </row>
    <row r="653" spans="1:12" x14ac:dyDescent="0.25">
      <c r="A653">
        <f t="shared" si="120"/>
        <v>652</v>
      </c>
      <c r="B653">
        <f t="shared" ca="1" si="121"/>
        <v>59</v>
      </c>
      <c r="C653" t="str">
        <f t="shared" ca="1" si="122"/>
        <v>Female</v>
      </c>
      <c r="D653" s="1">
        <f t="shared" ca="1" si="123"/>
        <v>45599</v>
      </c>
      <c r="E653" s="1">
        <f t="shared" ca="1" si="124"/>
        <v>45600</v>
      </c>
      <c r="F653" t="str">
        <f t="shared" ca="1" si="125"/>
        <v>Diabetes</v>
      </c>
      <c r="G653" t="str">
        <f t="shared" ca="1" si="126"/>
        <v>Surgery</v>
      </c>
      <c r="H653">
        <f t="shared" ca="1" si="127"/>
        <v>1</v>
      </c>
      <c r="I653" t="str">
        <f t="shared" ca="1" si="128"/>
        <v>No</v>
      </c>
      <c r="J653">
        <f t="shared" ca="1" si="129"/>
        <v>3</v>
      </c>
      <c r="K653" t="str">
        <f t="shared" ca="1" si="130"/>
        <v>Private</v>
      </c>
      <c r="L653" t="str">
        <f t="shared" ca="1" si="131"/>
        <v>ICU</v>
      </c>
    </row>
    <row r="654" spans="1:12" x14ac:dyDescent="0.25">
      <c r="A654">
        <f t="shared" si="120"/>
        <v>653</v>
      </c>
      <c r="B654">
        <f t="shared" ca="1" si="121"/>
        <v>31</v>
      </c>
      <c r="C654" t="str">
        <f t="shared" ca="1" si="122"/>
        <v>Female</v>
      </c>
      <c r="D654" s="1">
        <f t="shared" ca="1" si="123"/>
        <v>45524</v>
      </c>
      <c r="E654" s="1">
        <f t="shared" ca="1" si="124"/>
        <v>45525</v>
      </c>
      <c r="F654" t="str">
        <f t="shared" ca="1" si="125"/>
        <v>Pneumonia</v>
      </c>
      <c r="G654" t="str">
        <f t="shared" ca="1" si="126"/>
        <v>Medication</v>
      </c>
      <c r="H654">
        <f t="shared" ca="1" si="127"/>
        <v>1</v>
      </c>
      <c r="I654" t="str">
        <f t="shared" ca="1" si="128"/>
        <v>Yes</v>
      </c>
      <c r="J654">
        <f t="shared" ca="1" si="129"/>
        <v>1</v>
      </c>
      <c r="K654" t="str">
        <f t="shared" ca="1" si="130"/>
        <v>Private</v>
      </c>
      <c r="L654" t="str">
        <f t="shared" ca="1" si="131"/>
        <v>General</v>
      </c>
    </row>
    <row r="655" spans="1:12" x14ac:dyDescent="0.25">
      <c r="A655">
        <f t="shared" si="120"/>
        <v>654</v>
      </c>
      <c r="B655">
        <f t="shared" ca="1" si="121"/>
        <v>85</v>
      </c>
      <c r="C655" t="str">
        <f t="shared" ca="1" si="122"/>
        <v>Male</v>
      </c>
      <c r="D655" s="1">
        <f t="shared" ca="1" si="123"/>
        <v>45370</v>
      </c>
      <c r="E655" s="1">
        <f t="shared" ca="1" si="124"/>
        <v>45376</v>
      </c>
      <c r="F655" t="str">
        <f t="shared" ca="1" si="125"/>
        <v>Pneumonia</v>
      </c>
      <c r="G655" t="str">
        <f t="shared" ca="1" si="126"/>
        <v>Medication</v>
      </c>
      <c r="H655">
        <f t="shared" ca="1" si="127"/>
        <v>6</v>
      </c>
      <c r="I655" t="str">
        <f t="shared" ca="1" si="128"/>
        <v>Yes</v>
      </c>
      <c r="J655">
        <f t="shared" ca="1" si="129"/>
        <v>1</v>
      </c>
      <c r="K655" t="str">
        <f t="shared" ca="1" si="130"/>
        <v>Private</v>
      </c>
      <c r="L655" t="str">
        <f t="shared" ca="1" si="131"/>
        <v>ICU</v>
      </c>
    </row>
    <row r="656" spans="1:12" x14ac:dyDescent="0.25">
      <c r="A656">
        <f t="shared" si="120"/>
        <v>655</v>
      </c>
      <c r="B656">
        <f t="shared" ca="1" si="121"/>
        <v>86</v>
      </c>
      <c r="C656" t="str">
        <f t="shared" ca="1" si="122"/>
        <v>Female</v>
      </c>
      <c r="D656" s="1">
        <f t="shared" ca="1" si="123"/>
        <v>45530</v>
      </c>
      <c r="E656" s="1">
        <f t="shared" ca="1" si="124"/>
        <v>45536</v>
      </c>
      <c r="F656" t="str">
        <f t="shared" ca="1" si="125"/>
        <v>Diabetes</v>
      </c>
      <c r="G656" t="str">
        <f t="shared" ca="1" si="126"/>
        <v>Surgery</v>
      </c>
      <c r="H656">
        <f t="shared" ca="1" si="127"/>
        <v>6</v>
      </c>
      <c r="I656" t="str">
        <f t="shared" ca="1" si="128"/>
        <v>Yes</v>
      </c>
      <c r="J656">
        <f t="shared" ca="1" si="129"/>
        <v>2</v>
      </c>
      <c r="K656" t="str">
        <f t="shared" ca="1" si="130"/>
        <v>Private</v>
      </c>
      <c r="L656" t="str">
        <f t="shared" ca="1" si="131"/>
        <v>Neurology</v>
      </c>
    </row>
    <row r="657" spans="1:12" x14ac:dyDescent="0.25">
      <c r="A657">
        <f t="shared" si="120"/>
        <v>656</v>
      </c>
      <c r="B657">
        <f t="shared" ca="1" si="121"/>
        <v>90</v>
      </c>
      <c r="C657" t="str">
        <f t="shared" ca="1" si="122"/>
        <v>Female</v>
      </c>
      <c r="D657" s="1">
        <f t="shared" ca="1" si="123"/>
        <v>45410</v>
      </c>
      <c r="E657" s="1">
        <f t="shared" ca="1" si="124"/>
        <v>45414</v>
      </c>
      <c r="F657" t="str">
        <f t="shared" ca="1" si="125"/>
        <v>Hypertension</v>
      </c>
      <c r="G657" t="str">
        <f t="shared" ca="1" si="126"/>
        <v>Therapy</v>
      </c>
      <c r="H657">
        <f t="shared" ca="1" si="127"/>
        <v>4</v>
      </c>
      <c r="I657" t="str">
        <f t="shared" ca="1" si="128"/>
        <v>Yes</v>
      </c>
      <c r="J657">
        <f t="shared" ca="1" si="129"/>
        <v>0</v>
      </c>
      <c r="K657" t="str">
        <f t="shared" ca="1" si="130"/>
        <v>Private</v>
      </c>
      <c r="L657" t="str">
        <f t="shared" ca="1" si="131"/>
        <v>General</v>
      </c>
    </row>
    <row r="658" spans="1:12" x14ac:dyDescent="0.25">
      <c r="A658">
        <f t="shared" si="120"/>
        <v>657</v>
      </c>
      <c r="B658">
        <f t="shared" ca="1" si="121"/>
        <v>23</v>
      </c>
      <c r="C658" t="str">
        <f t="shared" ca="1" si="122"/>
        <v>Female</v>
      </c>
      <c r="D658" s="1">
        <f t="shared" ca="1" si="123"/>
        <v>45517</v>
      </c>
      <c r="E658" s="1">
        <f t="shared" ca="1" si="124"/>
        <v>45522</v>
      </c>
      <c r="F658" t="str">
        <f t="shared" ca="1" si="125"/>
        <v>Pneumonia</v>
      </c>
      <c r="G658" t="str">
        <f t="shared" ca="1" si="126"/>
        <v>Surgery</v>
      </c>
      <c r="H658">
        <f t="shared" ca="1" si="127"/>
        <v>5</v>
      </c>
      <c r="I658" t="str">
        <f t="shared" ca="1" si="128"/>
        <v>No</v>
      </c>
      <c r="J658">
        <f t="shared" ca="1" si="129"/>
        <v>1</v>
      </c>
      <c r="K658" t="str">
        <f t="shared" ca="1" si="130"/>
        <v>None</v>
      </c>
      <c r="L658" t="str">
        <f t="shared" ca="1" si="131"/>
        <v>General</v>
      </c>
    </row>
    <row r="659" spans="1:12" x14ac:dyDescent="0.25">
      <c r="A659">
        <f t="shared" si="120"/>
        <v>658</v>
      </c>
      <c r="B659">
        <f t="shared" ca="1" si="121"/>
        <v>79</v>
      </c>
      <c r="C659" t="str">
        <f t="shared" ca="1" si="122"/>
        <v>Female</v>
      </c>
      <c r="D659" s="1">
        <f t="shared" ca="1" si="123"/>
        <v>45465</v>
      </c>
      <c r="E659" s="1">
        <f t="shared" ca="1" si="124"/>
        <v>45478</v>
      </c>
      <c r="F659" t="str">
        <f t="shared" ca="1" si="125"/>
        <v>Diabetes</v>
      </c>
      <c r="G659" t="str">
        <f t="shared" ca="1" si="126"/>
        <v>Surgery</v>
      </c>
      <c r="H659">
        <f t="shared" ca="1" si="127"/>
        <v>13</v>
      </c>
      <c r="I659" t="str">
        <f t="shared" ca="1" si="128"/>
        <v>No</v>
      </c>
      <c r="J659">
        <f t="shared" ca="1" si="129"/>
        <v>3</v>
      </c>
      <c r="K659" t="str">
        <f t="shared" ca="1" si="130"/>
        <v>Private</v>
      </c>
      <c r="L659" t="str">
        <f t="shared" ca="1" si="131"/>
        <v>ICU</v>
      </c>
    </row>
    <row r="660" spans="1:12" x14ac:dyDescent="0.25">
      <c r="A660">
        <f t="shared" si="120"/>
        <v>659</v>
      </c>
      <c r="B660">
        <f t="shared" ca="1" si="121"/>
        <v>62</v>
      </c>
      <c r="C660" t="str">
        <f t="shared" ca="1" si="122"/>
        <v>Male</v>
      </c>
      <c r="D660" s="1">
        <f t="shared" ca="1" si="123"/>
        <v>45354</v>
      </c>
      <c r="E660" s="1">
        <f t="shared" ca="1" si="124"/>
        <v>45362</v>
      </c>
      <c r="F660" t="str">
        <f t="shared" ca="1" si="125"/>
        <v>Stroke</v>
      </c>
      <c r="G660" t="str">
        <f t="shared" ca="1" si="126"/>
        <v>Surgery</v>
      </c>
      <c r="H660">
        <f t="shared" ca="1" si="127"/>
        <v>8</v>
      </c>
      <c r="I660" t="str">
        <f t="shared" ca="1" si="128"/>
        <v>Yes</v>
      </c>
      <c r="J660">
        <f t="shared" ca="1" si="129"/>
        <v>2</v>
      </c>
      <c r="K660" t="str">
        <f t="shared" ca="1" si="130"/>
        <v>Private</v>
      </c>
      <c r="L660" t="str">
        <f t="shared" ca="1" si="131"/>
        <v>ICU</v>
      </c>
    </row>
    <row r="661" spans="1:12" x14ac:dyDescent="0.25">
      <c r="A661">
        <f t="shared" si="120"/>
        <v>660</v>
      </c>
      <c r="B661">
        <f t="shared" ca="1" si="121"/>
        <v>55</v>
      </c>
      <c r="C661" t="str">
        <f t="shared" ca="1" si="122"/>
        <v>Male</v>
      </c>
      <c r="D661" s="1">
        <f t="shared" ca="1" si="123"/>
        <v>45407</v>
      </c>
      <c r="E661" s="1">
        <f t="shared" ca="1" si="124"/>
        <v>45409</v>
      </c>
      <c r="F661" t="str">
        <f t="shared" ca="1" si="125"/>
        <v>Pneumonia</v>
      </c>
      <c r="G661" t="str">
        <f t="shared" ca="1" si="126"/>
        <v>Therapy</v>
      </c>
      <c r="H661">
        <f t="shared" ca="1" si="127"/>
        <v>2</v>
      </c>
      <c r="I661" t="str">
        <f t="shared" ca="1" si="128"/>
        <v>No</v>
      </c>
      <c r="J661">
        <f t="shared" ca="1" si="129"/>
        <v>0</v>
      </c>
      <c r="K661" t="str">
        <f t="shared" ca="1" si="130"/>
        <v>Public</v>
      </c>
      <c r="L661" t="str">
        <f t="shared" ca="1" si="131"/>
        <v>General</v>
      </c>
    </row>
    <row r="662" spans="1:12" x14ac:dyDescent="0.25">
      <c r="A662">
        <f t="shared" si="120"/>
        <v>661</v>
      </c>
      <c r="B662">
        <f t="shared" ca="1" si="121"/>
        <v>46</v>
      </c>
      <c r="C662" t="str">
        <f t="shared" ca="1" si="122"/>
        <v>Female</v>
      </c>
      <c r="D662" s="1">
        <f t="shared" ca="1" si="123"/>
        <v>45482</v>
      </c>
      <c r="E662" s="1">
        <f t="shared" ca="1" si="124"/>
        <v>45491</v>
      </c>
      <c r="F662" t="str">
        <f t="shared" ca="1" si="125"/>
        <v>Pneumonia</v>
      </c>
      <c r="G662" t="str">
        <f t="shared" ca="1" si="126"/>
        <v>Medication</v>
      </c>
      <c r="H662">
        <f t="shared" ca="1" si="127"/>
        <v>9</v>
      </c>
      <c r="I662" t="str">
        <f t="shared" ca="1" si="128"/>
        <v>No</v>
      </c>
      <c r="J662">
        <f t="shared" ca="1" si="129"/>
        <v>2</v>
      </c>
      <c r="K662" t="str">
        <f t="shared" ca="1" si="130"/>
        <v>Public</v>
      </c>
      <c r="L662" t="str">
        <f t="shared" ca="1" si="131"/>
        <v>Neurology</v>
      </c>
    </row>
    <row r="663" spans="1:12" x14ac:dyDescent="0.25">
      <c r="A663">
        <f t="shared" si="120"/>
        <v>662</v>
      </c>
      <c r="B663">
        <f t="shared" ca="1" si="121"/>
        <v>88</v>
      </c>
      <c r="C663" t="str">
        <f t="shared" ca="1" si="122"/>
        <v>Female</v>
      </c>
      <c r="D663" s="1">
        <f t="shared" ca="1" si="123"/>
        <v>45584</v>
      </c>
      <c r="E663" s="1">
        <f t="shared" ca="1" si="124"/>
        <v>45596</v>
      </c>
      <c r="F663" t="str">
        <f t="shared" ca="1" si="125"/>
        <v>Pneumonia</v>
      </c>
      <c r="G663" t="str">
        <f t="shared" ca="1" si="126"/>
        <v>Therapy</v>
      </c>
      <c r="H663">
        <f t="shared" ca="1" si="127"/>
        <v>12</v>
      </c>
      <c r="I663" t="str">
        <f t="shared" ca="1" si="128"/>
        <v>No</v>
      </c>
      <c r="J663">
        <f t="shared" ca="1" si="129"/>
        <v>4</v>
      </c>
      <c r="K663" t="str">
        <f t="shared" ca="1" si="130"/>
        <v>Public</v>
      </c>
      <c r="L663" t="str">
        <f t="shared" ca="1" si="131"/>
        <v>ER</v>
      </c>
    </row>
    <row r="664" spans="1:12" x14ac:dyDescent="0.25">
      <c r="A664">
        <f t="shared" si="120"/>
        <v>663</v>
      </c>
      <c r="B664">
        <f t="shared" ca="1" si="121"/>
        <v>38</v>
      </c>
      <c r="C664" t="str">
        <f t="shared" ca="1" si="122"/>
        <v>Male</v>
      </c>
      <c r="D664" s="1">
        <f t="shared" ca="1" si="123"/>
        <v>45355</v>
      </c>
      <c r="E664" s="1">
        <f t="shared" ca="1" si="124"/>
        <v>45363</v>
      </c>
      <c r="F664" t="str">
        <f t="shared" ca="1" si="125"/>
        <v>Hypertension</v>
      </c>
      <c r="G664" t="str">
        <f t="shared" ca="1" si="126"/>
        <v>Medication</v>
      </c>
      <c r="H664">
        <f t="shared" ca="1" si="127"/>
        <v>8</v>
      </c>
      <c r="I664" t="str">
        <f t="shared" ca="1" si="128"/>
        <v>No</v>
      </c>
      <c r="J664">
        <f t="shared" ca="1" si="129"/>
        <v>3</v>
      </c>
      <c r="K664" t="str">
        <f t="shared" ca="1" si="130"/>
        <v>Private</v>
      </c>
      <c r="L664" t="str">
        <f t="shared" ca="1" si="131"/>
        <v>Cardiology</v>
      </c>
    </row>
    <row r="665" spans="1:12" x14ac:dyDescent="0.25">
      <c r="A665">
        <f t="shared" si="120"/>
        <v>664</v>
      </c>
      <c r="B665">
        <f t="shared" ca="1" si="121"/>
        <v>67</v>
      </c>
      <c r="C665" t="str">
        <f t="shared" ca="1" si="122"/>
        <v>Female</v>
      </c>
      <c r="D665" s="1">
        <f t="shared" ca="1" si="123"/>
        <v>45528</v>
      </c>
      <c r="E665" s="1">
        <f t="shared" ca="1" si="124"/>
        <v>45538</v>
      </c>
      <c r="F665" t="str">
        <f t="shared" ca="1" si="125"/>
        <v>Diabetes</v>
      </c>
      <c r="G665" t="str">
        <f t="shared" ca="1" si="126"/>
        <v>Medication</v>
      </c>
      <c r="H665">
        <f t="shared" ca="1" si="127"/>
        <v>10</v>
      </c>
      <c r="I665" t="str">
        <f t="shared" ca="1" si="128"/>
        <v>No</v>
      </c>
      <c r="J665">
        <f t="shared" ca="1" si="129"/>
        <v>3</v>
      </c>
      <c r="K665" t="str">
        <f t="shared" ca="1" si="130"/>
        <v>Public</v>
      </c>
      <c r="L665" t="str">
        <f t="shared" ca="1" si="131"/>
        <v>Neurology</v>
      </c>
    </row>
    <row r="666" spans="1:12" x14ac:dyDescent="0.25">
      <c r="A666">
        <f t="shared" si="120"/>
        <v>665</v>
      </c>
      <c r="B666">
        <f t="shared" ca="1" si="121"/>
        <v>60</v>
      </c>
      <c r="C666" t="str">
        <f t="shared" ca="1" si="122"/>
        <v>Female</v>
      </c>
      <c r="D666" s="1">
        <f t="shared" ca="1" si="123"/>
        <v>45347</v>
      </c>
      <c r="E666" s="1">
        <f t="shared" ca="1" si="124"/>
        <v>45362</v>
      </c>
      <c r="F666" t="str">
        <f t="shared" ca="1" si="125"/>
        <v>Stroke</v>
      </c>
      <c r="G666" t="str">
        <f t="shared" ca="1" si="126"/>
        <v>Surgery</v>
      </c>
      <c r="H666">
        <f t="shared" ca="1" si="127"/>
        <v>15</v>
      </c>
      <c r="I666" t="str">
        <f t="shared" ca="1" si="128"/>
        <v>Yes</v>
      </c>
      <c r="J666">
        <f t="shared" ca="1" si="129"/>
        <v>2</v>
      </c>
      <c r="K666" t="str">
        <f t="shared" ca="1" si="130"/>
        <v>Private</v>
      </c>
      <c r="L666" t="str">
        <f t="shared" ca="1" si="131"/>
        <v>ER</v>
      </c>
    </row>
    <row r="667" spans="1:12" x14ac:dyDescent="0.25">
      <c r="A667">
        <f t="shared" si="120"/>
        <v>666</v>
      </c>
      <c r="B667">
        <f t="shared" ca="1" si="121"/>
        <v>87</v>
      </c>
      <c r="C667" t="str">
        <f t="shared" ca="1" si="122"/>
        <v>Male</v>
      </c>
      <c r="D667" s="1">
        <f t="shared" ca="1" si="123"/>
        <v>45327</v>
      </c>
      <c r="E667" s="1">
        <f t="shared" ca="1" si="124"/>
        <v>45334</v>
      </c>
      <c r="F667" t="str">
        <f t="shared" ca="1" si="125"/>
        <v>Stroke</v>
      </c>
      <c r="G667" t="str">
        <f t="shared" ca="1" si="126"/>
        <v>Therapy</v>
      </c>
      <c r="H667">
        <f t="shared" ca="1" si="127"/>
        <v>7</v>
      </c>
      <c r="I667" t="str">
        <f t="shared" ca="1" si="128"/>
        <v>No</v>
      </c>
      <c r="J667">
        <f t="shared" ca="1" si="129"/>
        <v>1</v>
      </c>
      <c r="K667" t="str">
        <f t="shared" ca="1" si="130"/>
        <v>Private</v>
      </c>
      <c r="L667" t="str">
        <f t="shared" ca="1" si="131"/>
        <v>ICU</v>
      </c>
    </row>
    <row r="668" spans="1:12" x14ac:dyDescent="0.25">
      <c r="A668">
        <f t="shared" si="120"/>
        <v>667</v>
      </c>
      <c r="B668">
        <f t="shared" ca="1" si="121"/>
        <v>65</v>
      </c>
      <c r="C668" t="str">
        <f t="shared" ca="1" si="122"/>
        <v>Male</v>
      </c>
      <c r="D668" s="1">
        <f t="shared" ca="1" si="123"/>
        <v>45356</v>
      </c>
      <c r="E668" s="1">
        <f t="shared" ca="1" si="124"/>
        <v>45358</v>
      </c>
      <c r="F668" t="str">
        <f t="shared" ca="1" si="125"/>
        <v>Diabetes</v>
      </c>
      <c r="G668" t="str">
        <f t="shared" ca="1" si="126"/>
        <v>Surgery</v>
      </c>
      <c r="H668">
        <f t="shared" ca="1" si="127"/>
        <v>2</v>
      </c>
      <c r="I668" t="str">
        <f t="shared" ca="1" si="128"/>
        <v>No</v>
      </c>
      <c r="J668">
        <f t="shared" ca="1" si="129"/>
        <v>4</v>
      </c>
      <c r="K668" t="str">
        <f t="shared" ca="1" si="130"/>
        <v>None</v>
      </c>
      <c r="L668" t="str">
        <f t="shared" ca="1" si="131"/>
        <v>Neurology</v>
      </c>
    </row>
    <row r="669" spans="1:12" x14ac:dyDescent="0.25">
      <c r="A669">
        <f t="shared" si="120"/>
        <v>668</v>
      </c>
      <c r="B669">
        <f t="shared" ca="1" si="121"/>
        <v>74</v>
      </c>
      <c r="C669" t="str">
        <f t="shared" ca="1" si="122"/>
        <v>Male</v>
      </c>
      <c r="D669" s="1">
        <f t="shared" ca="1" si="123"/>
        <v>45553</v>
      </c>
      <c r="E669" s="1">
        <f t="shared" ca="1" si="124"/>
        <v>45564</v>
      </c>
      <c r="F669" t="str">
        <f t="shared" ca="1" si="125"/>
        <v>Heart Failure</v>
      </c>
      <c r="G669" t="str">
        <f t="shared" ca="1" si="126"/>
        <v>Surgery</v>
      </c>
      <c r="H669">
        <f t="shared" ca="1" si="127"/>
        <v>11</v>
      </c>
      <c r="I669" t="str">
        <f t="shared" ca="1" si="128"/>
        <v>No</v>
      </c>
      <c r="J669">
        <f t="shared" ca="1" si="129"/>
        <v>3</v>
      </c>
      <c r="K669" t="str">
        <f t="shared" ca="1" si="130"/>
        <v>Public</v>
      </c>
      <c r="L669" t="str">
        <f t="shared" ca="1" si="131"/>
        <v>Neurology</v>
      </c>
    </row>
    <row r="670" spans="1:12" x14ac:dyDescent="0.25">
      <c r="A670">
        <f t="shared" si="120"/>
        <v>669</v>
      </c>
      <c r="B670">
        <f t="shared" ca="1" si="121"/>
        <v>71</v>
      </c>
      <c r="C670" t="str">
        <f t="shared" ca="1" si="122"/>
        <v>Female</v>
      </c>
      <c r="D670" s="1">
        <f t="shared" ca="1" si="123"/>
        <v>45510</v>
      </c>
      <c r="E670" s="1">
        <f t="shared" ca="1" si="124"/>
        <v>45516</v>
      </c>
      <c r="F670" t="str">
        <f t="shared" ca="1" si="125"/>
        <v>Stroke</v>
      </c>
      <c r="G670" t="str">
        <f t="shared" ca="1" si="126"/>
        <v>Therapy</v>
      </c>
      <c r="H670">
        <f t="shared" ca="1" si="127"/>
        <v>6</v>
      </c>
      <c r="I670" t="str">
        <f t="shared" ca="1" si="128"/>
        <v>No</v>
      </c>
      <c r="J670">
        <f t="shared" ca="1" si="129"/>
        <v>2</v>
      </c>
      <c r="K670" t="str">
        <f t="shared" ca="1" si="130"/>
        <v>Public</v>
      </c>
      <c r="L670" t="str">
        <f t="shared" ca="1" si="131"/>
        <v>General</v>
      </c>
    </row>
    <row r="671" spans="1:12" x14ac:dyDescent="0.25">
      <c r="A671">
        <f t="shared" si="120"/>
        <v>670</v>
      </c>
      <c r="B671">
        <f t="shared" ca="1" si="121"/>
        <v>81</v>
      </c>
      <c r="C671" t="str">
        <f t="shared" ca="1" si="122"/>
        <v>Male</v>
      </c>
      <c r="D671" s="1">
        <f t="shared" ca="1" si="123"/>
        <v>45299</v>
      </c>
      <c r="E671" s="1">
        <f t="shared" ca="1" si="124"/>
        <v>45306</v>
      </c>
      <c r="F671" t="str">
        <f t="shared" ca="1" si="125"/>
        <v>Diabetes</v>
      </c>
      <c r="G671" t="str">
        <f t="shared" ca="1" si="126"/>
        <v>Medication</v>
      </c>
      <c r="H671">
        <f t="shared" ca="1" si="127"/>
        <v>7</v>
      </c>
      <c r="I671" t="str">
        <f t="shared" ca="1" si="128"/>
        <v>No</v>
      </c>
      <c r="J671">
        <f t="shared" ca="1" si="129"/>
        <v>0</v>
      </c>
      <c r="K671" t="str">
        <f t="shared" ca="1" si="130"/>
        <v>Private</v>
      </c>
      <c r="L671" t="str">
        <f t="shared" ca="1" si="131"/>
        <v>General</v>
      </c>
    </row>
    <row r="672" spans="1:12" x14ac:dyDescent="0.25">
      <c r="A672">
        <f t="shared" si="120"/>
        <v>671</v>
      </c>
      <c r="B672">
        <f t="shared" ca="1" si="121"/>
        <v>36</v>
      </c>
      <c r="C672" t="str">
        <f t="shared" ca="1" si="122"/>
        <v>Male</v>
      </c>
      <c r="D672" s="1">
        <f t="shared" ca="1" si="123"/>
        <v>45361</v>
      </c>
      <c r="E672" s="1">
        <f t="shared" ca="1" si="124"/>
        <v>45364</v>
      </c>
      <c r="F672" t="str">
        <f t="shared" ca="1" si="125"/>
        <v>Diabetes</v>
      </c>
      <c r="G672" t="str">
        <f t="shared" ca="1" si="126"/>
        <v>Therapy</v>
      </c>
      <c r="H672">
        <f t="shared" ca="1" si="127"/>
        <v>3</v>
      </c>
      <c r="I672" t="str">
        <f t="shared" ca="1" si="128"/>
        <v>No</v>
      </c>
      <c r="J672">
        <f t="shared" ca="1" si="129"/>
        <v>1</v>
      </c>
      <c r="K672" t="str">
        <f t="shared" ca="1" si="130"/>
        <v>Private</v>
      </c>
      <c r="L672" t="str">
        <f t="shared" ca="1" si="131"/>
        <v>General</v>
      </c>
    </row>
    <row r="673" spans="1:12" x14ac:dyDescent="0.25">
      <c r="A673">
        <f t="shared" si="120"/>
        <v>672</v>
      </c>
      <c r="B673">
        <f t="shared" ca="1" si="121"/>
        <v>39</v>
      </c>
      <c r="C673" t="str">
        <f t="shared" ca="1" si="122"/>
        <v>Male</v>
      </c>
      <c r="D673" s="1">
        <f t="shared" ca="1" si="123"/>
        <v>45300</v>
      </c>
      <c r="E673" s="1">
        <f t="shared" ca="1" si="124"/>
        <v>45303</v>
      </c>
      <c r="F673" t="str">
        <f t="shared" ca="1" si="125"/>
        <v>Hypertension</v>
      </c>
      <c r="G673" t="str">
        <f t="shared" ca="1" si="126"/>
        <v>Medication</v>
      </c>
      <c r="H673">
        <f t="shared" ca="1" si="127"/>
        <v>3</v>
      </c>
      <c r="I673" t="str">
        <f t="shared" ca="1" si="128"/>
        <v>No</v>
      </c>
      <c r="J673">
        <f t="shared" ca="1" si="129"/>
        <v>2</v>
      </c>
      <c r="K673" t="str">
        <f t="shared" ca="1" si="130"/>
        <v>Public</v>
      </c>
      <c r="L673" t="str">
        <f t="shared" ca="1" si="131"/>
        <v>General</v>
      </c>
    </row>
    <row r="674" spans="1:12" x14ac:dyDescent="0.25">
      <c r="A674">
        <f t="shared" si="120"/>
        <v>673</v>
      </c>
      <c r="B674">
        <f t="shared" ca="1" si="121"/>
        <v>29</v>
      </c>
      <c r="C674" t="str">
        <f t="shared" ca="1" si="122"/>
        <v>Female</v>
      </c>
      <c r="D674" s="1">
        <f t="shared" ca="1" si="123"/>
        <v>45479</v>
      </c>
      <c r="E674" s="1">
        <f t="shared" ca="1" si="124"/>
        <v>45484</v>
      </c>
      <c r="F674" t="str">
        <f t="shared" ca="1" si="125"/>
        <v>Stroke</v>
      </c>
      <c r="G674" t="str">
        <f t="shared" ca="1" si="126"/>
        <v>Surgery</v>
      </c>
      <c r="H674">
        <f t="shared" ca="1" si="127"/>
        <v>5</v>
      </c>
      <c r="I674" t="str">
        <f t="shared" ca="1" si="128"/>
        <v>No</v>
      </c>
      <c r="J674">
        <f t="shared" ca="1" si="129"/>
        <v>1</v>
      </c>
      <c r="K674" t="str">
        <f t="shared" ca="1" si="130"/>
        <v>None</v>
      </c>
      <c r="L674" t="str">
        <f t="shared" ca="1" si="131"/>
        <v>ICU</v>
      </c>
    </row>
    <row r="675" spans="1:12" x14ac:dyDescent="0.25">
      <c r="A675">
        <f t="shared" si="120"/>
        <v>674</v>
      </c>
      <c r="B675">
        <f t="shared" ca="1" si="121"/>
        <v>30</v>
      </c>
      <c r="C675" t="str">
        <f t="shared" ca="1" si="122"/>
        <v>Male</v>
      </c>
      <c r="D675" s="1">
        <f t="shared" ca="1" si="123"/>
        <v>45619</v>
      </c>
      <c r="E675" s="1">
        <f t="shared" ca="1" si="124"/>
        <v>45625</v>
      </c>
      <c r="F675" t="str">
        <f t="shared" ca="1" si="125"/>
        <v>Pneumonia</v>
      </c>
      <c r="G675" t="str">
        <f t="shared" ca="1" si="126"/>
        <v>Medication</v>
      </c>
      <c r="H675">
        <f t="shared" ca="1" si="127"/>
        <v>6</v>
      </c>
      <c r="I675" t="str">
        <f t="shared" ca="1" si="128"/>
        <v>No</v>
      </c>
      <c r="J675">
        <f t="shared" ca="1" si="129"/>
        <v>0</v>
      </c>
      <c r="K675" t="str">
        <f t="shared" ca="1" si="130"/>
        <v>Private</v>
      </c>
      <c r="L675" t="str">
        <f t="shared" ca="1" si="131"/>
        <v>ICU</v>
      </c>
    </row>
    <row r="676" spans="1:12" x14ac:dyDescent="0.25">
      <c r="A676">
        <f t="shared" si="120"/>
        <v>675</v>
      </c>
      <c r="B676">
        <f t="shared" ca="1" si="121"/>
        <v>56</v>
      </c>
      <c r="C676" t="str">
        <f t="shared" ca="1" si="122"/>
        <v>Male</v>
      </c>
      <c r="D676" s="1">
        <f t="shared" ca="1" si="123"/>
        <v>45542</v>
      </c>
      <c r="E676" s="1">
        <f t="shared" ca="1" si="124"/>
        <v>45549</v>
      </c>
      <c r="F676" t="str">
        <f t="shared" ca="1" si="125"/>
        <v>Hypertension</v>
      </c>
      <c r="G676" t="str">
        <f t="shared" ca="1" si="126"/>
        <v>Therapy</v>
      </c>
      <c r="H676">
        <f t="shared" ca="1" si="127"/>
        <v>7</v>
      </c>
      <c r="I676" t="str">
        <f t="shared" ca="1" si="128"/>
        <v>Yes</v>
      </c>
      <c r="J676">
        <f t="shared" ca="1" si="129"/>
        <v>0</v>
      </c>
      <c r="K676" t="str">
        <f t="shared" ca="1" si="130"/>
        <v>None</v>
      </c>
      <c r="L676" t="str">
        <f t="shared" ca="1" si="131"/>
        <v>ER</v>
      </c>
    </row>
    <row r="677" spans="1:12" x14ac:dyDescent="0.25">
      <c r="A677">
        <f t="shared" si="120"/>
        <v>676</v>
      </c>
      <c r="B677">
        <f t="shared" ca="1" si="121"/>
        <v>81</v>
      </c>
      <c r="C677" t="str">
        <f t="shared" ca="1" si="122"/>
        <v>Male</v>
      </c>
      <c r="D677" s="1">
        <f t="shared" ca="1" si="123"/>
        <v>45483</v>
      </c>
      <c r="E677" s="1">
        <f t="shared" ca="1" si="124"/>
        <v>45488</v>
      </c>
      <c r="F677" t="str">
        <f t="shared" ca="1" si="125"/>
        <v>Hypertension</v>
      </c>
      <c r="G677" t="str">
        <f t="shared" ca="1" si="126"/>
        <v>Therapy</v>
      </c>
      <c r="H677">
        <f t="shared" ca="1" si="127"/>
        <v>5</v>
      </c>
      <c r="I677" t="str">
        <f t="shared" ca="1" si="128"/>
        <v>Yes</v>
      </c>
      <c r="J677">
        <f t="shared" ca="1" si="129"/>
        <v>2</v>
      </c>
      <c r="K677" t="str">
        <f t="shared" ca="1" si="130"/>
        <v>Public</v>
      </c>
      <c r="L677" t="str">
        <f t="shared" ca="1" si="131"/>
        <v>ICU</v>
      </c>
    </row>
    <row r="678" spans="1:12" x14ac:dyDescent="0.25">
      <c r="A678">
        <f t="shared" si="120"/>
        <v>677</v>
      </c>
      <c r="B678">
        <f t="shared" ca="1" si="121"/>
        <v>86</v>
      </c>
      <c r="C678" t="str">
        <f t="shared" ca="1" si="122"/>
        <v>Female</v>
      </c>
      <c r="D678" s="1">
        <f t="shared" ca="1" si="123"/>
        <v>45511</v>
      </c>
      <c r="E678" s="1">
        <f t="shared" ca="1" si="124"/>
        <v>45523</v>
      </c>
      <c r="F678" t="str">
        <f t="shared" ca="1" si="125"/>
        <v>Heart Failure</v>
      </c>
      <c r="G678" t="str">
        <f t="shared" ca="1" si="126"/>
        <v>Surgery</v>
      </c>
      <c r="H678">
        <f t="shared" ca="1" si="127"/>
        <v>12</v>
      </c>
      <c r="I678" t="str">
        <f t="shared" ca="1" si="128"/>
        <v>No</v>
      </c>
      <c r="J678">
        <f t="shared" ca="1" si="129"/>
        <v>2</v>
      </c>
      <c r="K678" t="str">
        <f t="shared" ca="1" si="130"/>
        <v>Public</v>
      </c>
      <c r="L678" t="str">
        <f t="shared" ca="1" si="131"/>
        <v>ICU</v>
      </c>
    </row>
    <row r="679" spans="1:12" x14ac:dyDescent="0.25">
      <c r="A679">
        <f t="shared" si="120"/>
        <v>678</v>
      </c>
      <c r="B679">
        <f t="shared" ca="1" si="121"/>
        <v>40</v>
      </c>
      <c r="C679" t="str">
        <f t="shared" ca="1" si="122"/>
        <v>Female</v>
      </c>
      <c r="D679" s="1">
        <f t="shared" ca="1" si="123"/>
        <v>45539</v>
      </c>
      <c r="E679" s="1">
        <f t="shared" ca="1" si="124"/>
        <v>45543</v>
      </c>
      <c r="F679" t="str">
        <f t="shared" ca="1" si="125"/>
        <v>Diabetes</v>
      </c>
      <c r="G679" t="str">
        <f t="shared" ca="1" si="126"/>
        <v>Surgery</v>
      </c>
      <c r="H679">
        <f t="shared" ca="1" si="127"/>
        <v>4</v>
      </c>
      <c r="I679" t="str">
        <f t="shared" ca="1" si="128"/>
        <v>Yes</v>
      </c>
      <c r="J679">
        <f t="shared" ca="1" si="129"/>
        <v>1</v>
      </c>
      <c r="K679" t="str">
        <f t="shared" ca="1" si="130"/>
        <v>Private</v>
      </c>
      <c r="L679" t="str">
        <f t="shared" ca="1" si="131"/>
        <v>General</v>
      </c>
    </row>
    <row r="680" spans="1:12" x14ac:dyDescent="0.25">
      <c r="A680">
        <f t="shared" si="120"/>
        <v>679</v>
      </c>
      <c r="B680">
        <f t="shared" ca="1" si="121"/>
        <v>65</v>
      </c>
      <c r="C680" t="str">
        <f t="shared" ca="1" si="122"/>
        <v>Female</v>
      </c>
      <c r="D680" s="1">
        <f t="shared" ca="1" si="123"/>
        <v>45647</v>
      </c>
      <c r="E680" s="1">
        <f t="shared" ca="1" si="124"/>
        <v>45653</v>
      </c>
      <c r="F680" t="str">
        <f t="shared" ca="1" si="125"/>
        <v>Pneumonia</v>
      </c>
      <c r="G680" t="str">
        <f t="shared" ca="1" si="126"/>
        <v>Surgery</v>
      </c>
      <c r="H680">
        <f t="shared" ca="1" si="127"/>
        <v>6</v>
      </c>
      <c r="I680" t="str">
        <f t="shared" ca="1" si="128"/>
        <v>No</v>
      </c>
      <c r="J680">
        <f t="shared" ca="1" si="129"/>
        <v>2</v>
      </c>
      <c r="K680" t="str">
        <f t="shared" ca="1" si="130"/>
        <v>Private</v>
      </c>
      <c r="L680" t="str">
        <f t="shared" ca="1" si="131"/>
        <v>Neurology</v>
      </c>
    </row>
    <row r="681" spans="1:12" x14ac:dyDescent="0.25">
      <c r="A681">
        <f t="shared" si="120"/>
        <v>680</v>
      </c>
      <c r="B681">
        <f t="shared" ca="1" si="121"/>
        <v>90</v>
      </c>
      <c r="C681" t="str">
        <f t="shared" ca="1" si="122"/>
        <v>Female</v>
      </c>
      <c r="D681" s="1">
        <f t="shared" ca="1" si="123"/>
        <v>45433</v>
      </c>
      <c r="E681" s="1">
        <f t="shared" ca="1" si="124"/>
        <v>45442</v>
      </c>
      <c r="F681" t="str">
        <f t="shared" ca="1" si="125"/>
        <v>Stroke</v>
      </c>
      <c r="G681" t="str">
        <f t="shared" ca="1" si="126"/>
        <v>Medication</v>
      </c>
      <c r="H681">
        <f t="shared" ca="1" si="127"/>
        <v>9</v>
      </c>
      <c r="I681" t="str">
        <f t="shared" ca="1" si="128"/>
        <v>No</v>
      </c>
      <c r="J681">
        <f t="shared" ca="1" si="129"/>
        <v>2</v>
      </c>
      <c r="K681" t="str">
        <f t="shared" ca="1" si="130"/>
        <v>None</v>
      </c>
      <c r="L681" t="str">
        <f t="shared" ca="1" si="131"/>
        <v>ICU</v>
      </c>
    </row>
    <row r="682" spans="1:12" x14ac:dyDescent="0.25">
      <c r="A682">
        <f t="shared" si="120"/>
        <v>681</v>
      </c>
      <c r="B682">
        <f t="shared" ca="1" si="121"/>
        <v>76</v>
      </c>
      <c r="C682" t="str">
        <f t="shared" ca="1" si="122"/>
        <v>Female</v>
      </c>
      <c r="D682" s="1">
        <f t="shared" ca="1" si="123"/>
        <v>45372</v>
      </c>
      <c r="E682" s="1">
        <f t="shared" ca="1" si="124"/>
        <v>45379</v>
      </c>
      <c r="F682" t="str">
        <f t="shared" ca="1" si="125"/>
        <v>Diabetes</v>
      </c>
      <c r="G682" t="str">
        <f t="shared" ca="1" si="126"/>
        <v>Medication</v>
      </c>
      <c r="H682">
        <f t="shared" ca="1" si="127"/>
        <v>7</v>
      </c>
      <c r="I682" t="str">
        <f t="shared" ca="1" si="128"/>
        <v>Yes</v>
      </c>
      <c r="J682">
        <f t="shared" ca="1" si="129"/>
        <v>4</v>
      </c>
      <c r="K682" t="str">
        <f t="shared" ca="1" si="130"/>
        <v>Public</v>
      </c>
      <c r="L682" t="str">
        <f t="shared" ca="1" si="131"/>
        <v>ICU</v>
      </c>
    </row>
    <row r="683" spans="1:12" x14ac:dyDescent="0.25">
      <c r="A683">
        <f t="shared" si="120"/>
        <v>682</v>
      </c>
      <c r="B683">
        <f t="shared" ca="1" si="121"/>
        <v>68</v>
      </c>
      <c r="C683" t="str">
        <f t="shared" ca="1" si="122"/>
        <v>Female</v>
      </c>
      <c r="D683" s="1">
        <f t="shared" ca="1" si="123"/>
        <v>45597</v>
      </c>
      <c r="E683" s="1">
        <f t="shared" ca="1" si="124"/>
        <v>45604</v>
      </c>
      <c r="F683" t="str">
        <f t="shared" ca="1" si="125"/>
        <v>Hypertension</v>
      </c>
      <c r="G683" t="str">
        <f t="shared" ca="1" si="126"/>
        <v>Surgery</v>
      </c>
      <c r="H683">
        <f t="shared" ca="1" si="127"/>
        <v>7</v>
      </c>
      <c r="I683" t="str">
        <f t="shared" ca="1" si="128"/>
        <v>Yes</v>
      </c>
      <c r="J683">
        <f t="shared" ca="1" si="129"/>
        <v>4</v>
      </c>
      <c r="K683" t="str">
        <f t="shared" ca="1" si="130"/>
        <v>Private</v>
      </c>
      <c r="L683" t="str">
        <f t="shared" ca="1" si="131"/>
        <v>Neurology</v>
      </c>
    </row>
    <row r="684" spans="1:12" x14ac:dyDescent="0.25">
      <c r="A684">
        <f t="shared" si="120"/>
        <v>683</v>
      </c>
      <c r="B684">
        <f t="shared" ca="1" si="121"/>
        <v>89</v>
      </c>
      <c r="C684" t="str">
        <f t="shared" ca="1" si="122"/>
        <v>Male</v>
      </c>
      <c r="D684" s="1">
        <f t="shared" ca="1" si="123"/>
        <v>45463</v>
      </c>
      <c r="E684" s="1">
        <f t="shared" ca="1" si="124"/>
        <v>45475</v>
      </c>
      <c r="F684" t="str">
        <f t="shared" ca="1" si="125"/>
        <v>Heart Failure</v>
      </c>
      <c r="G684" t="str">
        <f t="shared" ca="1" si="126"/>
        <v>Surgery</v>
      </c>
      <c r="H684">
        <f t="shared" ca="1" si="127"/>
        <v>12</v>
      </c>
      <c r="I684" t="str">
        <f t="shared" ca="1" si="128"/>
        <v>No</v>
      </c>
      <c r="J684">
        <f t="shared" ca="1" si="129"/>
        <v>2</v>
      </c>
      <c r="K684" t="str">
        <f t="shared" ca="1" si="130"/>
        <v>Public</v>
      </c>
      <c r="L684" t="str">
        <f t="shared" ca="1" si="131"/>
        <v>Cardiology</v>
      </c>
    </row>
    <row r="685" spans="1:12" x14ac:dyDescent="0.25">
      <c r="A685">
        <f t="shared" si="120"/>
        <v>684</v>
      </c>
      <c r="B685">
        <f t="shared" ca="1" si="121"/>
        <v>68</v>
      </c>
      <c r="C685" t="str">
        <f t="shared" ca="1" si="122"/>
        <v>Male</v>
      </c>
      <c r="D685" s="1">
        <f t="shared" ca="1" si="123"/>
        <v>45468</v>
      </c>
      <c r="E685" s="1">
        <f t="shared" ca="1" si="124"/>
        <v>45483</v>
      </c>
      <c r="F685" t="str">
        <f t="shared" ca="1" si="125"/>
        <v>Diabetes</v>
      </c>
      <c r="G685" t="str">
        <f t="shared" ca="1" si="126"/>
        <v>Therapy</v>
      </c>
      <c r="H685">
        <f t="shared" ca="1" si="127"/>
        <v>15</v>
      </c>
      <c r="I685" t="str">
        <f t="shared" ca="1" si="128"/>
        <v>No</v>
      </c>
      <c r="J685">
        <f t="shared" ca="1" si="129"/>
        <v>0</v>
      </c>
      <c r="K685" t="str">
        <f t="shared" ca="1" si="130"/>
        <v>Private</v>
      </c>
      <c r="L685" t="str">
        <f t="shared" ca="1" si="131"/>
        <v>ER</v>
      </c>
    </row>
    <row r="686" spans="1:12" x14ac:dyDescent="0.25">
      <c r="A686">
        <f t="shared" si="120"/>
        <v>685</v>
      </c>
      <c r="B686">
        <f t="shared" ca="1" si="121"/>
        <v>78</v>
      </c>
      <c r="C686" t="str">
        <f t="shared" ca="1" si="122"/>
        <v>Female</v>
      </c>
      <c r="D686" s="1">
        <f t="shared" ca="1" si="123"/>
        <v>45591</v>
      </c>
      <c r="E686" s="1">
        <f t="shared" ca="1" si="124"/>
        <v>45596</v>
      </c>
      <c r="F686" t="str">
        <f t="shared" ca="1" si="125"/>
        <v>Hypertension</v>
      </c>
      <c r="G686" t="str">
        <f t="shared" ca="1" si="126"/>
        <v>Surgery</v>
      </c>
      <c r="H686">
        <f t="shared" ca="1" si="127"/>
        <v>5</v>
      </c>
      <c r="I686" t="str">
        <f t="shared" ca="1" si="128"/>
        <v>Yes</v>
      </c>
      <c r="J686">
        <f t="shared" ca="1" si="129"/>
        <v>4</v>
      </c>
      <c r="K686" t="str">
        <f t="shared" ca="1" si="130"/>
        <v>Public</v>
      </c>
      <c r="L686" t="str">
        <f t="shared" ca="1" si="131"/>
        <v>General</v>
      </c>
    </row>
    <row r="687" spans="1:12" x14ac:dyDescent="0.25">
      <c r="A687">
        <f t="shared" si="120"/>
        <v>686</v>
      </c>
      <c r="B687">
        <f t="shared" ca="1" si="121"/>
        <v>20</v>
      </c>
      <c r="C687" t="str">
        <f t="shared" ca="1" si="122"/>
        <v>Female</v>
      </c>
      <c r="D687" s="1">
        <f t="shared" ca="1" si="123"/>
        <v>45428</v>
      </c>
      <c r="E687" s="1">
        <f t="shared" ca="1" si="124"/>
        <v>45442</v>
      </c>
      <c r="F687" t="str">
        <f t="shared" ca="1" si="125"/>
        <v>Heart Failure</v>
      </c>
      <c r="G687" t="str">
        <f t="shared" ca="1" si="126"/>
        <v>Medication</v>
      </c>
      <c r="H687">
        <f t="shared" ca="1" si="127"/>
        <v>14</v>
      </c>
      <c r="I687" t="str">
        <f t="shared" ca="1" si="128"/>
        <v>No</v>
      </c>
      <c r="J687">
        <f t="shared" ca="1" si="129"/>
        <v>1</v>
      </c>
      <c r="K687" t="str">
        <f t="shared" ca="1" si="130"/>
        <v>Public</v>
      </c>
      <c r="L687" t="str">
        <f t="shared" ca="1" si="131"/>
        <v>ICU</v>
      </c>
    </row>
    <row r="688" spans="1:12" x14ac:dyDescent="0.25">
      <c r="A688">
        <f t="shared" si="120"/>
        <v>687</v>
      </c>
      <c r="B688">
        <f t="shared" ca="1" si="121"/>
        <v>55</v>
      </c>
      <c r="C688" t="str">
        <f t="shared" ca="1" si="122"/>
        <v>Male</v>
      </c>
      <c r="D688" s="1">
        <f t="shared" ca="1" si="123"/>
        <v>45638</v>
      </c>
      <c r="E688" s="1">
        <f t="shared" ca="1" si="124"/>
        <v>45644</v>
      </c>
      <c r="F688" t="str">
        <f t="shared" ca="1" si="125"/>
        <v>Heart Failure</v>
      </c>
      <c r="G688" t="str">
        <f t="shared" ca="1" si="126"/>
        <v>Therapy</v>
      </c>
      <c r="H688">
        <f t="shared" ca="1" si="127"/>
        <v>6</v>
      </c>
      <c r="I688" t="str">
        <f t="shared" ca="1" si="128"/>
        <v>No</v>
      </c>
      <c r="J688">
        <f t="shared" ca="1" si="129"/>
        <v>2</v>
      </c>
      <c r="K688" t="str">
        <f t="shared" ca="1" si="130"/>
        <v>None</v>
      </c>
      <c r="L688" t="str">
        <f t="shared" ca="1" si="131"/>
        <v>Cardiology</v>
      </c>
    </row>
    <row r="689" spans="1:12" x14ac:dyDescent="0.25">
      <c r="A689">
        <f t="shared" si="120"/>
        <v>688</v>
      </c>
      <c r="B689">
        <f t="shared" ca="1" si="121"/>
        <v>30</v>
      </c>
      <c r="C689" t="str">
        <f t="shared" ca="1" si="122"/>
        <v>Female</v>
      </c>
      <c r="D689" s="1">
        <f t="shared" ca="1" si="123"/>
        <v>45457</v>
      </c>
      <c r="E689" s="1">
        <f t="shared" ca="1" si="124"/>
        <v>45471</v>
      </c>
      <c r="F689" t="str">
        <f t="shared" ca="1" si="125"/>
        <v>Pneumonia</v>
      </c>
      <c r="G689" t="str">
        <f t="shared" ca="1" si="126"/>
        <v>Medication</v>
      </c>
      <c r="H689">
        <f t="shared" ca="1" si="127"/>
        <v>14</v>
      </c>
      <c r="I689" t="str">
        <f t="shared" ca="1" si="128"/>
        <v>No</v>
      </c>
      <c r="J689">
        <f t="shared" ca="1" si="129"/>
        <v>1</v>
      </c>
      <c r="K689" t="str">
        <f t="shared" ca="1" si="130"/>
        <v>Private</v>
      </c>
      <c r="L689" t="str">
        <f t="shared" ca="1" si="131"/>
        <v>Cardiology</v>
      </c>
    </row>
    <row r="690" spans="1:12" x14ac:dyDescent="0.25">
      <c r="A690">
        <f t="shared" si="120"/>
        <v>689</v>
      </c>
      <c r="B690">
        <f t="shared" ca="1" si="121"/>
        <v>49</v>
      </c>
      <c r="C690" t="str">
        <f t="shared" ca="1" si="122"/>
        <v>Male</v>
      </c>
      <c r="D690" s="1">
        <f t="shared" ca="1" si="123"/>
        <v>45528</v>
      </c>
      <c r="E690" s="1">
        <f t="shared" ca="1" si="124"/>
        <v>45530</v>
      </c>
      <c r="F690" t="str">
        <f t="shared" ca="1" si="125"/>
        <v>Diabetes</v>
      </c>
      <c r="G690" t="str">
        <f t="shared" ca="1" si="126"/>
        <v>Therapy</v>
      </c>
      <c r="H690">
        <f t="shared" ca="1" si="127"/>
        <v>2</v>
      </c>
      <c r="I690" t="str">
        <f t="shared" ca="1" si="128"/>
        <v>Yes</v>
      </c>
      <c r="J690">
        <f t="shared" ca="1" si="129"/>
        <v>0</v>
      </c>
      <c r="K690" t="str">
        <f t="shared" ca="1" si="130"/>
        <v>Private</v>
      </c>
      <c r="L690" t="str">
        <f t="shared" ca="1" si="131"/>
        <v>ICU</v>
      </c>
    </row>
    <row r="691" spans="1:12" x14ac:dyDescent="0.25">
      <c r="A691">
        <f t="shared" si="120"/>
        <v>690</v>
      </c>
      <c r="B691">
        <f t="shared" ca="1" si="121"/>
        <v>80</v>
      </c>
      <c r="C691" t="str">
        <f t="shared" ca="1" si="122"/>
        <v>Male</v>
      </c>
      <c r="D691" s="1">
        <f t="shared" ca="1" si="123"/>
        <v>45600</v>
      </c>
      <c r="E691" s="1">
        <f t="shared" ca="1" si="124"/>
        <v>45603</v>
      </c>
      <c r="F691" t="str">
        <f t="shared" ca="1" si="125"/>
        <v>Heart Failure</v>
      </c>
      <c r="G691" t="str">
        <f t="shared" ca="1" si="126"/>
        <v>Medication</v>
      </c>
      <c r="H691">
        <f t="shared" ca="1" si="127"/>
        <v>3</v>
      </c>
      <c r="I691" t="str">
        <f t="shared" ca="1" si="128"/>
        <v>No</v>
      </c>
      <c r="J691">
        <f t="shared" ca="1" si="129"/>
        <v>4</v>
      </c>
      <c r="K691" t="str">
        <f t="shared" ca="1" si="130"/>
        <v>Private</v>
      </c>
      <c r="L691" t="str">
        <f t="shared" ca="1" si="131"/>
        <v>Cardiology</v>
      </c>
    </row>
    <row r="692" spans="1:12" x14ac:dyDescent="0.25">
      <c r="A692">
        <f t="shared" si="120"/>
        <v>691</v>
      </c>
      <c r="B692">
        <f t="shared" ca="1" si="121"/>
        <v>82</v>
      </c>
      <c r="C692" t="str">
        <f t="shared" ca="1" si="122"/>
        <v>Female</v>
      </c>
      <c r="D692" s="1">
        <f t="shared" ca="1" si="123"/>
        <v>45548</v>
      </c>
      <c r="E692" s="1">
        <f t="shared" ca="1" si="124"/>
        <v>45560</v>
      </c>
      <c r="F692" t="str">
        <f t="shared" ca="1" si="125"/>
        <v>Heart Failure</v>
      </c>
      <c r="G692" t="str">
        <f t="shared" ca="1" si="126"/>
        <v>Therapy</v>
      </c>
      <c r="H692">
        <f t="shared" ca="1" si="127"/>
        <v>12</v>
      </c>
      <c r="I692" t="str">
        <f t="shared" ca="1" si="128"/>
        <v>Yes</v>
      </c>
      <c r="J692">
        <f t="shared" ca="1" si="129"/>
        <v>4</v>
      </c>
      <c r="K692" t="str">
        <f t="shared" ca="1" si="130"/>
        <v>None</v>
      </c>
      <c r="L692" t="str">
        <f t="shared" ca="1" si="131"/>
        <v>Cardiology</v>
      </c>
    </row>
    <row r="693" spans="1:12" x14ac:dyDescent="0.25">
      <c r="A693">
        <f t="shared" si="120"/>
        <v>692</v>
      </c>
      <c r="B693">
        <f t="shared" ca="1" si="121"/>
        <v>40</v>
      </c>
      <c r="C693" t="str">
        <f t="shared" ca="1" si="122"/>
        <v>Female</v>
      </c>
      <c r="D693" s="1">
        <f t="shared" ca="1" si="123"/>
        <v>45392</v>
      </c>
      <c r="E693" s="1">
        <f t="shared" ca="1" si="124"/>
        <v>45394</v>
      </c>
      <c r="F693" t="str">
        <f t="shared" ca="1" si="125"/>
        <v>Stroke</v>
      </c>
      <c r="G693" t="str">
        <f t="shared" ca="1" si="126"/>
        <v>Surgery</v>
      </c>
      <c r="H693">
        <f t="shared" ca="1" si="127"/>
        <v>2</v>
      </c>
      <c r="I693" t="str">
        <f t="shared" ca="1" si="128"/>
        <v>No</v>
      </c>
      <c r="J693">
        <f t="shared" ca="1" si="129"/>
        <v>4</v>
      </c>
      <c r="K693" t="str">
        <f t="shared" ca="1" si="130"/>
        <v>None</v>
      </c>
      <c r="L693" t="str">
        <f t="shared" ca="1" si="131"/>
        <v>General</v>
      </c>
    </row>
    <row r="694" spans="1:12" x14ac:dyDescent="0.25">
      <c r="A694">
        <f t="shared" si="120"/>
        <v>693</v>
      </c>
      <c r="B694">
        <f t="shared" ca="1" si="121"/>
        <v>35</v>
      </c>
      <c r="C694" t="str">
        <f t="shared" ca="1" si="122"/>
        <v>Male</v>
      </c>
      <c r="D694" s="1">
        <f t="shared" ca="1" si="123"/>
        <v>45365</v>
      </c>
      <c r="E694" s="1">
        <f t="shared" ca="1" si="124"/>
        <v>45380</v>
      </c>
      <c r="F694" t="str">
        <f t="shared" ca="1" si="125"/>
        <v>Heart Failure</v>
      </c>
      <c r="G694" t="str">
        <f t="shared" ca="1" si="126"/>
        <v>Medication</v>
      </c>
      <c r="H694">
        <f t="shared" ca="1" si="127"/>
        <v>15</v>
      </c>
      <c r="I694" t="str">
        <f t="shared" ca="1" si="128"/>
        <v>Yes</v>
      </c>
      <c r="J694">
        <f t="shared" ca="1" si="129"/>
        <v>3</v>
      </c>
      <c r="K694" t="str">
        <f t="shared" ca="1" si="130"/>
        <v>Public</v>
      </c>
      <c r="L694" t="str">
        <f t="shared" ca="1" si="131"/>
        <v>General</v>
      </c>
    </row>
    <row r="695" spans="1:12" x14ac:dyDescent="0.25">
      <c r="A695">
        <f t="shared" si="120"/>
        <v>694</v>
      </c>
      <c r="B695">
        <f t="shared" ca="1" si="121"/>
        <v>64</v>
      </c>
      <c r="C695" t="str">
        <f t="shared" ca="1" si="122"/>
        <v>Female</v>
      </c>
      <c r="D695" s="1">
        <f t="shared" ca="1" si="123"/>
        <v>45418</v>
      </c>
      <c r="E695" s="1">
        <f t="shared" ca="1" si="124"/>
        <v>45427</v>
      </c>
      <c r="F695" t="str">
        <f t="shared" ca="1" si="125"/>
        <v>Stroke</v>
      </c>
      <c r="G695" t="str">
        <f t="shared" ca="1" si="126"/>
        <v>Medication</v>
      </c>
      <c r="H695">
        <f t="shared" ca="1" si="127"/>
        <v>9</v>
      </c>
      <c r="I695" t="str">
        <f t="shared" ca="1" si="128"/>
        <v>No</v>
      </c>
      <c r="J695">
        <f t="shared" ca="1" si="129"/>
        <v>2</v>
      </c>
      <c r="K695" t="str">
        <f t="shared" ca="1" si="130"/>
        <v>Public</v>
      </c>
      <c r="L695" t="str">
        <f t="shared" ca="1" si="131"/>
        <v>Cardiology</v>
      </c>
    </row>
    <row r="696" spans="1:12" x14ac:dyDescent="0.25">
      <c r="A696">
        <f t="shared" si="120"/>
        <v>695</v>
      </c>
      <c r="B696">
        <f t="shared" ca="1" si="121"/>
        <v>49</v>
      </c>
      <c r="C696" t="str">
        <f t="shared" ca="1" si="122"/>
        <v>Male</v>
      </c>
      <c r="D696" s="1">
        <f t="shared" ca="1" si="123"/>
        <v>45458</v>
      </c>
      <c r="E696" s="1">
        <f t="shared" ca="1" si="124"/>
        <v>45465</v>
      </c>
      <c r="F696" t="str">
        <f t="shared" ca="1" si="125"/>
        <v>Stroke</v>
      </c>
      <c r="G696" t="str">
        <f t="shared" ca="1" si="126"/>
        <v>Therapy</v>
      </c>
      <c r="H696">
        <f t="shared" ca="1" si="127"/>
        <v>7</v>
      </c>
      <c r="I696" t="str">
        <f t="shared" ca="1" si="128"/>
        <v>Yes</v>
      </c>
      <c r="J696">
        <f t="shared" ca="1" si="129"/>
        <v>4</v>
      </c>
      <c r="K696" t="str">
        <f t="shared" ca="1" si="130"/>
        <v>Public</v>
      </c>
      <c r="L696" t="str">
        <f t="shared" ca="1" si="131"/>
        <v>ICU</v>
      </c>
    </row>
    <row r="697" spans="1:12" x14ac:dyDescent="0.25">
      <c r="A697">
        <f t="shared" si="120"/>
        <v>696</v>
      </c>
      <c r="B697">
        <f t="shared" ca="1" si="121"/>
        <v>61</v>
      </c>
      <c r="C697" t="str">
        <f t="shared" ca="1" si="122"/>
        <v>Female</v>
      </c>
      <c r="D697" s="1">
        <f t="shared" ca="1" si="123"/>
        <v>45335</v>
      </c>
      <c r="E697" s="1">
        <f t="shared" ca="1" si="124"/>
        <v>45340</v>
      </c>
      <c r="F697" t="str">
        <f t="shared" ca="1" si="125"/>
        <v>Heart Failure</v>
      </c>
      <c r="G697" t="str">
        <f t="shared" ca="1" si="126"/>
        <v>Medication</v>
      </c>
      <c r="H697">
        <f t="shared" ca="1" si="127"/>
        <v>5</v>
      </c>
      <c r="I697" t="str">
        <f t="shared" ca="1" si="128"/>
        <v>No</v>
      </c>
      <c r="J697">
        <f t="shared" ca="1" si="129"/>
        <v>4</v>
      </c>
      <c r="K697" t="str">
        <f t="shared" ca="1" si="130"/>
        <v>Public</v>
      </c>
      <c r="L697" t="str">
        <f t="shared" ca="1" si="131"/>
        <v>General</v>
      </c>
    </row>
    <row r="698" spans="1:12" x14ac:dyDescent="0.25">
      <c r="A698">
        <f t="shared" si="120"/>
        <v>697</v>
      </c>
      <c r="B698">
        <f t="shared" ca="1" si="121"/>
        <v>90</v>
      </c>
      <c r="C698" t="str">
        <f t="shared" ca="1" si="122"/>
        <v>Female</v>
      </c>
      <c r="D698" s="1">
        <f t="shared" ca="1" si="123"/>
        <v>45648</v>
      </c>
      <c r="E698" s="1">
        <f t="shared" ca="1" si="124"/>
        <v>45651</v>
      </c>
      <c r="F698" t="str">
        <f t="shared" ca="1" si="125"/>
        <v>Stroke</v>
      </c>
      <c r="G698" t="str">
        <f t="shared" ca="1" si="126"/>
        <v>Surgery</v>
      </c>
      <c r="H698">
        <f t="shared" ca="1" si="127"/>
        <v>3</v>
      </c>
      <c r="I698" t="str">
        <f t="shared" ca="1" si="128"/>
        <v>Yes</v>
      </c>
      <c r="J698">
        <f t="shared" ca="1" si="129"/>
        <v>1</v>
      </c>
      <c r="K698" t="str">
        <f t="shared" ca="1" si="130"/>
        <v>Private</v>
      </c>
      <c r="L698" t="str">
        <f t="shared" ca="1" si="131"/>
        <v>ICU</v>
      </c>
    </row>
    <row r="699" spans="1:12" x14ac:dyDescent="0.25">
      <c r="A699">
        <f t="shared" si="120"/>
        <v>698</v>
      </c>
      <c r="B699">
        <f t="shared" ca="1" si="121"/>
        <v>64</v>
      </c>
      <c r="C699" t="str">
        <f t="shared" ca="1" si="122"/>
        <v>Male</v>
      </c>
      <c r="D699" s="1">
        <f t="shared" ca="1" si="123"/>
        <v>45366</v>
      </c>
      <c r="E699" s="1">
        <f t="shared" ca="1" si="124"/>
        <v>45372</v>
      </c>
      <c r="F699" t="str">
        <f t="shared" ca="1" si="125"/>
        <v>Stroke</v>
      </c>
      <c r="G699" t="str">
        <f t="shared" ca="1" si="126"/>
        <v>Medication</v>
      </c>
      <c r="H699">
        <f t="shared" ca="1" si="127"/>
        <v>6</v>
      </c>
      <c r="I699" t="str">
        <f t="shared" ca="1" si="128"/>
        <v>No</v>
      </c>
      <c r="J699">
        <f t="shared" ca="1" si="129"/>
        <v>0</v>
      </c>
      <c r="K699" t="str">
        <f t="shared" ca="1" si="130"/>
        <v>Public</v>
      </c>
      <c r="L699" t="str">
        <f t="shared" ca="1" si="131"/>
        <v>General</v>
      </c>
    </row>
    <row r="700" spans="1:12" x14ac:dyDescent="0.25">
      <c r="A700">
        <f t="shared" si="120"/>
        <v>699</v>
      </c>
      <c r="B700">
        <f t="shared" ca="1" si="121"/>
        <v>88</v>
      </c>
      <c r="C700" t="str">
        <f t="shared" ca="1" si="122"/>
        <v>Male</v>
      </c>
      <c r="D700" s="1">
        <f t="shared" ca="1" si="123"/>
        <v>45557</v>
      </c>
      <c r="E700" s="1">
        <f t="shared" ca="1" si="124"/>
        <v>45565</v>
      </c>
      <c r="F700" t="str">
        <f t="shared" ca="1" si="125"/>
        <v>Pneumonia</v>
      </c>
      <c r="G700" t="str">
        <f t="shared" ca="1" si="126"/>
        <v>Surgery</v>
      </c>
      <c r="H700">
        <f t="shared" ca="1" si="127"/>
        <v>8</v>
      </c>
      <c r="I700" t="str">
        <f t="shared" ca="1" si="128"/>
        <v>No</v>
      </c>
      <c r="J700">
        <f t="shared" ca="1" si="129"/>
        <v>1</v>
      </c>
      <c r="K700" t="str">
        <f t="shared" ca="1" si="130"/>
        <v>None</v>
      </c>
      <c r="L700" t="str">
        <f t="shared" ca="1" si="131"/>
        <v>ICU</v>
      </c>
    </row>
    <row r="701" spans="1:12" x14ac:dyDescent="0.25">
      <c r="A701">
        <f t="shared" si="120"/>
        <v>700</v>
      </c>
      <c r="B701">
        <f t="shared" ca="1" si="121"/>
        <v>38</v>
      </c>
      <c r="C701" t="str">
        <f t="shared" ca="1" si="122"/>
        <v>Female</v>
      </c>
      <c r="D701" s="1">
        <f t="shared" ca="1" si="123"/>
        <v>45571</v>
      </c>
      <c r="E701" s="1">
        <f t="shared" ca="1" si="124"/>
        <v>45581</v>
      </c>
      <c r="F701" t="str">
        <f t="shared" ca="1" si="125"/>
        <v>Stroke</v>
      </c>
      <c r="G701" t="str">
        <f t="shared" ca="1" si="126"/>
        <v>Therapy</v>
      </c>
      <c r="H701">
        <f t="shared" ca="1" si="127"/>
        <v>10</v>
      </c>
      <c r="I701" t="str">
        <f t="shared" ca="1" si="128"/>
        <v>Yes</v>
      </c>
      <c r="J701">
        <f t="shared" ca="1" si="129"/>
        <v>4</v>
      </c>
      <c r="K701" t="str">
        <f t="shared" ca="1" si="130"/>
        <v>None</v>
      </c>
      <c r="L701" t="str">
        <f t="shared" ca="1" si="131"/>
        <v>Cardiology</v>
      </c>
    </row>
    <row r="702" spans="1:12" x14ac:dyDescent="0.25">
      <c r="A702">
        <f t="shared" si="120"/>
        <v>701</v>
      </c>
      <c r="B702">
        <f t="shared" ca="1" si="121"/>
        <v>73</v>
      </c>
      <c r="C702" t="str">
        <f t="shared" ca="1" si="122"/>
        <v>Female</v>
      </c>
      <c r="D702" s="1">
        <f t="shared" ca="1" si="123"/>
        <v>45392</v>
      </c>
      <c r="E702" s="1">
        <f t="shared" ca="1" si="124"/>
        <v>45403</v>
      </c>
      <c r="F702" t="str">
        <f t="shared" ca="1" si="125"/>
        <v>Diabetes</v>
      </c>
      <c r="G702" t="str">
        <f t="shared" ca="1" si="126"/>
        <v>Surgery</v>
      </c>
      <c r="H702">
        <f t="shared" ca="1" si="127"/>
        <v>11</v>
      </c>
      <c r="I702" t="str">
        <f t="shared" ca="1" si="128"/>
        <v>No</v>
      </c>
      <c r="J702">
        <f t="shared" ca="1" si="129"/>
        <v>2</v>
      </c>
      <c r="K702" t="str">
        <f t="shared" ca="1" si="130"/>
        <v>Private</v>
      </c>
      <c r="L702" t="str">
        <f t="shared" ca="1" si="131"/>
        <v>Neurology</v>
      </c>
    </row>
    <row r="703" spans="1:12" x14ac:dyDescent="0.25">
      <c r="A703">
        <f t="shared" si="120"/>
        <v>702</v>
      </c>
      <c r="B703">
        <f t="shared" ca="1" si="121"/>
        <v>35</v>
      </c>
      <c r="C703" t="str">
        <f t="shared" ca="1" si="122"/>
        <v>Male</v>
      </c>
      <c r="D703" s="1">
        <f t="shared" ca="1" si="123"/>
        <v>45367</v>
      </c>
      <c r="E703" s="1">
        <f t="shared" ca="1" si="124"/>
        <v>45379</v>
      </c>
      <c r="F703" t="str">
        <f t="shared" ca="1" si="125"/>
        <v>Pneumonia</v>
      </c>
      <c r="G703" t="str">
        <f t="shared" ca="1" si="126"/>
        <v>Therapy</v>
      </c>
      <c r="H703">
        <f t="shared" ca="1" si="127"/>
        <v>12</v>
      </c>
      <c r="I703" t="str">
        <f t="shared" ca="1" si="128"/>
        <v>No</v>
      </c>
      <c r="J703">
        <f t="shared" ca="1" si="129"/>
        <v>4</v>
      </c>
      <c r="K703" t="str">
        <f t="shared" ca="1" si="130"/>
        <v>None</v>
      </c>
      <c r="L703" t="str">
        <f t="shared" ca="1" si="131"/>
        <v>ER</v>
      </c>
    </row>
    <row r="704" spans="1:12" x14ac:dyDescent="0.25">
      <c r="A704">
        <f t="shared" si="120"/>
        <v>703</v>
      </c>
      <c r="B704">
        <f t="shared" ca="1" si="121"/>
        <v>85</v>
      </c>
      <c r="C704" t="str">
        <f t="shared" ca="1" si="122"/>
        <v>Female</v>
      </c>
      <c r="D704" s="1">
        <f t="shared" ca="1" si="123"/>
        <v>45593</v>
      </c>
      <c r="E704" s="1">
        <f t="shared" ca="1" si="124"/>
        <v>45603</v>
      </c>
      <c r="F704" t="str">
        <f t="shared" ca="1" si="125"/>
        <v>Stroke</v>
      </c>
      <c r="G704" t="str">
        <f t="shared" ca="1" si="126"/>
        <v>Therapy</v>
      </c>
      <c r="H704">
        <f t="shared" ca="1" si="127"/>
        <v>10</v>
      </c>
      <c r="I704" t="str">
        <f t="shared" ca="1" si="128"/>
        <v>Yes</v>
      </c>
      <c r="J704">
        <f t="shared" ca="1" si="129"/>
        <v>0</v>
      </c>
      <c r="K704" t="str">
        <f t="shared" ca="1" si="130"/>
        <v>None</v>
      </c>
      <c r="L704" t="str">
        <f t="shared" ca="1" si="131"/>
        <v>ICU</v>
      </c>
    </row>
    <row r="705" spans="1:12" x14ac:dyDescent="0.25">
      <c r="A705">
        <f t="shared" si="120"/>
        <v>704</v>
      </c>
      <c r="B705">
        <f t="shared" ca="1" si="121"/>
        <v>86</v>
      </c>
      <c r="C705" t="str">
        <f t="shared" ca="1" si="122"/>
        <v>Male</v>
      </c>
      <c r="D705" s="1">
        <f t="shared" ca="1" si="123"/>
        <v>45315</v>
      </c>
      <c r="E705" s="1">
        <f t="shared" ca="1" si="124"/>
        <v>45319</v>
      </c>
      <c r="F705" t="str">
        <f t="shared" ca="1" si="125"/>
        <v>Heart Failure</v>
      </c>
      <c r="G705" t="str">
        <f t="shared" ca="1" si="126"/>
        <v>Therapy</v>
      </c>
      <c r="H705">
        <f t="shared" ca="1" si="127"/>
        <v>4</v>
      </c>
      <c r="I705" t="str">
        <f t="shared" ca="1" si="128"/>
        <v>No</v>
      </c>
      <c r="J705">
        <f t="shared" ca="1" si="129"/>
        <v>3</v>
      </c>
      <c r="K705" t="str">
        <f t="shared" ca="1" si="130"/>
        <v>Public</v>
      </c>
      <c r="L705" t="str">
        <f t="shared" ca="1" si="131"/>
        <v>Cardiology</v>
      </c>
    </row>
    <row r="706" spans="1:12" x14ac:dyDescent="0.25">
      <c r="A706">
        <f t="shared" si="120"/>
        <v>705</v>
      </c>
      <c r="B706">
        <f t="shared" ca="1" si="121"/>
        <v>78</v>
      </c>
      <c r="C706" t="str">
        <f t="shared" ca="1" si="122"/>
        <v>Male</v>
      </c>
      <c r="D706" s="1">
        <f t="shared" ca="1" si="123"/>
        <v>45485</v>
      </c>
      <c r="E706" s="1">
        <f t="shared" ca="1" si="124"/>
        <v>45497</v>
      </c>
      <c r="F706" t="str">
        <f t="shared" ca="1" si="125"/>
        <v>Diabetes</v>
      </c>
      <c r="G706" t="str">
        <f t="shared" ca="1" si="126"/>
        <v>Medication</v>
      </c>
      <c r="H706">
        <f t="shared" ca="1" si="127"/>
        <v>12</v>
      </c>
      <c r="I706" t="str">
        <f t="shared" ca="1" si="128"/>
        <v>No</v>
      </c>
      <c r="J706">
        <f t="shared" ca="1" si="129"/>
        <v>4</v>
      </c>
      <c r="K706" t="str">
        <f t="shared" ca="1" si="130"/>
        <v>None</v>
      </c>
      <c r="L706" t="str">
        <f t="shared" ca="1" si="131"/>
        <v>ICU</v>
      </c>
    </row>
    <row r="707" spans="1:12" x14ac:dyDescent="0.25">
      <c r="A707">
        <f t="shared" ref="A707:A770" si="132">ROW() -1</f>
        <v>706</v>
      </c>
      <c r="B707">
        <f t="shared" ref="B707:B770" ca="1" si="133">RANDBETWEEN(20,90)</f>
        <v>79</v>
      </c>
      <c r="C707" t="str">
        <f t="shared" ref="C707:C770" ca="1" si="134">IF(RAND()&lt;0.5,"Male","Female")</f>
        <v>Female</v>
      </c>
      <c r="D707" s="1">
        <f t="shared" ref="D707:D770" ca="1" si="135">DATE(2024,1,1)+RANDBETWEEN(0,364)</f>
        <v>45559</v>
      </c>
      <c r="E707" s="1">
        <f t="shared" ref="E707:E770" ca="1" si="136">D707+RANDBETWEEN(1,15)</f>
        <v>45572</v>
      </c>
      <c r="F707" t="str">
        <f t="shared" ref="F707:F770" ca="1" si="137">CHOOSE(RANDBETWEEN(1,5),"Diabetes","Heart Failure","Pneumonia","Stroke","Hypertension")</f>
        <v>Pneumonia</v>
      </c>
      <c r="G707" t="str">
        <f t="shared" ref="G707:G770" ca="1" si="138">CHOOSE(RANDBETWEEN(1,3),"Medication","Surgery","Therapy")</f>
        <v>Surgery</v>
      </c>
      <c r="H707">
        <f t="shared" ref="H707:H770" ca="1" si="139">DATEDIF(D707,E707,"D")</f>
        <v>13</v>
      </c>
      <c r="I707" t="str">
        <f t="shared" ref="I707:I770" ca="1" si="140">IF(RAND()&lt;0.3,"Yes","No")</f>
        <v>No</v>
      </c>
      <c r="J707">
        <f t="shared" ref="J707:J770" ca="1" si="141">RANDBETWEEN(0,4)</f>
        <v>2</v>
      </c>
      <c r="K707" t="str">
        <f t="shared" ref="K707:K770" ca="1" si="142">CHOOSE(RANDBETWEEN(1,3),"Private","Public","None")</f>
        <v>Public</v>
      </c>
      <c r="L707" t="str">
        <f t="shared" ref="L707:L770" ca="1" si="143">CHOOSE(RANDBETWEEN(1,5),"ER","Cardiology","Neurology","General","ICU")</f>
        <v>Neurology</v>
      </c>
    </row>
    <row r="708" spans="1:12" x14ac:dyDescent="0.25">
      <c r="A708">
        <f t="shared" si="132"/>
        <v>707</v>
      </c>
      <c r="B708">
        <f t="shared" ca="1" si="133"/>
        <v>64</v>
      </c>
      <c r="C708" t="str">
        <f t="shared" ca="1" si="134"/>
        <v>Female</v>
      </c>
      <c r="D708" s="1">
        <f t="shared" ca="1" si="135"/>
        <v>45391</v>
      </c>
      <c r="E708" s="1">
        <f t="shared" ca="1" si="136"/>
        <v>45395</v>
      </c>
      <c r="F708" t="str">
        <f t="shared" ca="1" si="137"/>
        <v>Pneumonia</v>
      </c>
      <c r="G708" t="str">
        <f t="shared" ca="1" si="138"/>
        <v>Therapy</v>
      </c>
      <c r="H708">
        <f t="shared" ca="1" si="139"/>
        <v>4</v>
      </c>
      <c r="I708" t="str">
        <f t="shared" ca="1" si="140"/>
        <v>No</v>
      </c>
      <c r="J708">
        <f t="shared" ca="1" si="141"/>
        <v>1</v>
      </c>
      <c r="K708" t="str">
        <f t="shared" ca="1" si="142"/>
        <v>Private</v>
      </c>
      <c r="L708" t="str">
        <f t="shared" ca="1" si="143"/>
        <v>Neurology</v>
      </c>
    </row>
    <row r="709" spans="1:12" x14ac:dyDescent="0.25">
      <c r="A709">
        <f t="shared" si="132"/>
        <v>708</v>
      </c>
      <c r="B709">
        <f t="shared" ca="1" si="133"/>
        <v>86</v>
      </c>
      <c r="C709" t="str">
        <f t="shared" ca="1" si="134"/>
        <v>Female</v>
      </c>
      <c r="D709" s="1">
        <f t="shared" ca="1" si="135"/>
        <v>45465</v>
      </c>
      <c r="E709" s="1">
        <f t="shared" ca="1" si="136"/>
        <v>45471</v>
      </c>
      <c r="F709" t="str">
        <f t="shared" ca="1" si="137"/>
        <v>Heart Failure</v>
      </c>
      <c r="G709" t="str">
        <f t="shared" ca="1" si="138"/>
        <v>Therapy</v>
      </c>
      <c r="H709">
        <f t="shared" ca="1" si="139"/>
        <v>6</v>
      </c>
      <c r="I709" t="str">
        <f t="shared" ca="1" si="140"/>
        <v>Yes</v>
      </c>
      <c r="J709">
        <f t="shared" ca="1" si="141"/>
        <v>4</v>
      </c>
      <c r="K709" t="str">
        <f t="shared" ca="1" si="142"/>
        <v>Public</v>
      </c>
      <c r="L709" t="str">
        <f t="shared" ca="1" si="143"/>
        <v>General</v>
      </c>
    </row>
    <row r="710" spans="1:12" x14ac:dyDescent="0.25">
      <c r="A710">
        <f t="shared" si="132"/>
        <v>709</v>
      </c>
      <c r="B710">
        <f t="shared" ca="1" si="133"/>
        <v>50</v>
      </c>
      <c r="C710" t="str">
        <f t="shared" ca="1" si="134"/>
        <v>Male</v>
      </c>
      <c r="D710" s="1">
        <f t="shared" ca="1" si="135"/>
        <v>45582</v>
      </c>
      <c r="E710" s="1">
        <f t="shared" ca="1" si="136"/>
        <v>45583</v>
      </c>
      <c r="F710" t="str">
        <f t="shared" ca="1" si="137"/>
        <v>Heart Failure</v>
      </c>
      <c r="G710" t="str">
        <f t="shared" ca="1" si="138"/>
        <v>Medication</v>
      </c>
      <c r="H710">
        <f t="shared" ca="1" si="139"/>
        <v>1</v>
      </c>
      <c r="I710" t="str">
        <f t="shared" ca="1" si="140"/>
        <v>Yes</v>
      </c>
      <c r="J710">
        <f t="shared" ca="1" si="141"/>
        <v>0</v>
      </c>
      <c r="K710" t="str">
        <f t="shared" ca="1" si="142"/>
        <v>None</v>
      </c>
      <c r="L710" t="str">
        <f t="shared" ca="1" si="143"/>
        <v>ER</v>
      </c>
    </row>
    <row r="711" spans="1:12" x14ac:dyDescent="0.25">
      <c r="A711">
        <f t="shared" si="132"/>
        <v>710</v>
      </c>
      <c r="B711">
        <f t="shared" ca="1" si="133"/>
        <v>79</v>
      </c>
      <c r="C711" t="str">
        <f t="shared" ca="1" si="134"/>
        <v>Male</v>
      </c>
      <c r="D711" s="1">
        <f t="shared" ca="1" si="135"/>
        <v>45367</v>
      </c>
      <c r="E711" s="1">
        <f t="shared" ca="1" si="136"/>
        <v>45378</v>
      </c>
      <c r="F711" t="str">
        <f t="shared" ca="1" si="137"/>
        <v>Diabetes</v>
      </c>
      <c r="G711" t="str">
        <f t="shared" ca="1" si="138"/>
        <v>Medication</v>
      </c>
      <c r="H711">
        <f t="shared" ca="1" si="139"/>
        <v>11</v>
      </c>
      <c r="I711" t="str">
        <f t="shared" ca="1" si="140"/>
        <v>No</v>
      </c>
      <c r="J711">
        <f t="shared" ca="1" si="141"/>
        <v>3</v>
      </c>
      <c r="K711" t="str">
        <f t="shared" ca="1" si="142"/>
        <v>None</v>
      </c>
      <c r="L711" t="str">
        <f t="shared" ca="1" si="143"/>
        <v>Neurology</v>
      </c>
    </row>
    <row r="712" spans="1:12" x14ac:dyDescent="0.25">
      <c r="A712">
        <f t="shared" si="132"/>
        <v>711</v>
      </c>
      <c r="B712">
        <f t="shared" ca="1" si="133"/>
        <v>57</v>
      </c>
      <c r="C712" t="str">
        <f t="shared" ca="1" si="134"/>
        <v>Male</v>
      </c>
      <c r="D712" s="1">
        <f t="shared" ca="1" si="135"/>
        <v>45564</v>
      </c>
      <c r="E712" s="1">
        <f t="shared" ca="1" si="136"/>
        <v>45570</v>
      </c>
      <c r="F712" t="str">
        <f t="shared" ca="1" si="137"/>
        <v>Stroke</v>
      </c>
      <c r="G712" t="str">
        <f t="shared" ca="1" si="138"/>
        <v>Surgery</v>
      </c>
      <c r="H712">
        <f t="shared" ca="1" si="139"/>
        <v>6</v>
      </c>
      <c r="I712" t="str">
        <f t="shared" ca="1" si="140"/>
        <v>No</v>
      </c>
      <c r="J712">
        <f t="shared" ca="1" si="141"/>
        <v>0</v>
      </c>
      <c r="K712" t="str">
        <f t="shared" ca="1" si="142"/>
        <v>Public</v>
      </c>
      <c r="L712" t="str">
        <f t="shared" ca="1" si="143"/>
        <v>ICU</v>
      </c>
    </row>
    <row r="713" spans="1:12" x14ac:dyDescent="0.25">
      <c r="A713">
        <f t="shared" si="132"/>
        <v>712</v>
      </c>
      <c r="B713">
        <f t="shared" ca="1" si="133"/>
        <v>23</v>
      </c>
      <c r="C713" t="str">
        <f t="shared" ca="1" si="134"/>
        <v>Male</v>
      </c>
      <c r="D713" s="1">
        <f t="shared" ca="1" si="135"/>
        <v>45540</v>
      </c>
      <c r="E713" s="1">
        <f t="shared" ca="1" si="136"/>
        <v>45545</v>
      </c>
      <c r="F713" t="str">
        <f t="shared" ca="1" si="137"/>
        <v>Pneumonia</v>
      </c>
      <c r="G713" t="str">
        <f t="shared" ca="1" si="138"/>
        <v>Therapy</v>
      </c>
      <c r="H713">
        <f t="shared" ca="1" si="139"/>
        <v>5</v>
      </c>
      <c r="I713" t="str">
        <f t="shared" ca="1" si="140"/>
        <v>Yes</v>
      </c>
      <c r="J713">
        <f t="shared" ca="1" si="141"/>
        <v>1</v>
      </c>
      <c r="K713" t="str">
        <f t="shared" ca="1" si="142"/>
        <v>Private</v>
      </c>
      <c r="L713" t="str">
        <f t="shared" ca="1" si="143"/>
        <v>ICU</v>
      </c>
    </row>
    <row r="714" spans="1:12" x14ac:dyDescent="0.25">
      <c r="A714">
        <f t="shared" si="132"/>
        <v>713</v>
      </c>
      <c r="B714">
        <f t="shared" ca="1" si="133"/>
        <v>84</v>
      </c>
      <c r="C714" t="str">
        <f t="shared" ca="1" si="134"/>
        <v>Male</v>
      </c>
      <c r="D714" s="1">
        <f t="shared" ca="1" si="135"/>
        <v>45537</v>
      </c>
      <c r="E714" s="1">
        <f t="shared" ca="1" si="136"/>
        <v>45539</v>
      </c>
      <c r="F714" t="str">
        <f t="shared" ca="1" si="137"/>
        <v>Pneumonia</v>
      </c>
      <c r="G714" t="str">
        <f t="shared" ca="1" si="138"/>
        <v>Medication</v>
      </c>
      <c r="H714">
        <f t="shared" ca="1" si="139"/>
        <v>2</v>
      </c>
      <c r="I714" t="str">
        <f t="shared" ca="1" si="140"/>
        <v>Yes</v>
      </c>
      <c r="J714">
        <f t="shared" ca="1" si="141"/>
        <v>4</v>
      </c>
      <c r="K714" t="str">
        <f t="shared" ca="1" si="142"/>
        <v>None</v>
      </c>
      <c r="L714" t="str">
        <f t="shared" ca="1" si="143"/>
        <v>General</v>
      </c>
    </row>
    <row r="715" spans="1:12" x14ac:dyDescent="0.25">
      <c r="A715">
        <f t="shared" si="132"/>
        <v>714</v>
      </c>
      <c r="B715">
        <f t="shared" ca="1" si="133"/>
        <v>24</v>
      </c>
      <c r="C715" t="str">
        <f t="shared" ca="1" si="134"/>
        <v>Male</v>
      </c>
      <c r="D715" s="1">
        <f t="shared" ca="1" si="135"/>
        <v>45643</v>
      </c>
      <c r="E715" s="1">
        <f t="shared" ca="1" si="136"/>
        <v>45655</v>
      </c>
      <c r="F715" t="str">
        <f t="shared" ca="1" si="137"/>
        <v>Hypertension</v>
      </c>
      <c r="G715" t="str">
        <f t="shared" ca="1" si="138"/>
        <v>Therapy</v>
      </c>
      <c r="H715">
        <f t="shared" ca="1" si="139"/>
        <v>12</v>
      </c>
      <c r="I715" t="str">
        <f t="shared" ca="1" si="140"/>
        <v>Yes</v>
      </c>
      <c r="J715">
        <f t="shared" ca="1" si="141"/>
        <v>2</v>
      </c>
      <c r="K715" t="str">
        <f t="shared" ca="1" si="142"/>
        <v>Public</v>
      </c>
      <c r="L715" t="str">
        <f t="shared" ca="1" si="143"/>
        <v>General</v>
      </c>
    </row>
    <row r="716" spans="1:12" x14ac:dyDescent="0.25">
      <c r="A716">
        <f t="shared" si="132"/>
        <v>715</v>
      </c>
      <c r="B716">
        <f t="shared" ca="1" si="133"/>
        <v>37</v>
      </c>
      <c r="C716" t="str">
        <f t="shared" ca="1" si="134"/>
        <v>Female</v>
      </c>
      <c r="D716" s="1">
        <f t="shared" ca="1" si="135"/>
        <v>45563</v>
      </c>
      <c r="E716" s="1">
        <f t="shared" ca="1" si="136"/>
        <v>45565</v>
      </c>
      <c r="F716" t="str">
        <f t="shared" ca="1" si="137"/>
        <v>Heart Failure</v>
      </c>
      <c r="G716" t="str">
        <f t="shared" ca="1" si="138"/>
        <v>Surgery</v>
      </c>
      <c r="H716">
        <f t="shared" ca="1" si="139"/>
        <v>2</v>
      </c>
      <c r="I716" t="str">
        <f t="shared" ca="1" si="140"/>
        <v>No</v>
      </c>
      <c r="J716">
        <f t="shared" ca="1" si="141"/>
        <v>3</v>
      </c>
      <c r="K716" t="str">
        <f t="shared" ca="1" si="142"/>
        <v>None</v>
      </c>
      <c r="L716" t="str">
        <f t="shared" ca="1" si="143"/>
        <v>Cardiology</v>
      </c>
    </row>
    <row r="717" spans="1:12" x14ac:dyDescent="0.25">
      <c r="A717">
        <f t="shared" si="132"/>
        <v>716</v>
      </c>
      <c r="B717">
        <f t="shared" ca="1" si="133"/>
        <v>84</v>
      </c>
      <c r="C717" t="str">
        <f t="shared" ca="1" si="134"/>
        <v>Male</v>
      </c>
      <c r="D717" s="1">
        <f t="shared" ca="1" si="135"/>
        <v>45610</v>
      </c>
      <c r="E717" s="1">
        <f t="shared" ca="1" si="136"/>
        <v>45625</v>
      </c>
      <c r="F717" t="str">
        <f t="shared" ca="1" si="137"/>
        <v>Diabetes</v>
      </c>
      <c r="G717" t="str">
        <f t="shared" ca="1" si="138"/>
        <v>Surgery</v>
      </c>
      <c r="H717">
        <f t="shared" ca="1" si="139"/>
        <v>15</v>
      </c>
      <c r="I717" t="str">
        <f t="shared" ca="1" si="140"/>
        <v>No</v>
      </c>
      <c r="J717">
        <f t="shared" ca="1" si="141"/>
        <v>3</v>
      </c>
      <c r="K717" t="str">
        <f t="shared" ca="1" si="142"/>
        <v>Public</v>
      </c>
      <c r="L717" t="str">
        <f t="shared" ca="1" si="143"/>
        <v>ICU</v>
      </c>
    </row>
    <row r="718" spans="1:12" x14ac:dyDescent="0.25">
      <c r="A718">
        <f t="shared" si="132"/>
        <v>717</v>
      </c>
      <c r="B718">
        <f t="shared" ca="1" si="133"/>
        <v>75</v>
      </c>
      <c r="C718" t="str">
        <f t="shared" ca="1" si="134"/>
        <v>Male</v>
      </c>
      <c r="D718" s="1">
        <f t="shared" ca="1" si="135"/>
        <v>45507</v>
      </c>
      <c r="E718" s="1">
        <f t="shared" ca="1" si="136"/>
        <v>45511</v>
      </c>
      <c r="F718" t="str">
        <f t="shared" ca="1" si="137"/>
        <v>Pneumonia</v>
      </c>
      <c r="G718" t="str">
        <f t="shared" ca="1" si="138"/>
        <v>Therapy</v>
      </c>
      <c r="H718">
        <f t="shared" ca="1" si="139"/>
        <v>4</v>
      </c>
      <c r="I718" t="str">
        <f t="shared" ca="1" si="140"/>
        <v>No</v>
      </c>
      <c r="J718">
        <f t="shared" ca="1" si="141"/>
        <v>1</v>
      </c>
      <c r="K718" t="str">
        <f t="shared" ca="1" si="142"/>
        <v>Private</v>
      </c>
      <c r="L718" t="str">
        <f t="shared" ca="1" si="143"/>
        <v>General</v>
      </c>
    </row>
    <row r="719" spans="1:12" x14ac:dyDescent="0.25">
      <c r="A719">
        <f t="shared" si="132"/>
        <v>718</v>
      </c>
      <c r="B719">
        <f t="shared" ca="1" si="133"/>
        <v>70</v>
      </c>
      <c r="C719" t="str">
        <f t="shared" ca="1" si="134"/>
        <v>Male</v>
      </c>
      <c r="D719" s="1">
        <f t="shared" ca="1" si="135"/>
        <v>45393</v>
      </c>
      <c r="E719" s="1">
        <f t="shared" ca="1" si="136"/>
        <v>45406</v>
      </c>
      <c r="F719" t="str">
        <f t="shared" ca="1" si="137"/>
        <v>Diabetes</v>
      </c>
      <c r="G719" t="str">
        <f t="shared" ca="1" si="138"/>
        <v>Therapy</v>
      </c>
      <c r="H719">
        <f t="shared" ca="1" si="139"/>
        <v>13</v>
      </c>
      <c r="I719" t="str">
        <f t="shared" ca="1" si="140"/>
        <v>No</v>
      </c>
      <c r="J719">
        <f t="shared" ca="1" si="141"/>
        <v>3</v>
      </c>
      <c r="K719" t="str">
        <f t="shared" ca="1" si="142"/>
        <v>None</v>
      </c>
      <c r="L719" t="str">
        <f t="shared" ca="1" si="143"/>
        <v>General</v>
      </c>
    </row>
    <row r="720" spans="1:12" x14ac:dyDescent="0.25">
      <c r="A720">
        <f t="shared" si="132"/>
        <v>719</v>
      </c>
      <c r="B720">
        <f t="shared" ca="1" si="133"/>
        <v>48</v>
      </c>
      <c r="C720" t="str">
        <f t="shared" ca="1" si="134"/>
        <v>Female</v>
      </c>
      <c r="D720" s="1">
        <f t="shared" ca="1" si="135"/>
        <v>45336</v>
      </c>
      <c r="E720" s="1">
        <f t="shared" ca="1" si="136"/>
        <v>45340</v>
      </c>
      <c r="F720" t="str">
        <f t="shared" ca="1" si="137"/>
        <v>Stroke</v>
      </c>
      <c r="G720" t="str">
        <f t="shared" ca="1" si="138"/>
        <v>Therapy</v>
      </c>
      <c r="H720">
        <f t="shared" ca="1" si="139"/>
        <v>4</v>
      </c>
      <c r="I720" t="str">
        <f t="shared" ca="1" si="140"/>
        <v>No</v>
      </c>
      <c r="J720">
        <f t="shared" ca="1" si="141"/>
        <v>1</v>
      </c>
      <c r="K720" t="str">
        <f t="shared" ca="1" si="142"/>
        <v>None</v>
      </c>
      <c r="L720" t="str">
        <f t="shared" ca="1" si="143"/>
        <v>General</v>
      </c>
    </row>
    <row r="721" spans="1:12" x14ac:dyDescent="0.25">
      <c r="A721">
        <f t="shared" si="132"/>
        <v>720</v>
      </c>
      <c r="B721">
        <f t="shared" ca="1" si="133"/>
        <v>46</v>
      </c>
      <c r="C721" t="str">
        <f t="shared" ca="1" si="134"/>
        <v>Male</v>
      </c>
      <c r="D721" s="1">
        <f t="shared" ca="1" si="135"/>
        <v>45349</v>
      </c>
      <c r="E721" s="1">
        <f t="shared" ca="1" si="136"/>
        <v>45350</v>
      </c>
      <c r="F721" t="str">
        <f t="shared" ca="1" si="137"/>
        <v>Heart Failure</v>
      </c>
      <c r="G721" t="str">
        <f t="shared" ca="1" si="138"/>
        <v>Surgery</v>
      </c>
      <c r="H721">
        <f t="shared" ca="1" si="139"/>
        <v>1</v>
      </c>
      <c r="I721" t="str">
        <f t="shared" ca="1" si="140"/>
        <v>No</v>
      </c>
      <c r="J721">
        <f t="shared" ca="1" si="141"/>
        <v>0</v>
      </c>
      <c r="K721" t="str">
        <f t="shared" ca="1" si="142"/>
        <v>None</v>
      </c>
      <c r="L721" t="str">
        <f t="shared" ca="1" si="143"/>
        <v>General</v>
      </c>
    </row>
    <row r="722" spans="1:12" x14ac:dyDescent="0.25">
      <c r="A722">
        <f t="shared" si="132"/>
        <v>721</v>
      </c>
      <c r="B722">
        <f t="shared" ca="1" si="133"/>
        <v>28</v>
      </c>
      <c r="C722" t="str">
        <f t="shared" ca="1" si="134"/>
        <v>Female</v>
      </c>
      <c r="D722" s="1">
        <f t="shared" ca="1" si="135"/>
        <v>45324</v>
      </c>
      <c r="E722" s="1">
        <f t="shared" ca="1" si="136"/>
        <v>45339</v>
      </c>
      <c r="F722" t="str">
        <f t="shared" ca="1" si="137"/>
        <v>Diabetes</v>
      </c>
      <c r="G722" t="str">
        <f t="shared" ca="1" si="138"/>
        <v>Surgery</v>
      </c>
      <c r="H722">
        <f t="shared" ca="1" si="139"/>
        <v>15</v>
      </c>
      <c r="I722" t="str">
        <f t="shared" ca="1" si="140"/>
        <v>No</v>
      </c>
      <c r="J722">
        <f t="shared" ca="1" si="141"/>
        <v>2</v>
      </c>
      <c r="K722" t="str">
        <f t="shared" ca="1" si="142"/>
        <v>Public</v>
      </c>
      <c r="L722" t="str">
        <f t="shared" ca="1" si="143"/>
        <v>Cardiology</v>
      </c>
    </row>
    <row r="723" spans="1:12" x14ac:dyDescent="0.25">
      <c r="A723">
        <f t="shared" si="132"/>
        <v>722</v>
      </c>
      <c r="B723">
        <f t="shared" ca="1" si="133"/>
        <v>36</v>
      </c>
      <c r="C723" t="str">
        <f t="shared" ca="1" si="134"/>
        <v>Female</v>
      </c>
      <c r="D723" s="1">
        <f t="shared" ca="1" si="135"/>
        <v>45297</v>
      </c>
      <c r="E723" s="1">
        <f t="shared" ca="1" si="136"/>
        <v>45298</v>
      </c>
      <c r="F723" t="str">
        <f t="shared" ca="1" si="137"/>
        <v>Pneumonia</v>
      </c>
      <c r="G723" t="str">
        <f t="shared" ca="1" si="138"/>
        <v>Surgery</v>
      </c>
      <c r="H723">
        <f t="shared" ca="1" si="139"/>
        <v>1</v>
      </c>
      <c r="I723" t="str">
        <f t="shared" ca="1" si="140"/>
        <v>No</v>
      </c>
      <c r="J723">
        <f t="shared" ca="1" si="141"/>
        <v>0</v>
      </c>
      <c r="K723" t="str">
        <f t="shared" ca="1" si="142"/>
        <v>None</v>
      </c>
      <c r="L723" t="str">
        <f t="shared" ca="1" si="143"/>
        <v>Neurology</v>
      </c>
    </row>
    <row r="724" spans="1:12" x14ac:dyDescent="0.25">
      <c r="A724">
        <f t="shared" si="132"/>
        <v>723</v>
      </c>
      <c r="B724">
        <f t="shared" ca="1" si="133"/>
        <v>43</v>
      </c>
      <c r="C724" t="str">
        <f t="shared" ca="1" si="134"/>
        <v>Male</v>
      </c>
      <c r="D724" s="1">
        <f t="shared" ca="1" si="135"/>
        <v>45444</v>
      </c>
      <c r="E724" s="1">
        <f t="shared" ca="1" si="136"/>
        <v>45458</v>
      </c>
      <c r="F724" t="str">
        <f t="shared" ca="1" si="137"/>
        <v>Stroke</v>
      </c>
      <c r="G724" t="str">
        <f t="shared" ca="1" si="138"/>
        <v>Medication</v>
      </c>
      <c r="H724">
        <f t="shared" ca="1" si="139"/>
        <v>14</v>
      </c>
      <c r="I724" t="str">
        <f t="shared" ca="1" si="140"/>
        <v>Yes</v>
      </c>
      <c r="J724">
        <f t="shared" ca="1" si="141"/>
        <v>4</v>
      </c>
      <c r="K724" t="str">
        <f t="shared" ca="1" si="142"/>
        <v>None</v>
      </c>
      <c r="L724" t="str">
        <f t="shared" ca="1" si="143"/>
        <v>ICU</v>
      </c>
    </row>
    <row r="725" spans="1:12" x14ac:dyDescent="0.25">
      <c r="A725">
        <f t="shared" si="132"/>
        <v>724</v>
      </c>
      <c r="B725">
        <f t="shared" ca="1" si="133"/>
        <v>70</v>
      </c>
      <c r="C725" t="str">
        <f t="shared" ca="1" si="134"/>
        <v>Male</v>
      </c>
      <c r="D725" s="1">
        <f t="shared" ca="1" si="135"/>
        <v>45525</v>
      </c>
      <c r="E725" s="1">
        <f t="shared" ca="1" si="136"/>
        <v>45526</v>
      </c>
      <c r="F725" t="str">
        <f t="shared" ca="1" si="137"/>
        <v>Stroke</v>
      </c>
      <c r="G725" t="str">
        <f t="shared" ca="1" si="138"/>
        <v>Medication</v>
      </c>
      <c r="H725">
        <f t="shared" ca="1" si="139"/>
        <v>1</v>
      </c>
      <c r="I725" t="str">
        <f t="shared" ca="1" si="140"/>
        <v>No</v>
      </c>
      <c r="J725">
        <f t="shared" ca="1" si="141"/>
        <v>1</v>
      </c>
      <c r="K725" t="str">
        <f t="shared" ca="1" si="142"/>
        <v>Public</v>
      </c>
      <c r="L725" t="str">
        <f t="shared" ca="1" si="143"/>
        <v>ER</v>
      </c>
    </row>
    <row r="726" spans="1:12" x14ac:dyDescent="0.25">
      <c r="A726">
        <f t="shared" si="132"/>
        <v>725</v>
      </c>
      <c r="B726">
        <f t="shared" ca="1" si="133"/>
        <v>84</v>
      </c>
      <c r="C726" t="str">
        <f t="shared" ca="1" si="134"/>
        <v>Female</v>
      </c>
      <c r="D726" s="1">
        <f t="shared" ca="1" si="135"/>
        <v>45391</v>
      </c>
      <c r="E726" s="1">
        <f t="shared" ca="1" si="136"/>
        <v>45405</v>
      </c>
      <c r="F726" t="str">
        <f t="shared" ca="1" si="137"/>
        <v>Stroke</v>
      </c>
      <c r="G726" t="str">
        <f t="shared" ca="1" si="138"/>
        <v>Surgery</v>
      </c>
      <c r="H726">
        <f t="shared" ca="1" si="139"/>
        <v>14</v>
      </c>
      <c r="I726" t="str">
        <f t="shared" ca="1" si="140"/>
        <v>No</v>
      </c>
      <c r="J726">
        <f t="shared" ca="1" si="141"/>
        <v>4</v>
      </c>
      <c r="K726" t="str">
        <f t="shared" ca="1" si="142"/>
        <v>Public</v>
      </c>
      <c r="L726" t="str">
        <f t="shared" ca="1" si="143"/>
        <v>ER</v>
      </c>
    </row>
    <row r="727" spans="1:12" x14ac:dyDescent="0.25">
      <c r="A727">
        <f t="shared" si="132"/>
        <v>726</v>
      </c>
      <c r="B727">
        <f t="shared" ca="1" si="133"/>
        <v>35</v>
      </c>
      <c r="C727" t="str">
        <f t="shared" ca="1" si="134"/>
        <v>Female</v>
      </c>
      <c r="D727" s="1">
        <f t="shared" ca="1" si="135"/>
        <v>45327</v>
      </c>
      <c r="E727" s="1">
        <f t="shared" ca="1" si="136"/>
        <v>45329</v>
      </c>
      <c r="F727" t="str">
        <f t="shared" ca="1" si="137"/>
        <v>Diabetes</v>
      </c>
      <c r="G727" t="str">
        <f t="shared" ca="1" si="138"/>
        <v>Medication</v>
      </c>
      <c r="H727">
        <f t="shared" ca="1" si="139"/>
        <v>2</v>
      </c>
      <c r="I727" t="str">
        <f t="shared" ca="1" si="140"/>
        <v>Yes</v>
      </c>
      <c r="J727">
        <f t="shared" ca="1" si="141"/>
        <v>1</v>
      </c>
      <c r="K727" t="str">
        <f t="shared" ca="1" si="142"/>
        <v>Public</v>
      </c>
      <c r="L727" t="str">
        <f t="shared" ca="1" si="143"/>
        <v>General</v>
      </c>
    </row>
    <row r="728" spans="1:12" x14ac:dyDescent="0.25">
      <c r="A728">
        <f t="shared" si="132"/>
        <v>727</v>
      </c>
      <c r="B728">
        <f t="shared" ca="1" si="133"/>
        <v>82</v>
      </c>
      <c r="C728" t="str">
        <f t="shared" ca="1" si="134"/>
        <v>Female</v>
      </c>
      <c r="D728" s="1">
        <f t="shared" ca="1" si="135"/>
        <v>45517</v>
      </c>
      <c r="E728" s="1">
        <f t="shared" ca="1" si="136"/>
        <v>45523</v>
      </c>
      <c r="F728" t="str">
        <f t="shared" ca="1" si="137"/>
        <v>Diabetes</v>
      </c>
      <c r="G728" t="str">
        <f t="shared" ca="1" si="138"/>
        <v>Therapy</v>
      </c>
      <c r="H728">
        <f t="shared" ca="1" si="139"/>
        <v>6</v>
      </c>
      <c r="I728" t="str">
        <f t="shared" ca="1" si="140"/>
        <v>Yes</v>
      </c>
      <c r="J728">
        <f t="shared" ca="1" si="141"/>
        <v>1</v>
      </c>
      <c r="K728" t="str">
        <f t="shared" ca="1" si="142"/>
        <v>None</v>
      </c>
      <c r="L728" t="str">
        <f t="shared" ca="1" si="143"/>
        <v>ER</v>
      </c>
    </row>
    <row r="729" spans="1:12" x14ac:dyDescent="0.25">
      <c r="A729">
        <f t="shared" si="132"/>
        <v>728</v>
      </c>
      <c r="B729">
        <f t="shared" ca="1" si="133"/>
        <v>79</v>
      </c>
      <c r="C729" t="str">
        <f t="shared" ca="1" si="134"/>
        <v>Female</v>
      </c>
      <c r="D729" s="1">
        <f t="shared" ca="1" si="135"/>
        <v>45333</v>
      </c>
      <c r="E729" s="1">
        <f t="shared" ca="1" si="136"/>
        <v>45334</v>
      </c>
      <c r="F729" t="str">
        <f t="shared" ca="1" si="137"/>
        <v>Heart Failure</v>
      </c>
      <c r="G729" t="str">
        <f t="shared" ca="1" si="138"/>
        <v>Medication</v>
      </c>
      <c r="H729">
        <f t="shared" ca="1" si="139"/>
        <v>1</v>
      </c>
      <c r="I729" t="str">
        <f t="shared" ca="1" si="140"/>
        <v>Yes</v>
      </c>
      <c r="J729">
        <f t="shared" ca="1" si="141"/>
        <v>4</v>
      </c>
      <c r="K729" t="str">
        <f t="shared" ca="1" si="142"/>
        <v>Public</v>
      </c>
      <c r="L729" t="str">
        <f t="shared" ca="1" si="143"/>
        <v>ER</v>
      </c>
    </row>
    <row r="730" spans="1:12" x14ac:dyDescent="0.25">
      <c r="A730">
        <f t="shared" si="132"/>
        <v>729</v>
      </c>
      <c r="B730">
        <f t="shared" ca="1" si="133"/>
        <v>68</v>
      </c>
      <c r="C730" t="str">
        <f t="shared" ca="1" si="134"/>
        <v>Male</v>
      </c>
      <c r="D730" s="1">
        <f t="shared" ca="1" si="135"/>
        <v>45356</v>
      </c>
      <c r="E730" s="1">
        <f t="shared" ca="1" si="136"/>
        <v>45364</v>
      </c>
      <c r="F730" t="str">
        <f t="shared" ca="1" si="137"/>
        <v>Heart Failure</v>
      </c>
      <c r="G730" t="str">
        <f t="shared" ca="1" si="138"/>
        <v>Surgery</v>
      </c>
      <c r="H730">
        <f t="shared" ca="1" si="139"/>
        <v>8</v>
      </c>
      <c r="I730" t="str">
        <f t="shared" ca="1" si="140"/>
        <v>No</v>
      </c>
      <c r="J730">
        <f t="shared" ca="1" si="141"/>
        <v>4</v>
      </c>
      <c r="K730" t="str">
        <f t="shared" ca="1" si="142"/>
        <v>Public</v>
      </c>
      <c r="L730" t="str">
        <f t="shared" ca="1" si="143"/>
        <v>ICU</v>
      </c>
    </row>
    <row r="731" spans="1:12" x14ac:dyDescent="0.25">
      <c r="A731">
        <f t="shared" si="132"/>
        <v>730</v>
      </c>
      <c r="B731">
        <f t="shared" ca="1" si="133"/>
        <v>46</v>
      </c>
      <c r="C731" t="str">
        <f t="shared" ca="1" si="134"/>
        <v>Male</v>
      </c>
      <c r="D731" s="1">
        <f t="shared" ca="1" si="135"/>
        <v>45474</v>
      </c>
      <c r="E731" s="1">
        <f t="shared" ca="1" si="136"/>
        <v>45479</v>
      </c>
      <c r="F731" t="str">
        <f t="shared" ca="1" si="137"/>
        <v>Stroke</v>
      </c>
      <c r="G731" t="str">
        <f t="shared" ca="1" si="138"/>
        <v>Therapy</v>
      </c>
      <c r="H731">
        <f t="shared" ca="1" si="139"/>
        <v>5</v>
      </c>
      <c r="I731" t="str">
        <f t="shared" ca="1" si="140"/>
        <v>Yes</v>
      </c>
      <c r="J731">
        <f t="shared" ca="1" si="141"/>
        <v>0</v>
      </c>
      <c r="K731" t="str">
        <f t="shared" ca="1" si="142"/>
        <v>Private</v>
      </c>
      <c r="L731" t="str">
        <f t="shared" ca="1" si="143"/>
        <v>Cardiology</v>
      </c>
    </row>
    <row r="732" spans="1:12" x14ac:dyDescent="0.25">
      <c r="A732">
        <f t="shared" si="132"/>
        <v>731</v>
      </c>
      <c r="B732">
        <f t="shared" ca="1" si="133"/>
        <v>36</v>
      </c>
      <c r="C732" t="str">
        <f t="shared" ca="1" si="134"/>
        <v>Male</v>
      </c>
      <c r="D732" s="1">
        <f t="shared" ca="1" si="135"/>
        <v>45567</v>
      </c>
      <c r="E732" s="1">
        <f t="shared" ca="1" si="136"/>
        <v>45572</v>
      </c>
      <c r="F732" t="str">
        <f t="shared" ca="1" si="137"/>
        <v>Hypertension</v>
      </c>
      <c r="G732" t="str">
        <f t="shared" ca="1" si="138"/>
        <v>Medication</v>
      </c>
      <c r="H732">
        <f t="shared" ca="1" si="139"/>
        <v>5</v>
      </c>
      <c r="I732" t="str">
        <f t="shared" ca="1" si="140"/>
        <v>No</v>
      </c>
      <c r="J732">
        <f t="shared" ca="1" si="141"/>
        <v>2</v>
      </c>
      <c r="K732" t="str">
        <f t="shared" ca="1" si="142"/>
        <v>Public</v>
      </c>
      <c r="L732" t="str">
        <f t="shared" ca="1" si="143"/>
        <v>Neurology</v>
      </c>
    </row>
    <row r="733" spans="1:12" x14ac:dyDescent="0.25">
      <c r="A733">
        <f t="shared" si="132"/>
        <v>732</v>
      </c>
      <c r="B733">
        <f t="shared" ca="1" si="133"/>
        <v>75</v>
      </c>
      <c r="C733" t="str">
        <f t="shared" ca="1" si="134"/>
        <v>Male</v>
      </c>
      <c r="D733" s="1">
        <f t="shared" ca="1" si="135"/>
        <v>45407</v>
      </c>
      <c r="E733" s="1">
        <f t="shared" ca="1" si="136"/>
        <v>45414</v>
      </c>
      <c r="F733" t="str">
        <f t="shared" ca="1" si="137"/>
        <v>Diabetes</v>
      </c>
      <c r="G733" t="str">
        <f t="shared" ca="1" si="138"/>
        <v>Medication</v>
      </c>
      <c r="H733">
        <f t="shared" ca="1" si="139"/>
        <v>7</v>
      </c>
      <c r="I733" t="str">
        <f t="shared" ca="1" si="140"/>
        <v>Yes</v>
      </c>
      <c r="J733">
        <f t="shared" ca="1" si="141"/>
        <v>4</v>
      </c>
      <c r="K733" t="str">
        <f t="shared" ca="1" si="142"/>
        <v>Private</v>
      </c>
      <c r="L733" t="str">
        <f t="shared" ca="1" si="143"/>
        <v>Neurology</v>
      </c>
    </row>
    <row r="734" spans="1:12" x14ac:dyDescent="0.25">
      <c r="A734">
        <f t="shared" si="132"/>
        <v>733</v>
      </c>
      <c r="B734">
        <f t="shared" ca="1" si="133"/>
        <v>65</v>
      </c>
      <c r="C734" t="str">
        <f t="shared" ca="1" si="134"/>
        <v>Female</v>
      </c>
      <c r="D734" s="1">
        <f t="shared" ca="1" si="135"/>
        <v>45585</v>
      </c>
      <c r="E734" s="1">
        <f t="shared" ca="1" si="136"/>
        <v>45596</v>
      </c>
      <c r="F734" t="str">
        <f t="shared" ca="1" si="137"/>
        <v>Hypertension</v>
      </c>
      <c r="G734" t="str">
        <f t="shared" ca="1" si="138"/>
        <v>Surgery</v>
      </c>
      <c r="H734">
        <f t="shared" ca="1" si="139"/>
        <v>11</v>
      </c>
      <c r="I734" t="str">
        <f t="shared" ca="1" si="140"/>
        <v>Yes</v>
      </c>
      <c r="J734">
        <f t="shared" ca="1" si="141"/>
        <v>2</v>
      </c>
      <c r="K734" t="str">
        <f t="shared" ca="1" si="142"/>
        <v>Private</v>
      </c>
      <c r="L734" t="str">
        <f t="shared" ca="1" si="143"/>
        <v>ER</v>
      </c>
    </row>
    <row r="735" spans="1:12" x14ac:dyDescent="0.25">
      <c r="A735">
        <f t="shared" si="132"/>
        <v>734</v>
      </c>
      <c r="B735">
        <f t="shared" ca="1" si="133"/>
        <v>73</v>
      </c>
      <c r="C735" t="str">
        <f t="shared" ca="1" si="134"/>
        <v>Male</v>
      </c>
      <c r="D735" s="1">
        <f t="shared" ca="1" si="135"/>
        <v>45501</v>
      </c>
      <c r="E735" s="1">
        <f t="shared" ca="1" si="136"/>
        <v>45505</v>
      </c>
      <c r="F735" t="str">
        <f t="shared" ca="1" si="137"/>
        <v>Diabetes</v>
      </c>
      <c r="G735" t="str">
        <f t="shared" ca="1" si="138"/>
        <v>Therapy</v>
      </c>
      <c r="H735">
        <f t="shared" ca="1" si="139"/>
        <v>4</v>
      </c>
      <c r="I735" t="str">
        <f t="shared" ca="1" si="140"/>
        <v>Yes</v>
      </c>
      <c r="J735">
        <f t="shared" ca="1" si="141"/>
        <v>1</v>
      </c>
      <c r="K735" t="str">
        <f t="shared" ca="1" si="142"/>
        <v>Private</v>
      </c>
      <c r="L735" t="str">
        <f t="shared" ca="1" si="143"/>
        <v>ER</v>
      </c>
    </row>
    <row r="736" spans="1:12" x14ac:dyDescent="0.25">
      <c r="A736">
        <f t="shared" si="132"/>
        <v>735</v>
      </c>
      <c r="B736">
        <f t="shared" ca="1" si="133"/>
        <v>47</v>
      </c>
      <c r="C736" t="str">
        <f t="shared" ca="1" si="134"/>
        <v>Female</v>
      </c>
      <c r="D736" s="1">
        <f t="shared" ca="1" si="135"/>
        <v>45543</v>
      </c>
      <c r="E736" s="1">
        <f t="shared" ca="1" si="136"/>
        <v>45551</v>
      </c>
      <c r="F736" t="str">
        <f t="shared" ca="1" si="137"/>
        <v>Hypertension</v>
      </c>
      <c r="G736" t="str">
        <f t="shared" ca="1" si="138"/>
        <v>Therapy</v>
      </c>
      <c r="H736">
        <f t="shared" ca="1" si="139"/>
        <v>8</v>
      </c>
      <c r="I736" t="str">
        <f t="shared" ca="1" si="140"/>
        <v>No</v>
      </c>
      <c r="J736">
        <f t="shared" ca="1" si="141"/>
        <v>0</v>
      </c>
      <c r="K736" t="str">
        <f t="shared" ca="1" si="142"/>
        <v>None</v>
      </c>
      <c r="L736" t="str">
        <f t="shared" ca="1" si="143"/>
        <v>ICU</v>
      </c>
    </row>
    <row r="737" spans="1:12" x14ac:dyDescent="0.25">
      <c r="A737">
        <f t="shared" si="132"/>
        <v>736</v>
      </c>
      <c r="B737">
        <f t="shared" ca="1" si="133"/>
        <v>24</v>
      </c>
      <c r="C737" t="str">
        <f t="shared" ca="1" si="134"/>
        <v>Male</v>
      </c>
      <c r="D737" s="1">
        <f t="shared" ca="1" si="135"/>
        <v>45516</v>
      </c>
      <c r="E737" s="1">
        <f t="shared" ca="1" si="136"/>
        <v>45521</v>
      </c>
      <c r="F737" t="str">
        <f t="shared" ca="1" si="137"/>
        <v>Heart Failure</v>
      </c>
      <c r="G737" t="str">
        <f t="shared" ca="1" si="138"/>
        <v>Medication</v>
      </c>
      <c r="H737">
        <f t="shared" ca="1" si="139"/>
        <v>5</v>
      </c>
      <c r="I737" t="str">
        <f t="shared" ca="1" si="140"/>
        <v>No</v>
      </c>
      <c r="J737">
        <f t="shared" ca="1" si="141"/>
        <v>1</v>
      </c>
      <c r="K737" t="str">
        <f t="shared" ca="1" si="142"/>
        <v>None</v>
      </c>
      <c r="L737" t="str">
        <f t="shared" ca="1" si="143"/>
        <v>General</v>
      </c>
    </row>
    <row r="738" spans="1:12" x14ac:dyDescent="0.25">
      <c r="A738">
        <f t="shared" si="132"/>
        <v>737</v>
      </c>
      <c r="B738">
        <f t="shared" ca="1" si="133"/>
        <v>46</v>
      </c>
      <c r="C738" t="str">
        <f t="shared" ca="1" si="134"/>
        <v>Male</v>
      </c>
      <c r="D738" s="1">
        <f t="shared" ca="1" si="135"/>
        <v>45338</v>
      </c>
      <c r="E738" s="1">
        <f t="shared" ca="1" si="136"/>
        <v>45341</v>
      </c>
      <c r="F738" t="str">
        <f t="shared" ca="1" si="137"/>
        <v>Pneumonia</v>
      </c>
      <c r="G738" t="str">
        <f t="shared" ca="1" si="138"/>
        <v>Therapy</v>
      </c>
      <c r="H738">
        <f t="shared" ca="1" si="139"/>
        <v>3</v>
      </c>
      <c r="I738" t="str">
        <f t="shared" ca="1" si="140"/>
        <v>No</v>
      </c>
      <c r="J738">
        <f t="shared" ca="1" si="141"/>
        <v>4</v>
      </c>
      <c r="K738" t="str">
        <f t="shared" ca="1" si="142"/>
        <v>Private</v>
      </c>
      <c r="L738" t="str">
        <f t="shared" ca="1" si="143"/>
        <v>General</v>
      </c>
    </row>
    <row r="739" spans="1:12" x14ac:dyDescent="0.25">
      <c r="A739">
        <f t="shared" si="132"/>
        <v>738</v>
      </c>
      <c r="B739">
        <f t="shared" ca="1" si="133"/>
        <v>78</v>
      </c>
      <c r="C739" t="str">
        <f t="shared" ca="1" si="134"/>
        <v>Male</v>
      </c>
      <c r="D739" s="1">
        <f t="shared" ca="1" si="135"/>
        <v>45352</v>
      </c>
      <c r="E739" s="1">
        <f t="shared" ca="1" si="136"/>
        <v>45362</v>
      </c>
      <c r="F739" t="str">
        <f t="shared" ca="1" si="137"/>
        <v>Stroke</v>
      </c>
      <c r="G739" t="str">
        <f t="shared" ca="1" si="138"/>
        <v>Therapy</v>
      </c>
      <c r="H739">
        <f t="shared" ca="1" si="139"/>
        <v>10</v>
      </c>
      <c r="I739" t="str">
        <f t="shared" ca="1" si="140"/>
        <v>Yes</v>
      </c>
      <c r="J739">
        <f t="shared" ca="1" si="141"/>
        <v>1</v>
      </c>
      <c r="K739" t="str">
        <f t="shared" ca="1" si="142"/>
        <v>Private</v>
      </c>
      <c r="L739" t="str">
        <f t="shared" ca="1" si="143"/>
        <v>ER</v>
      </c>
    </row>
    <row r="740" spans="1:12" x14ac:dyDescent="0.25">
      <c r="A740">
        <f t="shared" si="132"/>
        <v>739</v>
      </c>
      <c r="B740">
        <f t="shared" ca="1" si="133"/>
        <v>31</v>
      </c>
      <c r="C740" t="str">
        <f t="shared" ca="1" si="134"/>
        <v>Female</v>
      </c>
      <c r="D740" s="1">
        <f t="shared" ca="1" si="135"/>
        <v>45320</v>
      </c>
      <c r="E740" s="1">
        <f t="shared" ca="1" si="136"/>
        <v>45331</v>
      </c>
      <c r="F740" t="str">
        <f t="shared" ca="1" si="137"/>
        <v>Hypertension</v>
      </c>
      <c r="G740" t="str">
        <f t="shared" ca="1" si="138"/>
        <v>Medication</v>
      </c>
      <c r="H740">
        <f t="shared" ca="1" si="139"/>
        <v>11</v>
      </c>
      <c r="I740" t="str">
        <f t="shared" ca="1" si="140"/>
        <v>No</v>
      </c>
      <c r="J740">
        <f t="shared" ca="1" si="141"/>
        <v>3</v>
      </c>
      <c r="K740" t="str">
        <f t="shared" ca="1" si="142"/>
        <v>Public</v>
      </c>
      <c r="L740" t="str">
        <f t="shared" ca="1" si="143"/>
        <v>ICU</v>
      </c>
    </row>
    <row r="741" spans="1:12" x14ac:dyDescent="0.25">
      <c r="A741">
        <f t="shared" si="132"/>
        <v>740</v>
      </c>
      <c r="B741">
        <f t="shared" ca="1" si="133"/>
        <v>79</v>
      </c>
      <c r="C741" t="str">
        <f t="shared" ca="1" si="134"/>
        <v>Female</v>
      </c>
      <c r="D741" s="1">
        <f t="shared" ca="1" si="135"/>
        <v>45480</v>
      </c>
      <c r="E741" s="1">
        <f t="shared" ca="1" si="136"/>
        <v>45486</v>
      </c>
      <c r="F741" t="str">
        <f t="shared" ca="1" si="137"/>
        <v>Heart Failure</v>
      </c>
      <c r="G741" t="str">
        <f t="shared" ca="1" si="138"/>
        <v>Surgery</v>
      </c>
      <c r="H741">
        <f t="shared" ca="1" si="139"/>
        <v>6</v>
      </c>
      <c r="I741" t="str">
        <f t="shared" ca="1" si="140"/>
        <v>No</v>
      </c>
      <c r="J741">
        <f t="shared" ca="1" si="141"/>
        <v>2</v>
      </c>
      <c r="K741" t="str">
        <f t="shared" ca="1" si="142"/>
        <v>Public</v>
      </c>
      <c r="L741" t="str">
        <f t="shared" ca="1" si="143"/>
        <v>ER</v>
      </c>
    </row>
    <row r="742" spans="1:12" x14ac:dyDescent="0.25">
      <c r="A742">
        <f t="shared" si="132"/>
        <v>741</v>
      </c>
      <c r="B742">
        <f t="shared" ca="1" si="133"/>
        <v>33</v>
      </c>
      <c r="C742" t="str">
        <f t="shared" ca="1" si="134"/>
        <v>Female</v>
      </c>
      <c r="D742" s="1">
        <f t="shared" ca="1" si="135"/>
        <v>45465</v>
      </c>
      <c r="E742" s="1">
        <f t="shared" ca="1" si="136"/>
        <v>45477</v>
      </c>
      <c r="F742" t="str">
        <f t="shared" ca="1" si="137"/>
        <v>Heart Failure</v>
      </c>
      <c r="G742" t="str">
        <f t="shared" ca="1" si="138"/>
        <v>Surgery</v>
      </c>
      <c r="H742">
        <f t="shared" ca="1" si="139"/>
        <v>12</v>
      </c>
      <c r="I742" t="str">
        <f t="shared" ca="1" si="140"/>
        <v>No</v>
      </c>
      <c r="J742">
        <f t="shared" ca="1" si="141"/>
        <v>4</v>
      </c>
      <c r="K742" t="str">
        <f t="shared" ca="1" si="142"/>
        <v>None</v>
      </c>
      <c r="L742" t="str">
        <f t="shared" ca="1" si="143"/>
        <v>ER</v>
      </c>
    </row>
    <row r="743" spans="1:12" x14ac:dyDescent="0.25">
      <c r="A743">
        <f t="shared" si="132"/>
        <v>742</v>
      </c>
      <c r="B743">
        <f t="shared" ca="1" si="133"/>
        <v>40</v>
      </c>
      <c r="C743" t="str">
        <f t="shared" ca="1" si="134"/>
        <v>Female</v>
      </c>
      <c r="D743" s="1">
        <f t="shared" ca="1" si="135"/>
        <v>45625</v>
      </c>
      <c r="E743" s="1">
        <f t="shared" ca="1" si="136"/>
        <v>45635</v>
      </c>
      <c r="F743" t="str">
        <f t="shared" ca="1" si="137"/>
        <v>Hypertension</v>
      </c>
      <c r="G743" t="str">
        <f t="shared" ca="1" si="138"/>
        <v>Therapy</v>
      </c>
      <c r="H743">
        <f t="shared" ca="1" si="139"/>
        <v>10</v>
      </c>
      <c r="I743" t="str">
        <f t="shared" ca="1" si="140"/>
        <v>Yes</v>
      </c>
      <c r="J743">
        <f t="shared" ca="1" si="141"/>
        <v>0</v>
      </c>
      <c r="K743" t="str">
        <f t="shared" ca="1" si="142"/>
        <v>Public</v>
      </c>
      <c r="L743" t="str">
        <f t="shared" ca="1" si="143"/>
        <v>ICU</v>
      </c>
    </row>
    <row r="744" spans="1:12" x14ac:dyDescent="0.25">
      <c r="A744">
        <f t="shared" si="132"/>
        <v>743</v>
      </c>
      <c r="B744">
        <f t="shared" ca="1" si="133"/>
        <v>85</v>
      </c>
      <c r="C744" t="str">
        <f t="shared" ca="1" si="134"/>
        <v>Female</v>
      </c>
      <c r="D744" s="1">
        <f t="shared" ca="1" si="135"/>
        <v>45423</v>
      </c>
      <c r="E744" s="1">
        <f t="shared" ca="1" si="136"/>
        <v>45434</v>
      </c>
      <c r="F744" t="str">
        <f t="shared" ca="1" si="137"/>
        <v>Diabetes</v>
      </c>
      <c r="G744" t="str">
        <f t="shared" ca="1" si="138"/>
        <v>Surgery</v>
      </c>
      <c r="H744">
        <f t="shared" ca="1" si="139"/>
        <v>11</v>
      </c>
      <c r="I744" t="str">
        <f t="shared" ca="1" si="140"/>
        <v>Yes</v>
      </c>
      <c r="J744">
        <f t="shared" ca="1" si="141"/>
        <v>3</v>
      </c>
      <c r="K744" t="str">
        <f t="shared" ca="1" si="142"/>
        <v>None</v>
      </c>
      <c r="L744" t="str">
        <f t="shared" ca="1" si="143"/>
        <v>ICU</v>
      </c>
    </row>
    <row r="745" spans="1:12" x14ac:dyDescent="0.25">
      <c r="A745">
        <f t="shared" si="132"/>
        <v>744</v>
      </c>
      <c r="B745">
        <f t="shared" ca="1" si="133"/>
        <v>59</v>
      </c>
      <c r="C745" t="str">
        <f t="shared" ca="1" si="134"/>
        <v>Female</v>
      </c>
      <c r="D745" s="1">
        <f t="shared" ca="1" si="135"/>
        <v>45344</v>
      </c>
      <c r="E745" s="1">
        <f t="shared" ca="1" si="136"/>
        <v>45353</v>
      </c>
      <c r="F745" t="str">
        <f t="shared" ca="1" si="137"/>
        <v>Heart Failure</v>
      </c>
      <c r="G745" t="str">
        <f t="shared" ca="1" si="138"/>
        <v>Medication</v>
      </c>
      <c r="H745">
        <f t="shared" ca="1" si="139"/>
        <v>9</v>
      </c>
      <c r="I745" t="str">
        <f t="shared" ca="1" si="140"/>
        <v>No</v>
      </c>
      <c r="J745">
        <f t="shared" ca="1" si="141"/>
        <v>1</v>
      </c>
      <c r="K745" t="str">
        <f t="shared" ca="1" si="142"/>
        <v>Private</v>
      </c>
      <c r="L745" t="str">
        <f t="shared" ca="1" si="143"/>
        <v>Cardiology</v>
      </c>
    </row>
    <row r="746" spans="1:12" x14ac:dyDescent="0.25">
      <c r="A746">
        <f t="shared" si="132"/>
        <v>745</v>
      </c>
      <c r="B746">
        <f t="shared" ca="1" si="133"/>
        <v>87</v>
      </c>
      <c r="C746" t="str">
        <f t="shared" ca="1" si="134"/>
        <v>Male</v>
      </c>
      <c r="D746" s="1">
        <f t="shared" ca="1" si="135"/>
        <v>45651</v>
      </c>
      <c r="E746" s="1">
        <f t="shared" ca="1" si="136"/>
        <v>45659</v>
      </c>
      <c r="F746" t="str">
        <f t="shared" ca="1" si="137"/>
        <v>Stroke</v>
      </c>
      <c r="G746" t="str">
        <f t="shared" ca="1" si="138"/>
        <v>Therapy</v>
      </c>
      <c r="H746">
        <f t="shared" ca="1" si="139"/>
        <v>8</v>
      </c>
      <c r="I746" t="str">
        <f t="shared" ca="1" si="140"/>
        <v>No</v>
      </c>
      <c r="J746">
        <f t="shared" ca="1" si="141"/>
        <v>4</v>
      </c>
      <c r="K746" t="str">
        <f t="shared" ca="1" si="142"/>
        <v>Private</v>
      </c>
      <c r="L746" t="str">
        <f t="shared" ca="1" si="143"/>
        <v>Neurology</v>
      </c>
    </row>
    <row r="747" spans="1:12" x14ac:dyDescent="0.25">
      <c r="A747">
        <f t="shared" si="132"/>
        <v>746</v>
      </c>
      <c r="B747">
        <f t="shared" ca="1" si="133"/>
        <v>30</v>
      </c>
      <c r="C747" t="str">
        <f t="shared" ca="1" si="134"/>
        <v>Male</v>
      </c>
      <c r="D747" s="1">
        <f t="shared" ca="1" si="135"/>
        <v>45491</v>
      </c>
      <c r="E747" s="1">
        <f t="shared" ca="1" si="136"/>
        <v>45496</v>
      </c>
      <c r="F747" t="str">
        <f t="shared" ca="1" si="137"/>
        <v>Stroke</v>
      </c>
      <c r="G747" t="str">
        <f t="shared" ca="1" si="138"/>
        <v>Medication</v>
      </c>
      <c r="H747">
        <f t="shared" ca="1" si="139"/>
        <v>5</v>
      </c>
      <c r="I747" t="str">
        <f t="shared" ca="1" si="140"/>
        <v>Yes</v>
      </c>
      <c r="J747">
        <f t="shared" ca="1" si="141"/>
        <v>0</v>
      </c>
      <c r="K747" t="str">
        <f t="shared" ca="1" si="142"/>
        <v>Private</v>
      </c>
      <c r="L747" t="str">
        <f t="shared" ca="1" si="143"/>
        <v>ICU</v>
      </c>
    </row>
    <row r="748" spans="1:12" x14ac:dyDescent="0.25">
      <c r="A748">
        <f t="shared" si="132"/>
        <v>747</v>
      </c>
      <c r="B748">
        <f t="shared" ca="1" si="133"/>
        <v>28</v>
      </c>
      <c r="C748" t="str">
        <f t="shared" ca="1" si="134"/>
        <v>Male</v>
      </c>
      <c r="D748" s="1">
        <f t="shared" ca="1" si="135"/>
        <v>45296</v>
      </c>
      <c r="E748" s="1">
        <f t="shared" ca="1" si="136"/>
        <v>45305</v>
      </c>
      <c r="F748" t="str">
        <f t="shared" ca="1" si="137"/>
        <v>Heart Failure</v>
      </c>
      <c r="G748" t="str">
        <f t="shared" ca="1" si="138"/>
        <v>Surgery</v>
      </c>
      <c r="H748">
        <f t="shared" ca="1" si="139"/>
        <v>9</v>
      </c>
      <c r="I748" t="str">
        <f t="shared" ca="1" si="140"/>
        <v>No</v>
      </c>
      <c r="J748">
        <f t="shared" ca="1" si="141"/>
        <v>4</v>
      </c>
      <c r="K748" t="str">
        <f t="shared" ca="1" si="142"/>
        <v>Public</v>
      </c>
      <c r="L748" t="str">
        <f t="shared" ca="1" si="143"/>
        <v>Cardiology</v>
      </c>
    </row>
    <row r="749" spans="1:12" x14ac:dyDescent="0.25">
      <c r="A749">
        <f t="shared" si="132"/>
        <v>748</v>
      </c>
      <c r="B749">
        <f t="shared" ca="1" si="133"/>
        <v>73</v>
      </c>
      <c r="C749" t="str">
        <f t="shared" ca="1" si="134"/>
        <v>Female</v>
      </c>
      <c r="D749" s="1">
        <f t="shared" ca="1" si="135"/>
        <v>45432</v>
      </c>
      <c r="E749" s="1">
        <f t="shared" ca="1" si="136"/>
        <v>45444</v>
      </c>
      <c r="F749" t="str">
        <f t="shared" ca="1" si="137"/>
        <v>Hypertension</v>
      </c>
      <c r="G749" t="str">
        <f t="shared" ca="1" si="138"/>
        <v>Medication</v>
      </c>
      <c r="H749">
        <f t="shared" ca="1" si="139"/>
        <v>12</v>
      </c>
      <c r="I749" t="str">
        <f t="shared" ca="1" si="140"/>
        <v>No</v>
      </c>
      <c r="J749">
        <f t="shared" ca="1" si="141"/>
        <v>3</v>
      </c>
      <c r="K749" t="str">
        <f t="shared" ca="1" si="142"/>
        <v>Public</v>
      </c>
      <c r="L749" t="str">
        <f t="shared" ca="1" si="143"/>
        <v>General</v>
      </c>
    </row>
    <row r="750" spans="1:12" x14ac:dyDescent="0.25">
      <c r="A750">
        <f t="shared" si="132"/>
        <v>749</v>
      </c>
      <c r="B750">
        <f t="shared" ca="1" si="133"/>
        <v>54</v>
      </c>
      <c r="C750" t="str">
        <f t="shared" ca="1" si="134"/>
        <v>Female</v>
      </c>
      <c r="D750" s="1">
        <f t="shared" ca="1" si="135"/>
        <v>45634</v>
      </c>
      <c r="E750" s="1">
        <f t="shared" ca="1" si="136"/>
        <v>45638</v>
      </c>
      <c r="F750" t="str">
        <f t="shared" ca="1" si="137"/>
        <v>Pneumonia</v>
      </c>
      <c r="G750" t="str">
        <f t="shared" ca="1" si="138"/>
        <v>Medication</v>
      </c>
      <c r="H750">
        <f t="shared" ca="1" si="139"/>
        <v>4</v>
      </c>
      <c r="I750" t="str">
        <f t="shared" ca="1" si="140"/>
        <v>Yes</v>
      </c>
      <c r="J750">
        <f t="shared" ca="1" si="141"/>
        <v>2</v>
      </c>
      <c r="K750" t="str">
        <f t="shared" ca="1" si="142"/>
        <v>Public</v>
      </c>
      <c r="L750" t="str">
        <f t="shared" ca="1" si="143"/>
        <v>ICU</v>
      </c>
    </row>
    <row r="751" spans="1:12" x14ac:dyDescent="0.25">
      <c r="A751">
        <f t="shared" si="132"/>
        <v>750</v>
      </c>
      <c r="B751">
        <f t="shared" ca="1" si="133"/>
        <v>60</v>
      </c>
      <c r="C751" t="str">
        <f t="shared" ca="1" si="134"/>
        <v>Female</v>
      </c>
      <c r="D751" s="1">
        <f t="shared" ca="1" si="135"/>
        <v>45524</v>
      </c>
      <c r="E751" s="1">
        <f t="shared" ca="1" si="136"/>
        <v>45533</v>
      </c>
      <c r="F751" t="str">
        <f t="shared" ca="1" si="137"/>
        <v>Stroke</v>
      </c>
      <c r="G751" t="str">
        <f t="shared" ca="1" si="138"/>
        <v>Therapy</v>
      </c>
      <c r="H751">
        <f t="shared" ca="1" si="139"/>
        <v>9</v>
      </c>
      <c r="I751" t="str">
        <f t="shared" ca="1" si="140"/>
        <v>No</v>
      </c>
      <c r="J751">
        <f t="shared" ca="1" si="141"/>
        <v>3</v>
      </c>
      <c r="K751" t="str">
        <f t="shared" ca="1" si="142"/>
        <v>Public</v>
      </c>
      <c r="L751" t="str">
        <f t="shared" ca="1" si="143"/>
        <v>ICU</v>
      </c>
    </row>
    <row r="752" spans="1:12" x14ac:dyDescent="0.25">
      <c r="A752">
        <f t="shared" si="132"/>
        <v>751</v>
      </c>
      <c r="B752">
        <f t="shared" ca="1" si="133"/>
        <v>81</v>
      </c>
      <c r="C752" t="str">
        <f t="shared" ca="1" si="134"/>
        <v>Female</v>
      </c>
      <c r="D752" s="1">
        <f t="shared" ca="1" si="135"/>
        <v>45327</v>
      </c>
      <c r="E752" s="1">
        <f t="shared" ca="1" si="136"/>
        <v>45333</v>
      </c>
      <c r="F752" t="str">
        <f t="shared" ca="1" si="137"/>
        <v>Diabetes</v>
      </c>
      <c r="G752" t="str">
        <f t="shared" ca="1" si="138"/>
        <v>Therapy</v>
      </c>
      <c r="H752">
        <f t="shared" ca="1" si="139"/>
        <v>6</v>
      </c>
      <c r="I752" t="str">
        <f t="shared" ca="1" si="140"/>
        <v>No</v>
      </c>
      <c r="J752">
        <f t="shared" ca="1" si="141"/>
        <v>2</v>
      </c>
      <c r="K752" t="str">
        <f t="shared" ca="1" si="142"/>
        <v>Public</v>
      </c>
      <c r="L752" t="str">
        <f t="shared" ca="1" si="143"/>
        <v>ER</v>
      </c>
    </row>
    <row r="753" spans="1:12" x14ac:dyDescent="0.25">
      <c r="A753">
        <f t="shared" si="132"/>
        <v>752</v>
      </c>
      <c r="B753">
        <f t="shared" ca="1" si="133"/>
        <v>59</v>
      </c>
      <c r="C753" t="str">
        <f t="shared" ca="1" si="134"/>
        <v>Female</v>
      </c>
      <c r="D753" s="1">
        <f t="shared" ca="1" si="135"/>
        <v>45418</v>
      </c>
      <c r="E753" s="1">
        <f t="shared" ca="1" si="136"/>
        <v>45422</v>
      </c>
      <c r="F753" t="str">
        <f t="shared" ca="1" si="137"/>
        <v>Stroke</v>
      </c>
      <c r="G753" t="str">
        <f t="shared" ca="1" si="138"/>
        <v>Medication</v>
      </c>
      <c r="H753">
        <f t="shared" ca="1" si="139"/>
        <v>4</v>
      </c>
      <c r="I753" t="str">
        <f t="shared" ca="1" si="140"/>
        <v>No</v>
      </c>
      <c r="J753">
        <f t="shared" ca="1" si="141"/>
        <v>0</v>
      </c>
      <c r="K753" t="str">
        <f t="shared" ca="1" si="142"/>
        <v>Private</v>
      </c>
      <c r="L753" t="str">
        <f t="shared" ca="1" si="143"/>
        <v>Neurology</v>
      </c>
    </row>
    <row r="754" spans="1:12" x14ac:dyDescent="0.25">
      <c r="A754">
        <f t="shared" si="132"/>
        <v>753</v>
      </c>
      <c r="B754">
        <f t="shared" ca="1" si="133"/>
        <v>84</v>
      </c>
      <c r="C754" t="str">
        <f t="shared" ca="1" si="134"/>
        <v>Male</v>
      </c>
      <c r="D754" s="1">
        <f t="shared" ca="1" si="135"/>
        <v>45392</v>
      </c>
      <c r="E754" s="1">
        <f t="shared" ca="1" si="136"/>
        <v>45398</v>
      </c>
      <c r="F754" t="str">
        <f t="shared" ca="1" si="137"/>
        <v>Heart Failure</v>
      </c>
      <c r="G754" t="str">
        <f t="shared" ca="1" si="138"/>
        <v>Surgery</v>
      </c>
      <c r="H754">
        <f t="shared" ca="1" si="139"/>
        <v>6</v>
      </c>
      <c r="I754" t="str">
        <f t="shared" ca="1" si="140"/>
        <v>Yes</v>
      </c>
      <c r="J754">
        <f t="shared" ca="1" si="141"/>
        <v>2</v>
      </c>
      <c r="K754" t="str">
        <f t="shared" ca="1" si="142"/>
        <v>Private</v>
      </c>
      <c r="L754" t="str">
        <f t="shared" ca="1" si="143"/>
        <v>General</v>
      </c>
    </row>
    <row r="755" spans="1:12" x14ac:dyDescent="0.25">
      <c r="A755">
        <f t="shared" si="132"/>
        <v>754</v>
      </c>
      <c r="B755">
        <f t="shared" ca="1" si="133"/>
        <v>36</v>
      </c>
      <c r="C755" t="str">
        <f t="shared" ca="1" si="134"/>
        <v>Female</v>
      </c>
      <c r="D755" s="1">
        <f t="shared" ca="1" si="135"/>
        <v>45388</v>
      </c>
      <c r="E755" s="1">
        <f t="shared" ca="1" si="136"/>
        <v>45393</v>
      </c>
      <c r="F755" t="str">
        <f t="shared" ca="1" si="137"/>
        <v>Diabetes</v>
      </c>
      <c r="G755" t="str">
        <f t="shared" ca="1" si="138"/>
        <v>Medication</v>
      </c>
      <c r="H755">
        <f t="shared" ca="1" si="139"/>
        <v>5</v>
      </c>
      <c r="I755" t="str">
        <f t="shared" ca="1" si="140"/>
        <v>Yes</v>
      </c>
      <c r="J755">
        <f t="shared" ca="1" si="141"/>
        <v>2</v>
      </c>
      <c r="K755" t="str">
        <f t="shared" ca="1" si="142"/>
        <v>Private</v>
      </c>
      <c r="L755" t="str">
        <f t="shared" ca="1" si="143"/>
        <v>Neurology</v>
      </c>
    </row>
    <row r="756" spans="1:12" x14ac:dyDescent="0.25">
      <c r="A756">
        <f t="shared" si="132"/>
        <v>755</v>
      </c>
      <c r="B756">
        <f t="shared" ca="1" si="133"/>
        <v>82</v>
      </c>
      <c r="C756" t="str">
        <f t="shared" ca="1" si="134"/>
        <v>Male</v>
      </c>
      <c r="D756" s="1">
        <f t="shared" ca="1" si="135"/>
        <v>45589</v>
      </c>
      <c r="E756" s="1">
        <f t="shared" ca="1" si="136"/>
        <v>45596</v>
      </c>
      <c r="F756" t="str">
        <f t="shared" ca="1" si="137"/>
        <v>Diabetes</v>
      </c>
      <c r="G756" t="str">
        <f t="shared" ca="1" si="138"/>
        <v>Surgery</v>
      </c>
      <c r="H756">
        <f t="shared" ca="1" si="139"/>
        <v>7</v>
      </c>
      <c r="I756" t="str">
        <f t="shared" ca="1" si="140"/>
        <v>Yes</v>
      </c>
      <c r="J756">
        <f t="shared" ca="1" si="141"/>
        <v>4</v>
      </c>
      <c r="K756" t="str">
        <f t="shared" ca="1" si="142"/>
        <v>Private</v>
      </c>
      <c r="L756" t="str">
        <f t="shared" ca="1" si="143"/>
        <v>General</v>
      </c>
    </row>
    <row r="757" spans="1:12" x14ac:dyDescent="0.25">
      <c r="A757">
        <f t="shared" si="132"/>
        <v>756</v>
      </c>
      <c r="B757">
        <f t="shared" ca="1" si="133"/>
        <v>63</v>
      </c>
      <c r="C757" t="str">
        <f t="shared" ca="1" si="134"/>
        <v>Male</v>
      </c>
      <c r="D757" s="1">
        <f t="shared" ca="1" si="135"/>
        <v>45378</v>
      </c>
      <c r="E757" s="1">
        <f t="shared" ca="1" si="136"/>
        <v>45382</v>
      </c>
      <c r="F757" t="str">
        <f t="shared" ca="1" si="137"/>
        <v>Diabetes</v>
      </c>
      <c r="G757" t="str">
        <f t="shared" ca="1" si="138"/>
        <v>Surgery</v>
      </c>
      <c r="H757">
        <f t="shared" ca="1" si="139"/>
        <v>4</v>
      </c>
      <c r="I757" t="str">
        <f t="shared" ca="1" si="140"/>
        <v>No</v>
      </c>
      <c r="J757">
        <f t="shared" ca="1" si="141"/>
        <v>0</v>
      </c>
      <c r="K757" t="str">
        <f t="shared" ca="1" si="142"/>
        <v>Private</v>
      </c>
      <c r="L757" t="str">
        <f t="shared" ca="1" si="143"/>
        <v>Neurology</v>
      </c>
    </row>
    <row r="758" spans="1:12" x14ac:dyDescent="0.25">
      <c r="A758">
        <f t="shared" si="132"/>
        <v>757</v>
      </c>
      <c r="B758">
        <f t="shared" ca="1" si="133"/>
        <v>30</v>
      </c>
      <c r="C758" t="str">
        <f t="shared" ca="1" si="134"/>
        <v>Female</v>
      </c>
      <c r="D758" s="1">
        <f t="shared" ca="1" si="135"/>
        <v>45512</v>
      </c>
      <c r="E758" s="1">
        <f t="shared" ca="1" si="136"/>
        <v>45516</v>
      </c>
      <c r="F758" t="str">
        <f t="shared" ca="1" si="137"/>
        <v>Pneumonia</v>
      </c>
      <c r="G758" t="str">
        <f t="shared" ca="1" si="138"/>
        <v>Surgery</v>
      </c>
      <c r="H758">
        <f t="shared" ca="1" si="139"/>
        <v>4</v>
      </c>
      <c r="I758" t="str">
        <f t="shared" ca="1" si="140"/>
        <v>Yes</v>
      </c>
      <c r="J758">
        <f t="shared" ca="1" si="141"/>
        <v>3</v>
      </c>
      <c r="K758" t="str">
        <f t="shared" ca="1" si="142"/>
        <v>Public</v>
      </c>
      <c r="L758" t="str">
        <f t="shared" ca="1" si="143"/>
        <v>Cardiology</v>
      </c>
    </row>
    <row r="759" spans="1:12" x14ac:dyDescent="0.25">
      <c r="A759">
        <f t="shared" si="132"/>
        <v>758</v>
      </c>
      <c r="B759">
        <f t="shared" ca="1" si="133"/>
        <v>70</v>
      </c>
      <c r="C759" t="str">
        <f t="shared" ca="1" si="134"/>
        <v>Female</v>
      </c>
      <c r="D759" s="1">
        <f t="shared" ca="1" si="135"/>
        <v>45360</v>
      </c>
      <c r="E759" s="1">
        <f t="shared" ca="1" si="136"/>
        <v>45375</v>
      </c>
      <c r="F759" t="str">
        <f t="shared" ca="1" si="137"/>
        <v>Heart Failure</v>
      </c>
      <c r="G759" t="str">
        <f t="shared" ca="1" si="138"/>
        <v>Surgery</v>
      </c>
      <c r="H759">
        <f t="shared" ca="1" si="139"/>
        <v>15</v>
      </c>
      <c r="I759" t="str">
        <f t="shared" ca="1" si="140"/>
        <v>No</v>
      </c>
      <c r="J759">
        <f t="shared" ca="1" si="141"/>
        <v>3</v>
      </c>
      <c r="K759" t="str">
        <f t="shared" ca="1" si="142"/>
        <v>None</v>
      </c>
      <c r="L759" t="str">
        <f t="shared" ca="1" si="143"/>
        <v>Cardiology</v>
      </c>
    </row>
    <row r="760" spans="1:12" x14ac:dyDescent="0.25">
      <c r="A760">
        <f t="shared" si="132"/>
        <v>759</v>
      </c>
      <c r="B760">
        <f t="shared" ca="1" si="133"/>
        <v>60</v>
      </c>
      <c r="C760" t="str">
        <f t="shared" ca="1" si="134"/>
        <v>Female</v>
      </c>
      <c r="D760" s="1">
        <f t="shared" ca="1" si="135"/>
        <v>45402</v>
      </c>
      <c r="E760" s="1">
        <f t="shared" ca="1" si="136"/>
        <v>45405</v>
      </c>
      <c r="F760" t="str">
        <f t="shared" ca="1" si="137"/>
        <v>Diabetes</v>
      </c>
      <c r="G760" t="str">
        <f t="shared" ca="1" si="138"/>
        <v>Surgery</v>
      </c>
      <c r="H760">
        <f t="shared" ca="1" si="139"/>
        <v>3</v>
      </c>
      <c r="I760" t="str">
        <f t="shared" ca="1" si="140"/>
        <v>Yes</v>
      </c>
      <c r="J760">
        <f t="shared" ca="1" si="141"/>
        <v>1</v>
      </c>
      <c r="K760" t="str">
        <f t="shared" ca="1" si="142"/>
        <v>Private</v>
      </c>
      <c r="L760" t="str">
        <f t="shared" ca="1" si="143"/>
        <v>ICU</v>
      </c>
    </row>
    <row r="761" spans="1:12" x14ac:dyDescent="0.25">
      <c r="A761">
        <f t="shared" si="132"/>
        <v>760</v>
      </c>
      <c r="B761">
        <f t="shared" ca="1" si="133"/>
        <v>40</v>
      </c>
      <c r="C761" t="str">
        <f t="shared" ca="1" si="134"/>
        <v>Male</v>
      </c>
      <c r="D761" s="1">
        <f t="shared" ca="1" si="135"/>
        <v>45452</v>
      </c>
      <c r="E761" s="1">
        <f t="shared" ca="1" si="136"/>
        <v>45464</v>
      </c>
      <c r="F761" t="str">
        <f t="shared" ca="1" si="137"/>
        <v>Heart Failure</v>
      </c>
      <c r="G761" t="str">
        <f t="shared" ca="1" si="138"/>
        <v>Therapy</v>
      </c>
      <c r="H761">
        <f t="shared" ca="1" si="139"/>
        <v>12</v>
      </c>
      <c r="I761" t="str">
        <f t="shared" ca="1" si="140"/>
        <v>No</v>
      </c>
      <c r="J761">
        <f t="shared" ca="1" si="141"/>
        <v>4</v>
      </c>
      <c r="K761" t="str">
        <f t="shared" ca="1" si="142"/>
        <v>Private</v>
      </c>
      <c r="L761" t="str">
        <f t="shared" ca="1" si="143"/>
        <v>General</v>
      </c>
    </row>
    <row r="762" spans="1:12" x14ac:dyDescent="0.25">
      <c r="A762">
        <f t="shared" si="132"/>
        <v>761</v>
      </c>
      <c r="B762">
        <f t="shared" ca="1" si="133"/>
        <v>83</v>
      </c>
      <c r="C762" t="str">
        <f t="shared" ca="1" si="134"/>
        <v>Male</v>
      </c>
      <c r="D762" s="1">
        <f t="shared" ca="1" si="135"/>
        <v>45486</v>
      </c>
      <c r="E762" s="1">
        <f t="shared" ca="1" si="136"/>
        <v>45495</v>
      </c>
      <c r="F762" t="str">
        <f t="shared" ca="1" si="137"/>
        <v>Heart Failure</v>
      </c>
      <c r="G762" t="str">
        <f t="shared" ca="1" si="138"/>
        <v>Medication</v>
      </c>
      <c r="H762">
        <f t="shared" ca="1" si="139"/>
        <v>9</v>
      </c>
      <c r="I762" t="str">
        <f t="shared" ca="1" si="140"/>
        <v>Yes</v>
      </c>
      <c r="J762">
        <f t="shared" ca="1" si="141"/>
        <v>2</v>
      </c>
      <c r="K762" t="str">
        <f t="shared" ca="1" si="142"/>
        <v>Private</v>
      </c>
      <c r="L762" t="str">
        <f t="shared" ca="1" si="143"/>
        <v>ICU</v>
      </c>
    </row>
    <row r="763" spans="1:12" x14ac:dyDescent="0.25">
      <c r="A763">
        <f t="shared" si="132"/>
        <v>762</v>
      </c>
      <c r="B763">
        <f t="shared" ca="1" si="133"/>
        <v>33</v>
      </c>
      <c r="C763" t="str">
        <f t="shared" ca="1" si="134"/>
        <v>Female</v>
      </c>
      <c r="D763" s="1">
        <f t="shared" ca="1" si="135"/>
        <v>45526</v>
      </c>
      <c r="E763" s="1">
        <f t="shared" ca="1" si="136"/>
        <v>45528</v>
      </c>
      <c r="F763" t="str">
        <f t="shared" ca="1" si="137"/>
        <v>Stroke</v>
      </c>
      <c r="G763" t="str">
        <f t="shared" ca="1" si="138"/>
        <v>Therapy</v>
      </c>
      <c r="H763">
        <f t="shared" ca="1" si="139"/>
        <v>2</v>
      </c>
      <c r="I763" t="str">
        <f t="shared" ca="1" si="140"/>
        <v>No</v>
      </c>
      <c r="J763">
        <f t="shared" ca="1" si="141"/>
        <v>1</v>
      </c>
      <c r="K763" t="str">
        <f t="shared" ca="1" si="142"/>
        <v>Private</v>
      </c>
      <c r="L763" t="str">
        <f t="shared" ca="1" si="143"/>
        <v>ER</v>
      </c>
    </row>
    <row r="764" spans="1:12" x14ac:dyDescent="0.25">
      <c r="A764">
        <f t="shared" si="132"/>
        <v>763</v>
      </c>
      <c r="B764">
        <f t="shared" ca="1" si="133"/>
        <v>21</v>
      </c>
      <c r="C764" t="str">
        <f t="shared" ca="1" si="134"/>
        <v>Female</v>
      </c>
      <c r="D764" s="1">
        <f t="shared" ca="1" si="135"/>
        <v>45610</v>
      </c>
      <c r="E764" s="1">
        <f t="shared" ca="1" si="136"/>
        <v>45611</v>
      </c>
      <c r="F764" t="str">
        <f t="shared" ca="1" si="137"/>
        <v>Pneumonia</v>
      </c>
      <c r="G764" t="str">
        <f t="shared" ca="1" si="138"/>
        <v>Surgery</v>
      </c>
      <c r="H764">
        <f t="shared" ca="1" si="139"/>
        <v>1</v>
      </c>
      <c r="I764" t="str">
        <f t="shared" ca="1" si="140"/>
        <v>No</v>
      </c>
      <c r="J764">
        <f t="shared" ca="1" si="141"/>
        <v>1</v>
      </c>
      <c r="K764" t="str">
        <f t="shared" ca="1" si="142"/>
        <v>Public</v>
      </c>
      <c r="L764" t="str">
        <f t="shared" ca="1" si="143"/>
        <v>General</v>
      </c>
    </row>
    <row r="765" spans="1:12" x14ac:dyDescent="0.25">
      <c r="A765">
        <f t="shared" si="132"/>
        <v>764</v>
      </c>
      <c r="B765">
        <f t="shared" ca="1" si="133"/>
        <v>72</v>
      </c>
      <c r="C765" t="str">
        <f t="shared" ca="1" si="134"/>
        <v>Male</v>
      </c>
      <c r="D765" s="1">
        <f t="shared" ca="1" si="135"/>
        <v>45419</v>
      </c>
      <c r="E765" s="1">
        <f t="shared" ca="1" si="136"/>
        <v>45430</v>
      </c>
      <c r="F765" t="str">
        <f t="shared" ca="1" si="137"/>
        <v>Diabetes</v>
      </c>
      <c r="G765" t="str">
        <f t="shared" ca="1" si="138"/>
        <v>Medication</v>
      </c>
      <c r="H765">
        <f t="shared" ca="1" si="139"/>
        <v>11</v>
      </c>
      <c r="I765" t="str">
        <f t="shared" ca="1" si="140"/>
        <v>Yes</v>
      </c>
      <c r="J765">
        <f t="shared" ca="1" si="141"/>
        <v>1</v>
      </c>
      <c r="K765" t="str">
        <f t="shared" ca="1" si="142"/>
        <v>Public</v>
      </c>
      <c r="L765" t="str">
        <f t="shared" ca="1" si="143"/>
        <v>ER</v>
      </c>
    </row>
    <row r="766" spans="1:12" x14ac:dyDescent="0.25">
      <c r="A766">
        <f t="shared" si="132"/>
        <v>765</v>
      </c>
      <c r="B766">
        <f t="shared" ca="1" si="133"/>
        <v>65</v>
      </c>
      <c r="C766" t="str">
        <f t="shared" ca="1" si="134"/>
        <v>Female</v>
      </c>
      <c r="D766" s="1">
        <f t="shared" ca="1" si="135"/>
        <v>45584</v>
      </c>
      <c r="E766" s="1">
        <f t="shared" ca="1" si="136"/>
        <v>45591</v>
      </c>
      <c r="F766" t="str">
        <f t="shared" ca="1" si="137"/>
        <v>Pneumonia</v>
      </c>
      <c r="G766" t="str">
        <f t="shared" ca="1" si="138"/>
        <v>Medication</v>
      </c>
      <c r="H766">
        <f t="shared" ca="1" si="139"/>
        <v>7</v>
      </c>
      <c r="I766" t="str">
        <f t="shared" ca="1" si="140"/>
        <v>Yes</v>
      </c>
      <c r="J766">
        <f t="shared" ca="1" si="141"/>
        <v>2</v>
      </c>
      <c r="K766" t="str">
        <f t="shared" ca="1" si="142"/>
        <v>Private</v>
      </c>
      <c r="L766" t="str">
        <f t="shared" ca="1" si="143"/>
        <v>Cardiology</v>
      </c>
    </row>
    <row r="767" spans="1:12" x14ac:dyDescent="0.25">
      <c r="A767">
        <f t="shared" si="132"/>
        <v>766</v>
      </c>
      <c r="B767">
        <f t="shared" ca="1" si="133"/>
        <v>48</v>
      </c>
      <c r="C767" t="str">
        <f t="shared" ca="1" si="134"/>
        <v>Female</v>
      </c>
      <c r="D767" s="1">
        <f t="shared" ca="1" si="135"/>
        <v>45515</v>
      </c>
      <c r="E767" s="1">
        <f t="shared" ca="1" si="136"/>
        <v>45526</v>
      </c>
      <c r="F767" t="str">
        <f t="shared" ca="1" si="137"/>
        <v>Diabetes</v>
      </c>
      <c r="G767" t="str">
        <f t="shared" ca="1" si="138"/>
        <v>Surgery</v>
      </c>
      <c r="H767">
        <f t="shared" ca="1" si="139"/>
        <v>11</v>
      </c>
      <c r="I767" t="str">
        <f t="shared" ca="1" si="140"/>
        <v>No</v>
      </c>
      <c r="J767">
        <f t="shared" ca="1" si="141"/>
        <v>1</v>
      </c>
      <c r="K767" t="str">
        <f t="shared" ca="1" si="142"/>
        <v>Public</v>
      </c>
      <c r="L767" t="str">
        <f t="shared" ca="1" si="143"/>
        <v>Neurology</v>
      </c>
    </row>
    <row r="768" spans="1:12" x14ac:dyDescent="0.25">
      <c r="A768">
        <f t="shared" si="132"/>
        <v>767</v>
      </c>
      <c r="B768">
        <f t="shared" ca="1" si="133"/>
        <v>21</v>
      </c>
      <c r="C768" t="str">
        <f t="shared" ca="1" si="134"/>
        <v>Female</v>
      </c>
      <c r="D768" s="1">
        <f t="shared" ca="1" si="135"/>
        <v>45402</v>
      </c>
      <c r="E768" s="1">
        <f t="shared" ca="1" si="136"/>
        <v>45417</v>
      </c>
      <c r="F768" t="str">
        <f t="shared" ca="1" si="137"/>
        <v>Pneumonia</v>
      </c>
      <c r="G768" t="str">
        <f t="shared" ca="1" si="138"/>
        <v>Surgery</v>
      </c>
      <c r="H768">
        <f t="shared" ca="1" si="139"/>
        <v>15</v>
      </c>
      <c r="I768" t="str">
        <f t="shared" ca="1" si="140"/>
        <v>No</v>
      </c>
      <c r="J768">
        <f t="shared" ca="1" si="141"/>
        <v>4</v>
      </c>
      <c r="K768" t="str">
        <f t="shared" ca="1" si="142"/>
        <v>None</v>
      </c>
      <c r="L768" t="str">
        <f t="shared" ca="1" si="143"/>
        <v>General</v>
      </c>
    </row>
    <row r="769" spans="1:12" x14ac:dyDescent="0.25">
      <c r="A769">
        <f t="shared" si="132"/>
        <v>768</v>
      </c>
      <c r="B769">
        <f t="shared" ca="1" si="133"/>
        <v>88</v>
      </c>
      <c r="C769" t="str">
        <f t="shared" ca="1" si="134"/>
        <v>Female</v>
      </c>
      <c r="D769" s="1">
        <f t="shared" ca="1" si="135"/>
        <v>45501</v>
      </c>
      <c r="E769" s="1">
        <f t="shared" ca="1" si="136"/>
        <v>45511</v>
      </c>
      <c r="F769" t="str">
        <f t="shared" ca="1" si="137"/>
        <v>Pneumonia</v>
      </c>
      <c r="G769" t="str">
        <f t="shared" ca="1" si="138"/>
        <v>Medication</v>
      </c>
      <c r="H769">
        <f t="shared" ca="1" si="139"/>
        <v>10</v>
      </c>
      <c r="I769" t="str">
        <f t="shared" ca="1" si="140"/>
        <v>No</v>
      </c>
      <c r="J769">
        <f t="shared" ca="1" si="141"/>
        <v>3</v>
      </c>
      <c r="K769" t="str">
        <f t="shared" ca="1" si="142"/>
        <v>Private</v>
      </c>
      <c r="L769" t="str">
        <f t="shared" ca="1" si="143"/>
        <v>General</v>
      </c>
    </row>
    <row r="770" spans="1:12" x14ac:dyDescent="0.25">
      <c r="A770">
        <f t="shared" si="132"/>
        <v>769</v>
      </c>
      <c r="B770">
        <f t="shared" ca="1" si="133"/>
        <v>29</v>
      </c>
      <c r="C770" t="str">
        <f t="shared" ca="1" si="134"/>
        <v>Female</v>
      </c>
      <c r="D770" s="1">
        <f t="shared" ca="1" si="135"/>
        <v>45540</v>
      </c>
      <c r="E770" s="1">
        <f t="shared" ca="1" si="136"/>
        <v>45555</v>
      </c>
      <c r="F770" t="str">
        <f t="shared" ca="1" si="137"/>
        <v>Diabetes</v>
      </c>
      <c r="G770" t="str">
        <f t="shared" ca="1" si="138"/>
        <v>Medication</v>
      </c>
      <c r="H770">
        <f t="shared" ca="1" si="139"/>
        <v>15</v>
      </c>
      <c r="I770" t="str">
        <f t="shared" ca="1" si="140"/>
        <v>No</v>
      </c>
      <c r="J770">
        <f t="shared" ca="1" si="141"/>
        <v>2</v>
      </c>
      <c r="K770" t="str">
        <f t="shared" ca="1" si="142"/>
        <v>Private</v>
      </c>
      <c r="L770" t="str">
        <f t="shared" ca="1" si="143"/>
        <v>Cardiology</v>
      </c>
    </row>
    <row r="771" spans="1:12" x14ac:dyDescent="0.25">
      <c r="A771">
        <f t="shared" ref="A771:A834" si="144">ROW() -1</f>
        <v>770</v>
      </c>
      <c r="B771">
        <f t="shared" ref="B771:B834" ca="1" si="145">RANDBETWEEN(20,90)</f>
        <v>79</v>
      </c>
      <c r="C771" t="str">
        <f t="shared" ref="C771:C834" ca="1" si="146">IF(RAND()&lt;0.5,"Male","Female")</f>
        <v>Male</v>
      </c>
      <c r="D771" s="1">
        <f t="shared" ref="D771:D834" ca="1" si="147">DATE(2024,1,1)+RANDBETWEEN(0,364)</f>
        <v>45325</v>
      </c>
      <c r="E771" s="1">
        <f t="shared" ref="E771:E834" ca="1" si="148">D771+RANDBETWEEN(1,15)</f>
        <v>45339</v>
      </c>
      <c r="F771" t="str">
        <f t="shared" ref="F771:F834" ca="1" si="149">CHOOSE(RANDBETWEEN(1,5),"Diabetes","Heart Failure","Pneumonia","Stroke","Hypertension")</f>
        <v>Hypertension</v>
      </c>
      <c r="G771" t="str">
        <f t="shared" ref="G771:G834" ca="1" si="150">CHOOSE(RANDBETWEEN(1,3),"Medication","Surgery","Therapy")</f>
        <v>Medication</v>
      </c>
      <c r="H771">
        <f t="shared" ref="H771:H834" ca="1" si="151">DATEDIF(D771,E771,"D")</f>
        <v>14</v>
      </c>
      <c r="I771" t="str">
        <f t="shared" ref="I771:I834" ca="1" si="152">IF(RAND()&lt;0.3,"Yes","No")</f>
        <v>No</v>
      </c>
      <c r="J771">
        <f t="shared" ref="J771:J834" ca="1" si="153">RANDBETWEEN(0,4)</f>
        <v>2</v>
      </c>
      <c r="K771" t="str">
        <f t="shared" ref="K771:K834" ca="1" si="154">CHOOSE(RANDBETWEEN(1,3),"Private","Public","None")</f>
        <v>None</v>
      </c>
      <c r="L771" t="str">
        <f t="shared" ref="L771:L834" ca="1" si="155">CHOOSE(RANDBETWEEN(1,5),"ER","Cardiology","Neurology","General","ICU")</f>
        <v>ICU</v>
      </c>
    </row>
    <row r="772" spans="1:12" x14ac:dyDescent="0.25">
      <c r="A772">
        <f t="shared" si="144"/>
        <v>771</v>
      </c>
      <c r="B772">
        <f t="shared" ca="1" si="145"/>
        <v>77</v>
      </c>
      <c r="C772" t="str">
        <f t="shared" ca="1" si="146"/>
        <v>Female</v>
      </c>
      <c r="D772" s="1">
        <f t="shared" ca="1" si="147"/>
        <v>45466</v>
      </c>
      <c r="E772" s="1">
        <f t="shared" ca="1" si="148"/>
        <v>45470</v>
      </c>
      <c r="F772" t="str">
        <f t="shared" ca="1" si="149"/>
        <v>Pneumonia</v>
      </c>
      <c r="G772" t="str">
        <f t="shared" ca="1" si="150"/>
        <v>Therapy</v>
      </c>
      <c r="H772">
        <f t="shared" ca="1" si="151"/>
        <v>4</v>
      </c>
      <c r="I772" t="str">
        <f t="shared" ca="1" si="152"/>
        <v>No</v>
      </c>
      <c r="J772">
        <f t="shared" ca="1" si="153"/>
        <v>4</v>
      </c>
      <c r="K772" t="str">
        <f t="shared" ca="1" si="154"/>
        <v>None</v>
      </c>
      <c r="L772" t="str">
        <f t="shared" ca="1" si="155"/>
        <v>General</v>
      </c>
    </row>
    <row r="773" spans="1:12" x14ac:dyDescent="0.25">
      <c r="A773">
        <f t="shared" si="144"/>
        <v>772</v>
      </c>
      <c r="B773">
        <f t="shared" ca="1" si="145"/>
        <v>49</v>
      </c>
      <c r="C773" t="str">
        <f t="shared" ca="1" si="146"/>
        <v>Male</v>
      </c>
      <c r="D773" s="1">
        <f t="shared" ca="1" si="147"/>
        <v>45465</v>
      </c>
      <c r="E773" s="1">
        <f t="shared" ca="1" si="148"/>
        <v>45469</v>
      </c>
      <c r="F773" t="str">
        <f t="shared" ca="1" si="149"/>
        <v>Pneumonia</v>
      </c>
      <c r="G773" t="str">
        <f t="shared" ca="1" si="150"/>
        <v>Therapy</v>
      </c>
      <c r="H773">
        <f t="shared" ca="1" si="151"/>
        <v>4</v>
      </c>
      <c r="I773" t="str">
        <f t="shared" ca="1" si="152"/>
        <v>No</v>
      </c>
      <c r="J773">
        <f t="shared" ca="1" si="153"/>
        <v>4</v>
      </c>
      <c r="K773" t="str">
        <f t="shared" ca="1" si="154"/>
        <v>None</v>
      </c>
      <c r="L773" t="str">
        <f t="shared" ca="1" si="155"/>
        <v>Neurology</v>
      </c>
    </row>
    <row r="774" spans="1:12" x14ac:dyDescent="0.25">
      <c r="A774">
        <f t="shared" si="144"/>
        <v>773</v>
      </c>
      <c r="B774">
        <f t="shared" ca="1" si="145"/>
        <v>77</v>
      </c>
      <c r="C774" t="str">
        <f t="shared" ca="1" si="146"/>
        <v>Female</v>
      </c>
      <c r="D774" s="1">
        <f t="shared" ca="1" si="147"/>
        <v>45516</v>
      </c>
      <c r="E774" s="1">
        <f t="shared" ca="1" si="148"/>
        <v>45524</v>
      </c>
      <c r="F774" t="str">
        <f t="shared" ca="1" si="149"/>
        <v>Heart Failure</v>
      </c>
      <c r="G774" t="str">
        <f t="shared" ca="1" si="150"/>
        <v>Surgery</v>
      </c>
      <c r="H774">
        <f t="shared" ca="1" si="151"/>
        <v>8</v>
      </c>
      <c r="I774" t="str">
        <f t="shared" ca="1" si="152"/>
        <v>No</v>
      </c>
      <c r="J774">
        <f t="shared" ca="1" si="153"/>
        <v>4</v>
      </c>
      <c r="K774" t="str">
        <f t="shared" ca="1" si="154"/>
        <v>Private</v>
      </c>
      <c r="L774" t="str">
        <f t="shared" ca="1" si="155"/>
        <v>Neurology</v>
      </c>
    </row>
    <row r="775" spans="1:12" x14ac:dyDescent="0.25">
      <c r="A775">
        <f t="shared" si="144"/>
        <v>774</v>
      </c>
      <c r="B775">
        <f t="shared" ca="1" si="145"/>
        <v>42</v>
      </c>
      <c r="C775" t="str">
        <f t="shared" ca="1" si="146"/>
        <v>Male</v>
      </c>
      <c r="D775" s="1">
        <f t="shared" ca="1" si="147"/>
        <v>45569</v>
      </c>
      <c r="E775" s="1">
        <f t="shared" ca="1" si="148"/>
        <v>45581</v>
      </c>
      <c r="F775" t="str">
        <f t="shared" ca="1" si="149"/>
        <v>Stroke</v>
      </c>
      <c r="G775" t="str">
        <f t="shared" ca="1" si="150"/>
        <v>Therapy</v>
      </c>
      <c r="H775">
        <f t="shared" ca="1" si="151"/>
        <v>12</v>
      </c>
      <c r="I775" t="str">
        <f t="shared" ca="1" si="152"/>
        <v>No</v>
      </c>
      <c r="J775">
        <f t="shared" ca="1" si="153"/>
        <v>1</v>
      </c>
      <c r="K775" t="str">
        <f t="shared" ca="1" si="154"/>
        <v>Public</v>
      </c>
      <c r="L775" t="str">
        <f t="shared" ca="1" si="155"/>
        <v>Cardiology</v>
      </c>
    </row>
    <row r="776" spans="1:12" x14ac:dyDescent="0.25">
      <c r="A776">
        <f t="shared" si="144"/>
        <v>775</v>
      </c>
      <c r="B776">
        <f t="shared" ca="1" si="145"/>
        <v>77</v>
      </c>
      <c r="C776" t="str">
        <f t="shared" ca="1" si="146"/>
        <v>Female</v>
      </c>
      <c r="D776" s="1">
        <f t="shared" ca="1" si="147"/>
        <v>45603</v>
      </c>
      <c r="E776" s="1">
        <f t="shared" ca="1" si="148"/>
        <v>45615</v>
      </c>
      <c r="F776" t="str">
        <f t="shared" ca="1" si="149"/>
        <v>Heart Failure</v>
      </c>
      <c r="G776" t="str">
        <f t="shared" ca="1" si="150"/>
        <v>Medication</v>
      </c>
      <c r="H776">
        <f t="shared" ca="1" si="151"/>
        <v>12</v>
      </c>
      <c r="I776" t="str">
        <f t="shared" ca="1" si="152"/>
        <v>No</v>
      </c>
      <c r="J776">
        <f t="shared" ca="1" si="153"/>
        <v>2</v>
      </c>
      <c r="K776" t="str">
        <f t="shared" ca="1" si="154"/>
        <v>Private</v>
      </c>
      <c r="L776" t="str">
        <f t="shared" ca="1" si="155"/>
        <v>ER</v>
      </c>
    </row>
    <row r="777" spans="1:12" x14ac:dyDescent="0.25">
      <c r="A777">
        <f t="shared" si="144"/>
        <v>776</v>
      </c>
      <c r="B777">
        <f t="shared" ca="1" si="145"/>
        <v>78</v>
      </c>
      <c r="C777" t="str">
        <f t="shared" ca="1" si="146"/>
        <v>Male</v>
      </c>
      <c r="D777" s="1">
        <f t="shared" ca="1" si="147"/>
        <v>45592</v>
      </c>
      <c r="E777" s="1">
        <f t="shared" ca="1" si="148"/>
        <v>45606</v>
      </c>
      <c r="F777" t="str">
        <f t="shared" ca="1" si="149"/>
        <v>Pneumonia</v>
      </c>
      <c r="G777" t="str">
        <f t="shared" ca="1" si="150"/>
        <v>Surgery</v>
      </c>
      <c r="H777">
        <f t="shared" ca="1" si="151"/>
        <v>14</v>
      </c>
      <c r="I777" t="str">
        <f t="shared" ca="1" si="152"/>
        <v>No</v>
      </c>
      <c r="J777">
        <f t="shared" ca="1" si="153"/>
        <v>0</v>
      </c>
      <c r="K777" t="str">
        <f t="shared" ca="1" si="154"/>
        <v>Private</v>
      </c>
      <c r="L777" t="str">
        <f t="shared" ca="1" si="155"/>
        <v>ER</v>
      </c>
    </row>
    <row r="778" spans="1:12" x14ac:dyDescent="0.25">
      <c r="A778">
        <f t="shared" si="144"/>
        <v>777</v>
      </c>
      <c r="B778">
        <f t="shared" ca="1" si="145"/>
        <v>31</v>
      </c>
      <c r="C778" t="str">
        <f t="shared" ca="1" si="146"/>
        <v>Female</v>
      </c>
      <c r="D778" s="1">
        <f t="shared" ca="1" si="147"/>
        <v>45342</v>
      </c>
      <c r="E778" s="1">
        <f t="shared" ca="1" si="148"/>
        <v>45357</v>
      </c>
      <c r="F778" t="str">
        <f t="shared" ca="1" si="149"/>
        <v>Hypertension</v>
      </c>
      <c r="G778" t="str">
        <f t="shared" ca="1" si="150"/>
        <v>Medication</v>
      </c>
      <c r="H778">
        <f t="shared" ca="1" si="151"/>
        <v>15</v>
      </c>
      <c r="I778" t="str">
        <f t="shared" ca="1" si="152"/>
        <v>No</v>
      </c>
      <c r="J778">
        <f t="shared" ca="1" si="153"/>
        <v>2</v>
      </c>
      <c r="K778" t="str">
        <f t="shared" ca="1" si="154"/>
        <v>None</v>
      </c>
      <c r="L778" t="str">
        <f t="shared" ca="1" si="155"/>
        <v>Cardiology</v>
      </c>
    </row>
    <row r="779" spans="1:12" x14ac:dyDescent="0.25">
      <c r="A779">
        <f t="shared" si="144"/>
        <v>778</v>
      </c>
      <c r="B779">
        <f t="shared" ca="1" si="145"/>
        <v>34</v>
      </c>
      <c r="C779" t="str">
        <f t="shared" ca="1" si="146"/>
        <v>Male</v>
      </c>
      <c r="D779" s="1">
        <f t="shared" ca="1" si="147"/>
        <v>45438</v>
      </c>
      <c r="E779" s="1">
        <f t="shared" ca="1" si="148"/>
        <v>45448</v>
      </c>
      <c r="F779" t="str">
        <f t="shared" ca="1" si="149"/>
        <v>Stroke</v>
      </c>
      <c r="G779" t="str">
        <f t="shared" ca="1" si="150"/>
        <v>Therapy</v>
      </c>
      <c r="H779">
        <f t="shared" ca="1" si="151"/>
        <v>10</v>
      </c>
      <c r="I779" t="str">
        <f t="shared" ca="1" si="152"/>
        <v>No</v>
      </c>
      <c r="J779">
        <f t="shared" ca="1" si="153"/>
        <v>2</v>
      </c>
      <c r="K779" t="str">
        <f t="shared" ca="1" si="154"/>
        <v>Private</v>
      </c>
      <c r="L779" t="str">
        <f t="shared" ca="1" si="155"/>
        <v>Cardiology</v>
      </c>
    </row>
    <row r="780" spans="1:12" x14ac:dyDescent="0.25">
      <c r="A780">
        <f t="shared" si="144"/>
        <v>779</v>
      </c>
      <c r="B780">
        <f t="shared" ca="1" si="145"/>
        <v>30</v>
      </c>
      <c r="C780" t="str">
        <f t="shared" ca="1" si="146"/>
        <v>Female</v>
      </c>
      <c r="D780" s="1">
        <f t="shared" ca="1" si="147"/>
        <v>45344</v>
      </c>
      <c r="E780" s="1">
        <f t="shared" ca="1" si="148"/>
        <v>45357</v>
      </c>
      <c r="F780" t="str">
        <f t="shared" ca="1" si="149"/>
        <v>Heart Failure</v>
      </c>
      <c r="G780" t="str">
        <f t="shared" ca="1" si="150"/>
        <v>Surgery</v>
      </c>
      <c r="H780">
        <f t="shared" ca="1" si="151"/>
        <v>13</v>
      </c>
      <c r="I780" t="str">
        <f t="shared" ca="1" si="152"/>
        <v>No</v>
      </c>
      <c r="J780">
        <f t="shared" ca="1" si="153"/>
        <v>4</v>
      </c>
      <c r="K780" t="str">
        <f t="shared" ca="1" si="154"/>
        <v>Public</v>
      </c>
      <c r="L780" t="str">
        <f t="shared" ca="1" si="155"/>
        <v>ER</v>
      </c>
    </row>
    <row r="781" spans="1:12" x14ac:dyDescent="0.25">
      <c r="A781">
        <f t="shared" si="144"/>
        <v>780</v>
      </c>
      <c r="B781">
        <f t="shared" ca="1" si="145"/>
        <v>51</v>
      </c>
      <c r="C781" t="str">
        <f t="shared" ca="1" si="146"/>
        <v>Female</v>
      </c>
      <c r="D781" s="1">
        <f t="shared" ca="1" si="147"/>
        <v>45444</v>
      </c>
      <c r="E781" s="1">
        <f t="shared" ca="1" si="148"/>
        <v>45447</v>
      </c>
      <c r="F781" t="str">
        <f t="shared" ca="1" si="149"/>
        <v>Hypertension</v>
      </c>
      <c r="G781" t="str">
        <f t="shared" ca="1" si="150"/>
        <v>Surgery</v>
      </c>
      <c r="H781">
        <f t="shared" ca="1" si="151"/>
        <v>3</v>
      </c>
      <c r="I781" t="str">
        <f t="shared" ca="1" si="152"/>
        <v>Yes</v>
      </c>
      <c r="J781">
        <f t="shared" ca="1" si="153"/>
        <v>2</v>
      </c>
      <c r="K781" t="str">
        <f t="shared" ca="1" si="154"/>
        <v>Private</v>
      </c>
      <c r="L781" t="str">
        <f t="shared" ca="1" si="155"/>
        <v>Neurology</v>
      </c>
    </row>
    <row r="782" spans="1:12" x14ac:dyDescent="0.25">
      <c r="A782">
        <f t="shared" si="144"/>
        <v>781</v>
      </c>
      <c r="B782">
        <f t="shared" ca="1" si="145"/>
        <v>61</v>
      </c>
      <c r="C782" t="str">
        <f t="shared" ca="1" si="146"/>
        <v>Female</v>
      </c>
      <c r="D782" s="1">
        <f t="shared" ca="1" si="147"/>
        <v>45315</v>
      </c>
      <c r="E782" s="1">
        <f t="shared" ca="1" si="148"/>
        <v>45321</v>
      </c>
      <c r="F782" t="str">
        <f t="shared" ca="1" si="149"/>
        <v>Pneumonia</v>
      </c>
      <c r="G782" t="str">
        <f t="shared" ca="1" si="150"/>
        <v>Therapy</v>
      </c>
      <c r="H782">
        <f t="shared" ca="1" si="151"/>
        <v>6</v>
      </c>
      <c r="I782" t="str">
        <f t="shared" ca="1" si="152"/>
        <v>No</v>
      </c>
      <c r="J782">
        <f t="shared" ca="1" si="153"/>
        <v>2</v>
      </c>
      <c r="K782" t="str">
        <f t="shared" ca="1" si="154"/>
        <v>Private</v>
      </c>
      <c r="L782" t="str">
        <f t="shared" ca="1" si="155"/>
        <v>ER</v>
      </c>
    </row>
    <row r="783" spans="1:12" x14ac:dyDescent="0.25">
      <c r="A783">
        <f t="shared" si="144"/>
        <v>782</v>
      </c>
      <c r="B783">
        <f t="shared" ca="1" si="145"/>
        <v>70</v>
      </c>
      <c r="C783" t="str">
        <f t="shared" ca="1" si="146"/>
        <v>Female</v>
      </c>
      <c r="D783" s="1">
        <f t="shared" ca="1" si="147"/>
        <v>45364</v>
      </c>
      <c r="E783" s="1">
        <f t="shared" ca="1" si="148"/>
        <v>45370</v>
      </c>
      <c r="F783" t="str">
        <f t="shared" ca="1" si="149"/>
        <v>Stroke</v>
      </c>
      <c r="G783" t="str">
        <f t="shared" ca="1" si="150"/>
        <v>Surgery</v>
      </c>
      <c r="H783">
        <f t="shared" ca="1" si="151"/>
        <v>6</v>
      </c>
      <c r="I783" t="str">
        <f t="shared" ca="1" si="152"/>
        <v>Yes</v>
      </c>
      <c r="J783">
        <f t="shared" ca="1" si="153"/>
        <v>2</v>
      </c>
      <c r="K783" t="str">
        <f t="shared" ca="1" si="154"/>
        <v>Public</v>
      </c>
      <c r="L783" t="str">
        <f t="shared" ca="1" si="155"/>
        <v>ER</v>
      </c>
    </row>
    <row r="784" spans="1:12" x14ac:dyDescent="0.25">
      <c r="A784">
        <f t="shared" si="144"/>
        <v>783</v>
      </c>
      <c r="B784">
        <f t="shared" ca="1" si="145"/>
        <v>27</v>
      </c>
      <c r="C784" t="str">
        <f t="shared" ca="1" si="146"/>
        <v>Female</v>
      </c>
      <c r="D784" s="1">
        <f t="shared" ca="1" si="147"/>
        <v>45639</v>
      </c>
      <c r="E784" s="1">
        <f t="shared" ca="1" si="148"/>
        <v>45650</v>
      </c>
      <c r="F784" t="str">
        <f t="shared" ca="1" si="149"/>
        <v>Heart Failure</v>
      </c>
      <c r="G784" t="str">
        <f t="shared" ca="1" si="150"/>
        <v>Medication</v>
      </c>
      <c r="H784">
        <f t="shared" ca="1" si="151"/>
        <v>11</v>
      </c>
      <c r="I784" t="str">
        <f t="shared" ca="1" si="152"/>
        <v>No</v>
      </c>
      <c r="J784">
        <f t="shared" ca="1" si="153"/>
        <v>4</v>
      </c>
      <c r="K784" t="str">
        <f t="shared" ca="1" si="154"/>
        <v>Public</v>
      </c>
      <c r="L784" t="str">
        <f t="shared" ca="1" si="155"/>
        <v>Cardiology</v>
      </c>
    </row>
    <row r="785" spans="1:12" x14ac:dyDescent="0.25">
      <c r="A785">
        <f t="shared" si="144"/>
        <v>784</v>
      </c>
      <c r="B785">
        <f t="shared" ca="1" si="145"/>
        <v>69</v>
      </c>
      <c r="C785" t="str">
        <f t="shared" ca="1" si="146"/>
        <v>Male</v>
      </c>
      <c r="D785" s="1">
        <f t="shared" ca="1" si="147"/>
        <v>45466</v>
      </c>
      <c r="E785" s="1">
        <f t="shared" ca="1" si="148"/>
        <v>45467</v>
      </c>
      <c r="F785" t="str">
        <f t="shared" ca="1" si="149"/>
        <v>Heart Failure</v>
      </c>
      <c r="G785" t="str">
        <f t="shared" ca="1" si="150"/>
        <v>Therapy</v>
      </c>
      <c r="H785">
        <f t="shared" ca="1" si="151"/>
        <v>1</v>
      </c>
      <c r="I785" t="str">
        <f t="shared" ca="1" si="152"/>
        <v>No</v>
      </c>
      <c r="J785">
        <f t="shared" ca="1" si="153"/>
        <v>3</v>
      </c>
      <c r="K785" t="str">
        <f t="shared" ca="1" si="154"/>
        <v>None</v>
      </c>
      <c r="L785" t="str">
        <f t="shared" ca="1" si="155"/>
        <v>General</v>
      </c>
    </row>
    <row r="786" spans="1:12" x14ac:dyDescent="0.25">
      <c r="A786">
        <f t="shared" si="144"/>
        <v>785</v>
      </c>
      <c r="B786">
        <f t="shared" ca="1" si="145"/>
        <v>29</v>
      </c>
      <c r="C786" t="str">
        <f t="shared" ca="1" si="146"/>
        <v>Male</v>
      </c>
      <c r="D786" s="1">
        <f t="shared" ca="1" si="147"/>
        <v>45423</v>
      </c>
      <c r="E786" s="1">
        <f t="shared" ca="1" si="148"/>
        <v>45426</v>
      </c>
      <c r="F786" t="str">
        <f t="shared" ca="1" si="149"/>
        <v>Pneumonia</v>
      </c>
      <c r="G786" t="str">
        <f t="shared" ca="1" si="150"/>
        <v>Surgery</v>
      </c>
      <c r="H786">
        <f t="shared" ca="1" si="151"/>
        <v>3</v>
      </c>
      <c r="I786" t="str">
        <f t="shared" ca="1" si="152"/>
        <v>Yes</v>
      </c>
      <c r="J786">
        <f t="shared" ca="1" si="153"/>
        <v>2</v>
      </c>
      <c r="K786" t="str">
        <f t="shared" ca="1" si="154"/>
        <v>None</v>
      </c>
      <c r="L786" t="str">
        <f t="shared" ca="1" si="155"/>
        <v>General</v>
      </c>
    </row>
    <row r="787" spans="1:12" x14ac:dyDescent="0.25">
      <c r="A787">
        <f t="shared" si="144"/>
        <v>786</v>
      </c>
      <c r="B787">
        <f t="shared" ca="1" si="145"/>
        <v>25</v>
      </c>
      <c r="C787" t="str">
        <f t="shared" ca="1" si="146"/>
        <v>Female</v>
      </c>
      <c r="D787" s="1">
        <f t="shared" ca="1" si="147"/>
        <v>45556</v>
      </c>
      <c r="E787" s="1">
        <f t="shared" ca="1" si="148"/>
        <v>45571</v>
      </c>
      <c r="F787" t="str">
        <f t="shared" ca="1" si="149"/>
        <v>Diabetes</v>
      </c>
      <c r="G787" t="str">
        <f t="shared" ca="1" si="150"/>
        <v>Surgery</v>
      </c>
      <c r="H787">
        <f t="shared" ca="1" si="151"/>
        <v>15</v>
      </c>
      <c r="I787" t="str">
        <f t="shared" ca="1" si="152"/>
        <v>Yes</v>
      </c>
      <c r="J787">
        <f t="shared" ca="1" si="153"/>
        <v>3</v>
      </c>
      <c r="K787" t="str">
        <f t="shared" ca="1" si="154"/>
        <v>Public</v>
      </c>
      <c r="L787" t="str">
        <f t="shared" ca="1" si="155"/>
        <v>Cardiology</v>
      </c>
    </row>
    <row r="788" spans="1:12" x14ac:dyDescent="0.25">
      <c r="A788">
        <f t="shared" si="144"/>
        <v>787</v>
      </c>
      <c r="B788">
        <f t="shared" ca="1" si="145"/>
        <v>73</v>
      </c>
      <c r="C788" t="str">
        <f t="shared" ca="1" si="146"/>
        <v>Female</v>
      </c>
      <c r="D788" s="1">
        <f t="shared" ca="1" si="147"/>
        <v>45644</v>
      </c>
      <c r="E788" s="1">
        <f t="shared" ca="1" si="148"/>
        <v>45648</v>
      </c>
      <c r="F788" t="str">
        <f t="shared" ca="1" si="149"/>
        <v>Heart Failure</v>
      </c>
      <c r="G788" t="str">
        <f t="shared" ca="1" si="150"/>
        <v>Therapy</v>
      </c>
      <c r="H788">
        <f t="shared" ca="1" si="151"/>
        <v>4</v>
      </c>
      <c r="I788" t="str">
        <f t="shared" ca="1" si="152"/>
        <v>No</v>
      </c>
      <c r="J788">
        <f t="shared" ca="1" si="153"/>
        <v>4</v>
      </c>
      <c r="K788" t="str">
        <f t="shared" ca="1" si="154"/>
        <v>Private</v>
      </c>
      <c r="L788" t="str">
        <f t="shared" ca="1" si="155"/>
        <v>ICU</v>
      </c>
    </row>
    <row r="789" spans="1:12" x14ac:dyDescent="0.25">
      <c r="A789">
        <f t="shared" si="144"/>
        <v>788</v>
      </c>
      <c r="B789">
        <f t="shared" ca="1" si="145"/>
        <v>65</v>
      </c>
      <c r="C789" t="str">
        <f t="shared" ca="1" si="146"/>
        <v>Female</v>
      </c>
      <c r="D789" s="1">
        <f t="shared" ca="1" si="147"/>
        <v>45316</v>
      </c>
      <c r="E789" s="1">
        <f t="shared" ca="1" si="148"/>
        <v>45328</v>
      </c>
      <c r="F789" t="str">
        <f t="shared" ca="1" si="149"/>
        <v>Heart Failure</v>
      </c>
      <c r="G789" t="str">
        <f t="shared" ca="1" si="150"/>
        <v>Therapy</v>
      </c>
      <c r="H789">
        <f t="shared" ca="1" si="151"/>
        <v>12</v>
      </c>
      <c r="I789" t="str">
        <f t="shared" ca="1" si="152"/>
        <v>No</v>
      </c>
      <c r="J789">
        <f t="shared" ca="1" si="153"/>
        <v>3</v>
      </c>
      <c r="K789" t="str">
        <f t="shared" ca="1" si="154"/>
        <v>Private</v>
      </c>
      <c r="L789" t="str">
        <f t="shared" ca="1" si="155"/>
        <v>General</v>
      </c>
    </row>
    <row r="790" spans="1:12" x14ac:dyDescent="0.25">
      <c r="A790">
        <f t="shared" si="144"/>
        <v>789</v>
      </c>
      <c r="B790">
        <f t="shared" ca="1" si="145"/>
        <v>39</v>
      </c>
      <c r="C790" t="str">
        <f t="shared" ca="1" si="146"/>
        <v>Male</v>
      </c>
      <c r="D790" s="1">
        <f t="shared" ca="1" si="147"/>
        <v>45495</v>
      </c>
      <c r="E790" s="1">
        <f t="shared" ca="1" si="148"/>
        <v>45510</v>
      </c>
      <c r="F790" t="str">
        <f t="shared" ca="1" si="149"/>
        <v>Heart Failure</v>
      </c>
      <c r="G790" t="str">
        <f t="shared" ca="1" si="150"/>
        <v>Surgery</v>
      </c>
      <c r="H790">
        <f t="shared" ca="1" si="151"/>
        <v>15</v>
      </c>
      <c r="I790" t="str">
        <f t="shared" ca="1" si="152"/>
        <v>No</v>
      </c>
      <c r="J790">
        <f t="shared" ca="1" si="153"/>
        <v>3</v>
      </c>
      <c r="K790" t="str">
        <f t="shared" ca="1" si="154"/>
        <v>Public</v>
      </c>
      <c r="L790" t="str">
        <f t="shared" ca="1" si="155"/>
        <v>ER</v>
      </c>
    </row>
    <row r="791" spans="1:12" x14ac:dyDescent="0.25">
      <c r="A791">
        <f t="shared" si="144"/>
        <v>790</v>
      </c>
      <c r="B791">
        <f t="shared" ca="1" si="145"/>
        <v>50</v>
      </c>
      <c r="C791" t="str">
        <f t="shared" ca="1" si="146"/>
        <v>Male</v>
      </c>
      <c r="D791" s="1">
        <f t="shared" ca="1" si="147"/>
        <v>45400</v>
      </c>
      <c r="E791" s="1">
        <f t="shared" ca="1" si="148"/>
        <v>45406</v>
      </c>
      <c r="F791" t="str">
        <f t="shared" ca="1" si="149"/>
        <v>Hypertension</v>
      </c>
      <c r="G791" t="str">
        <f t="shared" ca="1" si="150"/>
        <v>Therapy</v>
      </c>
      <c r="H791">
        <f t="shared" ca="1" si="151"/>
        <v>6</v>
      </c>
      <c r="I791" t="str">
        <f t="shared" ca="1" si="152"/>
        <v>No</v>
      </c>
      <c r="J791">
        <f t="shared" ca="1" si="153"/>
        <v>1</v>
      </c>
      <c r="K791" t="str">
        <f t="shared" ca="1" si="154"/>
        <v>Public</v>
      </c>
      <c r="L791" t="str">
        <f t="shared" ca="1" si="155"/>
        <v>ER</v>
      </c>
    </row>
    <row r="792" spans="1:12" x14ac:dyDescent="0.25">
      <c r="A792">
        <f t="shared" si="144"/>
        <v>791</v>
      </c>
      <c r="B792">
        <f t="shared" ca="1" si="145"/>
        <v>52</v>
      </c>
      <c r="C792" t="str">
        <f t="shared" ca="1" si="146"/>
        <v>Female</v>
      </c>
      <c r="D792" s="1">
        <f t="shared" ca="1" si="147"/>
        <v>45323</v>
      </c>
      <c r="E792" s="1">
        <f t="shared" ca="1" si="148"/>
        <v>45324</v>
      </c>
      <c r="F792" t="str">
        <f t="shared" ca="1" si="149"/>
        <v>Heart Failure</v>
      </c>
      <c r="G792" t="str">
        <f t="shared" ca="1" si="150"/>
        <v>Medication</v>
      </c>
      <c r="H792">
        <f t="shared" ca="1" si="151"/>
        <v>1</v>
      </c>
      <c r="I792" t="str">
        <f t="shared" ca="1" si="152"/>
        <v>Yes</v>
      </c>
      <c r="J792">
        <f t="shared" ca="1" si="153"/>
        <v>3</v>
      </c>
      <c r="K792" t="str">
        <f t="shared" ca="1" si="154"/>
        <v>None</v>
      </c>
      <c r="L792" t="str">
        <f t="shared" ca="1" si="155"/>
        <v>General</v>
      </c>
    </row>
    <row r="793" spans="1:12" x14ac:dyDescent="0.25">
      <c r="A793">
        <f t="shared" si="144"/>
        <v>792</v>
      </c>
      <c r="B793">
        <f t="shared" ca="1" si="145"/>
        <v>22</v>
      </c>
      <c r="C793" t="str">
        <f t="shared" ca="1" si="146"/>
        <v>Male</v>
      </c>
      <c r="D793" s="1">
        <f t="shared" ca="1" si="147"/>
        <v>45350</v>
      </c>
      <c r="E793" s="1">
        <f t="shared" ca="1" si="148"/>
        <v>45353</v>
      </c>
      <c r="F793" t="str">
        <f t="shared" ca="1" si="149"/>
        <v>Pneumonia</v>
      </c>
      <c r="G793" t="str">
        <f t="shared" ca="1" si="150"/>
        <v>Therapy</v>
      </c>
      <c r="H793">
        <f t="shared" ca="1" si="151"/>
        <v>3</v>
      </c>
      <c r="I793" t="str">
        <f t="shared" ca="1" si="152"/>
        <v>Yes</v>
      </c>
      <c r="J793">
        <f t="shared" ca="1" si="153"/>
        <v>3</v>
      </c>
      <c r="K793" t="str">
        <f t="shared" ca="1" si="154"/>
        <v>Public</v>
      </c>
      <c r="L793" t="str">
        <f t="shared" ca="1" si="155"/>
        <v>ER</v>
      </c>
    </row>
    <row r="794" spans="1:12" x14ac:dyDescent="0.25">
      <c r="A794">
        <f t="shared" si="144"/>
        <v>793</v>
      </c>
      <c r="B794">
        <f t="shared" ca="1" si="145"/>
        <v>41</v>
      </c>
      <c r="C794" t="str">
        <f t="shared" ca="1" si="146"/>
        <v>Female</v>
      </c>
      <c r="D794" s="1">
        <f t="shared" ca="1" si="147"/>
        <v>45484</v>
      </c>
      <c r="E794" s="1">
        <f t="shared" ca="1" si="148"/>
        <v>45488</v>
      </c>
      <c r="F794" t="str">
        <f t="shared" ca="1" si="149"/>
        <v>Pneumonia</v>
      </c>
      <c r="G794" t="str">
        <f t="shared" ca="1" si="150"/>
        <v>Therapy</v>
      </c>
      <c r="H794">
        <f t="shared" ca="1" si="151"/>
        <v>4</v>
      </c>
      <c r="I794" t="str">
        <f t="shared" ca="1" si="152"/>
        <v>No</v>
      </c>
      <c r="J794">
        <f t="shared" ca="1" si="153"/>
        <v>4</v>
      </c>
      <c r="K794" t="str">
        <f t="shared" ca="1" si="154"/>
        <v>None</v>
      </c>
      <c r="L794" t="str">
        <f t="shared" ca="1" si="155"/>
        <v>ER</v>
      </c>
    </row>
    <row r="795" spans="1:12" x14ac:dyDescent="0.25">
      <c r="A795">
        <f t="shared" si="144"/>
        <v>794</v>
      </c>
      <c r="B795">
        <f t="shared" ca="1" si="145"/>
        <v>61</v>
      </c>
      <c r="C795" t="str">
        <f t="shared" ca="1" si="146"/>
        <v>Female</v>
      </c>
      <c r="D795" s="1">
        <f t="shared" ca="1" si="147"/>
        <v>45351</v>
      </c>
      <c r="E795" s="1">
        <f t="shared" ca="1" si="148"/>
        <v>45361</v>
      </c>
      <c r="F795" t="str">
        <f t="shared" ca="1" si="149"/>
        <v>Stroke</v>
      </c>
      <c r="G795" t="str">
        <f t="shared" ca="1" si="150"/>
        <v>Therapy</v>
      </c>
      <c r="H795">
        <f t="shared" ca="1" si="151"/>
        <v>10</v>
      </c>
      <c r="I795" t="str">
        <f t="shared" ca="1" si="152"/>
        <v>No</v>
      </c>
      <c r="J795">
        <f t="shared" ca="1" si="153"/>
        <v>2</v>
      </c>
      <c r="K795" t="str">
        <f t="shared" ca="1" si="154"/>
        <v>Public</v>
      </c>
      <c r="L795" t="str">
        <f t="shared" ca="1" si="155"/>
        <v>Neurology</v>
      </c>
    </row>
    <row r="796" spans="1:12" x14ac:dyDescent="0.25">
      <c r="A796">
        <f t="shared" si="144"/>
        <v>795</v>
      </c>
      <c r="B796">
        <f t="shared" ca="1" si="145"/>
        <v>20</v>
      </c>
      <c r="C796" t="str">
        <f t="shared" ca="1" si="146"/>
        <v>Male</v>
      </c>
      <c r="D796" s="1">
        <f t="shared" ca="1" si="147"/>
        <v>45435</v>
      </c>
      <c r="E796" s="1">
        <f t="shared" ca="1" si="148"/>
        <v>45443</v>
      </c>
      <c r="F796" t="str">
        <f t="shared" ca="1" si="149"/>
        <v>Heart Failure</v>
      </c>
      <c r="G796" t="str">
        <f t="shared" ca="1" si="150"/>
        <v>Surgery</v>
      </c>
      <c r="H796">
        <f t="shared" ca="1" si="151"/>
        <v>8</v>
      </c>
      <c r="I796" t="str">
        <f t="shared" ca="1" si="152"/>
        <v>No</v>
      </c>
      <c r="J796">
        <f t="shared" ca="1" si="153"/>
        <v>2</v>
      </c>
      <c r="K796" t="str">
        <f t="shared" ca="1" si="154"/>
        <v>Private</v>
      </c>
      <c r="L796" t="str">
        <f t="shared" ca="1" si="155"/>
        <v>ICU</v>
      </c>
    </row>
    <row r="797" spans="1:12" x14ac:dyDescent="0.25">
      <c r="A797">
        <f t="shared" si="144"/>
        <v>796</v>
      </c>
      <c r="B797">
        <f t="shared" ca="1" si="145"/>
        <v>36</v>
      </c>
      <c r="C797" t="str">
        <f t="shared" ca="1" si="146"/>
        <v>Male</v>
      </c>
      <c r="D797" s="1">
        <f t="shared" ca="1" si="147"/>
        <v>45325</v>
      </c>
      <c r="E797" s="1">
        <f t="shared" ca="1" si="148"/>
        <v>45332</v>
      </c>
      <c r="F797" t="str">
        <f t="shared" ca="1" si="149"/>
        <v>Diabetes</v>
      </c>
      <c r="G797" t="str">
        <f t="shared" ca="1" si="150"/>
        <v>Medication</v>
      </c>
      <c r="H797">
        <f t="shared" ca="1" si="151"/>
        <v>7</v>
      </c>
      <c r="I797" t="str">
        <f t="shared" ca="1" si="152"/>
        <v>No</v>
      </c>
      <c r="J797">
        <f t="shared" ca="1" si="153"/>
        <v>4</v>
      </c>
      <c r="K797" t="str">
        <f t="shared" ca="1" si="154"/>
        <v>Public</v>
      </c>
      <c r="L797" t="str">
        <f t="shared" ca="1" si="155"/>
        <v>ICU</v>
      </c>
    </row>
    <row r="798" spans="1:12" x14ac:dyDescent="0.25">
      <c r="A798">
        <f t="shared" si="144"/>
        <v>797</v>
      </c>
      <c r="B798">
        <f t="shared" ca="1" si="145"/>
        <v>77</v>
      </c>
      <c r="C798" t="str">
        <f t="shared" ca="1" si="146"/>
        <v>Female</v>
      </c>
      <c r="D798" s="1">
        <f t="shared" ca="1" si="147"/>
        <v>45611</v>
      </c>
      <c r="E798" s="1">
        <f t="shared" ca="1" si="148"/>
        <v>45616</v>
      </c>
      <c r="F798" t="str">
        <f t="shared" ca="1" si="149"/>
        <v>Diabetes</v>
      </c>
      <c r="G798" t="str">
        <f t="shared" ca="1" si="150"/>
        <v>Therapy</v>
      </c>
      <c r="H798">
        <f t="shared" ca="1" si="151"/>
        <v>5</v>
      </c>
      <c r="I798" t="str">
        <f t="shared" ca="1" si="152"/>
        <v>No</v>
      </c>
      <c r="J798">
        <f t="shared" ca="1" si="153"/>
        <v>3</v>
      </c>
      <c r="K798" t="str">
        <f t="shared" ca="1" si="154"/>
        <v>Private</v>
      </c>
      <c r="L798" t="str">
        <f t="shared" ca="1" si="155"/>
        <v>ICU</v>
      </c>
    </row>
    <row r="799" spans="1:12" x14ac:dyDescent="0.25">
      <c r="A799">
        <f t="shared" si="144"/>
        <v>798</v>
      </c>
      <c r="B799">
        <f t="shared" ca="1" si="145"/>
        <v>42</v>
      </c>
      <c r="C799" t="str">
        <f t="shared" ca="1" si="146"/>
        <v>Female</v>
      </c>
      <c r="D799" s="1">
        <f t="shared" ca="1" si="147"/>
        <v>45343</v>
      </c>
      <c r="E799" s="1">
        <f t="shared" ca="1" si="148"/>
        <v>45346</v>
      </c>
      <c r="F799" t="str">
        <f t="shared" ca="1" si="149"/>
        <v>Hypertension</v>
      </c>
      <c r="G799" t="str">
        <f t="shared" ca="1" si="150"/>
        <v>Therapy</v>
      </c>
      <c r="H799">
        <f t="shared" ca="1" si="151"/>
        <v>3</v>
      </c>
      <c r="I799" t="str">
        <f t="shared" ca="1" si="152"/>
        <v>No</v>
      </c>
      <c r="J799">
        <f t="shared" ca="1" si="153"/>
        <v>3</v>
      </c>
      <c r="K799" t="str">
        <f t="shared" ca="1" si="154"/>
        <v>Public</v>
      </c>
      <c r="L799" t="str">
        <f t="shared" ca="1" si="155"/>
        <v>General</v>
      </c>
    </row>
    <row r="800" spans="1:12" x14ac:dyDescent="0.25">
      <c r="A800">
        <f t="shared" si="144"/>
        <v>799</v>
      </c>
      <c r="B800">
        <f t="shared" ca="1" si="145"/>
        <v>40</v>
      </c>
      <c r="C800" t="str">
        <f t="shared" ca="1" si="146"/>
        <v>Male</v>
      </c>
      <c r="D800" s="1">
        <f t="shared" ca="1" si="147"/>
        <v>45308</v>
      </c>
      <c r="E800" s="1">
        <f t="shared" ca="1" si="148"/>
        <v>45311</v>
      </c>
      <c r="F800" t="str">
        <f t="shared" ca="1" si="149"/>
        <v>Diabetes</v>
      </c>
      <c r="G800" t="str">
        <f t="shared" ca="1" si="150"/>
        <v>Surgery</v>
      </c>
      <c r="H800">
        <f t="shared" ca="1" si="151"/>
        <v>3</v>
      </c>
      <c r="I800" t="str">
        <f t="shared" ca="1" si="152"/>
        <v>No</v>
      </c>
      <c r="J800">
        <f t="shared" ca="1" si="153"/>
        <v>4</v>
      </c>
      <c r="K800" t="str">
        <f t="shared" ca="1" si="154"/>
        <v>None</v>
      </c>
      <c r="L800" t="str">
        <f t="shared" ca="1" si="155"/>
        <v>Cardiology</v>
      </c>
    </row>
    <row r="801" spans="1:12" x14ac:dyDescent="0.25">
      <c r="A801">
        <f t="shared" si="144"/>
        <v>800</v>
      </c>
      <c r="B801">
        <f t="shared" ca="1" si="145"/>
        <v>49</v>
      </c>
      <c r="C801" t="str">
        <f t="shared" ca="1" si="146"/>
        <v>Female</v>
      </c>
      <c r="D801" s="1">
        <f t="shared" ca="1" si="147"/>
        <v>45496</v>
      </c>
      <c r="E801" s="1">
        <f t="shared" ca="1" si="148"/>
        <v>45504</v>
      </c>
      <c r="F801" t="str">
        <f t="shared" ca="1" si="149"/>
        <v>Stroke</v>
      </c>
      <c r="G801" t="str">
        <f t="shared" ca="1" si="150"/>
        <v>Medication</v>
      </c>
      <c r="H801">
        <f t="shared" ca="1" si="151"/>
        <v>8</v>
      </c>
      <c r="I801" t="str">
        <f t="shared" ca="1" si="152"/>
        <v>No</v>
      </c>
      <c r="J801">
        <f t="shared" ca="1" si="153"/>
        <v>4</v>
      </c>
      <c r="K801" t="str">
        <f t="shared" ca="1" si="154"/>
        <v>None</v>
      </c>
      <c r="L801" t="str">
        <f t="shared" ca="1" si="155"/>
        <v>Cardiology</v>
      </c>
    </row>
    <row r="802" spans="1:12" x14ac:dyDescent="0.25">
      <c r="A802">
        <f t="shared" si="144"/>
        <v>801</v>
      </c>
      <c r="B802">
        <f t="shared" ca="1" si="145"/>
        <v>32</v>
      </c>
      <c r="C802" t="str">
        <f t="shared" ca="1" si="146"/>
        <v>Male</v>
      </c>
      <c r="D802" s="1">
        <f t="shared" ca="1" si="147"/>
        <v>45509</v>
      </c>
      <c r="E802" s="1">
        <f t="shared" ca="1" si="148"/>
        <v>45518</v>
      </c>
      <c r="F802" t="str">
        <f t="shared" ca="1" si="149"/>
        <v>Stroke</v>
      </c>
      <c r="G802" t="str">
        <f t="shared" ca="1" si="150"/>
        <v>Surgery</v>
      </c>
      <c r="H802">
        <f t="shared" ca="1" si="151"/>
        <v>9</v>
      </c>
      <c r="I802" t="str">
        <f t="shared" ca="1" si="152"/>
        <v>No</v>
      </c>
      <c r="J802">
        <f t="shared" ca="1" si="153"/>
        <v>4</v>
      </c>
      <c r="K802" t="str">
        <f t="shared" ca="1" si="154"/>
        <v>Public</v>
      </c>
      <c r="L802" t="str">
        <f t="shared" ca="1" si="155"/>
        <v>ICU</v>
      </c>
    </row>
    <row r="803" spans="1:12" x14ac:dyDescent="0.25">
      <c r="A803">
        <f t="shared" si="144"/>
        <v>802</v>
      </c>
      <c r="B803">
        <f t="shared" ca="1" si="145"/>
        <v>37</v>
      </c>
      <c r="C803" t="str">
        <f t="shared" ca="1" si="146"/>
        <v>Male</v>
      </c>
      <c r="D803" s="1">
        <f t="shared" ca="1" si="147"/>
        <v>45641</v>
      </c>
      <c r="E803" s="1">
        <f t="shared" ca="1" si="148"/>
        <v>45648</v>
      </c>
      <c r="F803" t="str">
        <f t="shared" ca="1" si="149"/>
        <v>Heart Failure</v>
      </c>
      <c r="G803" t="str">
        <f t="shared" ca="1" si="150"/>
        <v>Surgery</v>
      </c>
      <c r="H803">
        <f t="shared" ca="1" si="151"/>
        <v>7</v>
      </c>
      <c r="I803" t="str">
        <f t="shared" ca="1" si="152"/>
        <v>Yes</v>
      </c>
      <c r="J803">
        <f t="shared" ca="1" si="153"/>
        <v>4</v>
      </c>
      <c r="K803" t="str">
        <f t="shared" ca="1" si="154"/>
        <v>None</v>
      </c>
      <c r="L803" t="str">
        <f t="shared" ca="1" si="155"/>
        <v>ICU</v>
      </c>
    </row>
    <row r="804" spans="1:12" x14ac:dyDescent="0.25">
      <c r="A804">
        <f t="shared" si="144"/>
        <v>803</v>
      </c>
      <c r="B804">
        <f t="shared" ca="1" si="145"/>
        <v>32</v>
      </c>
      <c r="C804" t="str">
        <f t="shared" ca="1" si="146"/>
        <v>Female</v>
      </c>
      <c r="D804" s="1">
        <f t="shared" ca="1" si="147"/>
        <v>45560</v>
      </c>
      <c r="E804" s="1">
        <f t="shared" ca="1" si="148"/>
        <v>45571</v>
      </c>
      <c r="F804" t="str">
        <f t="shared" ca="1" si="149"/>
        <v>Diabetes</v>
      </c>
      <c r="G804" t="str">
        <f t="shared" ca="1" si="150"/>
        <v>Therapy</v>
      </c>
      <c r="H804">
        <f t="shared" ca="1" si="151"/>
        <v>11</v>
      </c>
      <c r="I804" t="str">
        <f t="shared" ca="1" si="152"/>
        <v>No</v>
      </c>
      <c r="J804">
        <f t="shared" ca="1" si="153"/>
        <v>3</v>
      </c>
      <c r="K804" t="str">
        <f t="shared" ca="1" si="154"/>
        <v>Public</v>
      </c>
      <c r="L804" t="str">
        <f t="shared" ca="1" si="155"/>
        <v>Cardiology</v>
      </c>
    </row>
    <row r="805" spans="1:12" x14ac:dyDescent="0.25">
      <c r="A805">
        <f t="shared" si="144"/>
        <v>804</v>
      </c>
      <c r="B805">
        <f t="shared" ca="1" si="145"/>
        <v>33</v>
      </c>
      <c r="C805" t="str">
        <f t="shared" ca="1" si="146"/>
        <v>Female</v>
      </c>
      <c r="D805" s="1">
        <f t="shared" ca="1" si="147"/>
        <v>45441</v>
      </c>
      <c r="E805" s="1">
        <f t="shared" ca="1" si="148"/>
        <v>45453</v>
      </c>
      <c r="F805" t="str">
        <f t="shared" ca="1" si="149"/>
        <v>Pneumonia</v>
      </c>
      <c r="G805" t="str">
        <f t="shared" ca="1" si="150"/>
        <v>Medication</v>
      </c>
      <c r="H805">
        <f t="shared" ca="1" si="151"/>
        <v>12</v>
      </c>
      <c r="I805" t="str">
        <f t="shared" ca="1" si="152"/>
        <v>No</v>
      </c>
      <c r="J805">
        <f t="shared" ca="1" si="153"/>
        <v>2</v>
      </c>
      <c r="K805" t="str">
        <f t="shared" ca="1" si="154"/>
        <v>None</v>
      </c>
      <c r="L805" t="str">
        <f t="shared" ca="1" si="155"/>
        <v>Neurology</v>
      </c>
    </row>
    <row r="806" spans="1:12" x14ac:dyDescent="0.25">
      <c r="A806">
        <f t="shared" si="144"/>
        <v>805</v>
      </c>
      <c r="B806">
        <f t="shared" ca="1" si="145"/>
        <v>56</v>
      </c>
      <c r="C806" t="str">
        <f t="shared" ca="1" si="146"/>
        <v>Male</v>
      </c>
      <c r="D806" s="1">
        <f t="shared" ca="1" si="147"/>
        <v>45554</v>
      </c>
      <c r="E806" s="1">
        <f t="shared" ca="1" si="148"/>
        <v>45555</v>
      </c>
      <c r="F806" t="str">
        <f t="shared" ca="1" si="149"/>
        <v>Heart Failure</v>
      </c>
      <c r="G806" t="str">
        <f t="shared" ca="1" si="150"/>
        <v>Surgery</v>
      </c>
      <c r="H806">
        <f t="shared" ca="1" si="151"/>
        <v>1</v>
      </c>
      <c r="I806" t="str">
        <f t="shared" ca="1" si="152"/>
        <v>No</v>
      </c>
      <c r="J806">
        <f t="shared" ca="1" si="153"/>
        <v>2</v>
      </c>
      <c r="K806" t="str">
        <f t="shared" ca="1" si="154"/>
        <v>None</v>
      </c>
      <c r="L806" t="str">
        <f t="shared" ca="1" si="155"/>
        <v>Cardiology</v>
      </c>
    </row>
    <row r="807" spans="1:12" x14ac:dyDescent="0.25">
      <c r="A807">
        <f t="shared" si="144"/>
        <v>806</v>
      </c>
      <c r="B807">
        <f t="shared" ca="1" si="145"/>
        <v>57</v>
      </c>
      <c r="C807" t="str">
        <f t="shared" ca="1" si="146"/>
        <v>Female</v>
      </c>
      <c r="D807" s="1">
        <f t="shared" ca="1" si="147"/>
        <v>45550</v>
      </c>
      <c r="E807" s="1">
        <f t="shared" ca="1" si="148"/>
        <v>45560</v>
      </c>
      <c r="F807" t="str">
        <f t="shared" ca="1" si="149"/>
        <v>Heart Failure</v>
      </c>
      <c r="G807" t="str">
        <f t="shared" ca="1" si="150"/>
        <v>Surgery</v>
      </c>
      <c r="H807">
        <f t="shared" ca="1" si="151"/>
        <v>10</v>
      </c>
      <c r="I807" t="str">
        <f t="shared" ca="1" si="152"/>
        <v>Yes</v>
      </c>
      <c r="J807">
        <f t="shared" ca="1" si="153"/>
        <v>2</v>
      </c>
      <c r="K807" t="str">
        <f t="shared" ca="1" si="154"/>
        <v>Public</v>
      </c>
      <c r="L807" t="str">
        <f t="shared" ca="1" si="155"/>
        <v>General</v>
      </c>
    </row>
    <row r="808" spans="1:12" x14ac:dyDescent="0.25">
      <c r="A808">
        <f t="shared" si="144"/>
        <v>807</v>
      </c>
      <c r="B808">
        <f t="shared" ca="1" si="145"/>
        <v>40</v>
      </c>
      <c r="C808" t="str">
        <f t="shared" ca="1" si="146"/>
        <v>Male</v>
      </c>
      <c r="D808" s="1">
        <f t="shared" ca="1" si="147"/>
        <v>45564</v>
      </c>
      <c r="E808" s="1">
        <f t="shared" ca="1" si="148"/>
        <v>45576</v>
      </c>
      <c r="F808" t="str">
        <f t="shared" ca="1" si="149"/>
        <v>Diabetes</v>
      </c>
      <c r="G808" t="str">
        <f t="shared" ca="1" si="150"/>
        <v>Surgery</v>
      </c>
      <c r="H808">
        <f t="shared" ca="1" si="151"/>
        <v>12</v>
      </c>
      <c r="I808" t="str">
        <f t="shared" ca="1" si="152"/>
        <v>No</v>
      </c>
      <c r="J808">
        <f t="shared" ca="1" si="153"/>
        <v>4</v>
      </c>
      <c r="K808" t="str">
        <f t="shared" ca="1" si="154"/>
        <v>Public</v>
      </c>
      <c r="L808" t="str">
        <f t="shared" ca="1" si="155"/>
        <v>ICU</v>
      </c>
    </row>
    <row r="809" spans="1:12" x14ac:dyDescent="0.25">
      <c r="A809">
        <f t="shared" si="144"/>
        <v>808</v>
      </c>
      <c r="B809">
        <f t="shared" ca="1" si="145"/>
        <v>38</v>
      </c>
      <c r="C809" t="str">
        <f t="shared" ca="1" si="146"/>
        <v>Male</v>
      </c>
      <c r="D809" s="1">
        <f t="shared" ca="1" si="147"/>
        <v>45476</v>
      </c>
      <c r="E809" s="1">
        <f t="shared" ca="1" si="148"/>
        <v>45486</v>
      </c>
      <c r="F809" t="str">
        <f t="shared" ca="1" si="149"/>
        <v>Stroke</v>
      </c>
      <c r="G809" t="str">
        <f t="shared" ca="1" si="150"/>
        <v>Medication</v>
      </c>
      <c r="H809">
        <f t="shared" ca="1" si="151"/>
        <v>10</v>
      </c>
      <c r="I809" t="str">
        <f t="shared" ca="1" si="152"/>
        <v>No</v>
      </c>
      <c r="J809">
        <f t="shared" ca="1" si="153"/>
        <v>3</v>
      </c>
      <c r="K809" t="str">
        <f t="shared" ca="1" si="154"/>
        <v>Public</v>
      </c>
      <c r="L809" t="str">
        <f t="shared" ca="1" si="155"/>
        <v>General</v>
      </c>
    </row>
    <row r="810" spans="1:12" x14ac:dyDescent="0.25">
      <c r="A810">
        <f t="shared" si="144"/>
        <v>809</v>
      </c>
      <c r="B810">
        <f t="shared" ca="1" si="145"/>
        <v>56</v>
      </c>
      <c r="C810" t="str">
        <f t="shared" ca="1" si="146"/>
        <v>Male</v>
      </c>
      <c r="D810" s="1">
        <f t="shared" ca="1" si="147"/>
        <v>45614</v>
      </c>
      <c r="E810" s="1">
        <f t="shared" ca="1" si="148"/>
        <v>45622</v>
      </c>
      <c r="F810" t="str">
        <f t="shared" ca="1" si="149"/>
        <v>Pneumonia</v>
      </c>
      <c r="G810" t="str">
        <f t="shared" ca="1" si="150"/>
        <v>Therapy</v>
      </c>
      <c r="H810">
        <f t="shared" ca="1" si="151"/>
        <v>8</v>
      </c>
      <c r="I810" t="str">
        <f t="shared" ca="1" si="152"/>
        <v>Yes</v>
      </c>
      <c r="J810">
        <f t="shared" ca="1" si="153"/>
        <v>2</v>
      </c>
      <c r="K810" t="str">
        <f t="shared" ca="1" si="154"/>
        <v>None</v>
      </c>
      <c r="L810" t="str">
        <f t="shared" ca="1" si="155"/>
        <v>General</v>
      </c>
    </row>
    <row r="811" spans="1:12" x14ac:dyDescent="0.25">
      <c r="A811">
        <f t="shared" si="144"/>
        <v>810</v>
      </c>
      <c r="B811">
        <f t="shared" ca="1" si="145"/>
        <v>35</v>
      </c>
      <c r="C811" t="str">
        <f t="shared" ca="1" si="146"/>
        <v>Female</v>
      </c>
      <c r="D811" s="1">
        <f t="shared" ca="1" si="147"/>
        <v>45424</v>
      </c>
      <c r="E811" s="1">
        <f t="shared" ca="1" si="148"/>
        <v>45439</v>
      </c>
      <c r="F811" t="str">
        <f t="shared" ca="1" si="149"/>
        <v>Diabetes</v>
      </c>
      <c r="G811" t="str">
        <f t="shared" ca="1" si="150"/>
        <v>Medication</v>
      </c>
      <c r="H811">
        <f t="shared" ca="1" si="151"/>
        <v>15</v>
      </c>
      <c r="I811" t="str">
        <f t="shared" ca="1" si="152"/>
        <v>Yes</v>
      </c>
      <c r="J811">
        <f t="shared" ca="1" si="153"/>
        <v>3</v>
      </c>
      <c r="K811" t="str">
        <f t="shared" ca="1" si="154"/>
        <v>Public</v>
      </c>
      <c r="L811" t="str">
        <f t="shared" ca="1" si="155"/>
        <v>Cardiology</v>
      </c>
    </row>
    <row r="812" spans="1:12" x14ac:dyDescent="0.25">
      <c r="A812">
        <f t="shared" si="144"/>
        <v>811</v>
      </c>
      <c r="B812">
        <f t="shared" ca="1" si="145"/>
        <v>52</v>
      </c>
      <c r="C812" t="str">
        <f t="shared" ca="1" si="146"/>
        <v>Female</v>
      </c>
      <c r="D812" s="1">
        <f t="shared" ca="1" si="147"/>
        <v>45382</v>
      </c>
      <c r="E812" s="1">
        <f t="shared" ca="1" si="148"/>
        <v>45397</v>
      </c>
      <c r="F812" t="str">
        <f t="shared" ca="1" si="149"/>
        <v>Hypertension</v>
      </c>
      <c r="G812" t="str">
        <f t="shared" ca="1" si="150"/>
        <v>Surgery</v>
      </c>
      <c r="H812">
        <f t="shared" ca="1" si="151"/>
        <v>15</v>
      </c>
      <c r="I812" t="str">
        <f t="shared" ca="1" si="152"/>
        <v>No</v>
      </c>
      <c r="J812">
        <f t="shared" ca="1" si="153"/>
        <v>2</v>
      </c>
      <c r="K812" t="str">
        <f t="shared" ca="1" si="154"/>
        <v>Private</v>
      </c>
      <c r="L812" t="str">
        <f t="shared" ca="1" si="155"/>
        <v>ER</v>
      </c>
    </row>
    <row r="813" spans="1:12" x14ac:dyDescent="0.25">
      <c r="A813">
        <f t="shared" si="144"/>
        <v>812</v>
      </c>
      <c r="B813">
        <f t="shared" ca="1" si="145"/>
        <v>73</v>
      </c>
      <c r="C813" t="str">
        <f t="shared" ca="1" si="146"/>
        <v>Male</v>
      </c>
      <c r="D813" s="1">
        <f t="shared" ca="1" si="147"/>
        <v>45511</v>
      </c>
      <c r="E813" s="1">
        <f t="shared" ca="1" si="148"/>
        <v>45522</v>
      </c>
      <c r="F813" t="str">
        <f t="shared" ca="1" si="149"/>
        <v>Hypertension</v>
      </c>
      <c r="G813" t="str">
        <f t="shared" ca="1" si="150"/>
        <v>Surgery</v>
      </c>
      <c r="H813">
        <f t="shared" ca="1" si="151"/>
        <v>11</v>
      </c>
      <c r="I813" t="str">
        <f t="shared" ca="1" si="152"/>
        <v>Yes</v>
      </c>
      <c r="J813">
        <f t="shared" ca="1" si="153"/>
        <v>4</v>
      </c>
      <c r="K813" t="str">
        <f t="shared" ca="1" si="154"/>
        <v>Private</v>
      </c>
      <c r="L813" t="str">
        <f t="shared" ca="1" si="155"/>
        <v>General</v>
      </c>
    </row>
    <row r="814" spans="1:12" x14ac:dyDescent="0.25">
      <c r="A814">
        <f t="shared" si="144"/>
        <v>813</v>
      </c>
      <c r="B814">
        <f t="shared" ca="1" si="145"/>
        <v>74</v>
      </c>
      <c r="C814" t="str">
        <f t="shared" ca="1" si="146"/>
        <v>Male</v>
      </c>
      <c r="D814" s="1">
        <f t="shared" ca="1" si="147"/>
        <v>45611</v>
      </c>
      <c r="E814" s="1">
        <f t="shared" ca="1" si="148"/>
        <v>45612</v>
      </c>
      <c r="F814" t="str">
        <f t="shared" ca="1" si="149"/>
        <v>Heart Failure</v>
      </c>
      <c r="G814" t="str">
        <f t="shared" ca="1" si="150"/>
        <v>Therapy</v>
      </c>
      <c r="H814">
        <f t="shared" ca="1" si="151"/>
        <v>1</v>
      </c>
      <c r="I814" t="str">
        <f t="shared" ca="1" si="152"/>
        <v>No</v>
      </c>
      <c r="J814">
        <f t="shared" ca="1" si="153"/>
        <v>0</v>
      </c>
      <c r="K814" t="str">
        <f t="shared" ca="1" si="154"/>
        <v>None</v>
      </c>
      <c r="L814" t="str">
        <f t="shared" ca="1" si="155"/>
        <v>Neurology</v>
      </c>
    </row>
    <row r="815" spans="1:12" x14ac:dyDescent="0.25">
      <c r="A815">
        <f t="shared" si="144"/>
        <v>814</v>
      </c>
      <c r="B815">
        <f t="shared" ca="1" si="145"/>
        <v>46</v>
      </c>
      <c r="C815" t="str">
        <f t="shared" ca="1" si="146"/>
        <v>Male</v>
      </c>
      <c r="D815" s="1">
        <f t="shared" ca="1" si="147"/>
        <v>45556</v>
      </c>
      <c r="E815" s="1">
        <f t="shared" ca="1" si="148"/>
        <v>45559</v>
      </c>
      <c r="F815" t="str">
        <f t="shared" ca="1" si="149"/>
        <v>Pneumonia</v>
      </c>
      <c r="G815" t="str">
        <f t="shared" ca="1" si="150"/>
        <v>Medication</v>
      </c>
      <c r="H815">
        <f t="shared" ca="1" si="151"/>
        <v>3</v>
      </c>
      <c r="I815" t="str">
        <f t="shared" ca="1" si="152"/>
        <v>No</v>
      </c>
      <c r="J815">
        <f t="shared" ca="1" si="153"/>
        <v>4</v>
      </c>
      <c r="K815" t="str">
        <f t="shared" ca="1" si="154"/>
        <v>None</v>
      </c>
      <c r="L815" t="str">
        <f t="shared" ca="1" si="155"/>
        <v>Neurology</v>
      </c>
    </row>
    <row r="816" spans="1:12" x14ac:dyDescent="0.25">
      <c r="A816">
        <f t="shared" si="144"/>
        <v>815</v>
      </c>
      <c r="B816">
        <f t="shared" ca="1" si="145"/>
        <v>56</v>
      </c>
      <c r="C816" t="str">
        <f t="shared" ca="1" si="146"/>
        <v>Female</v>
      </c>
      <c r="D816" s="1">
        <f t="shared" ca="1" si="147"/>
        <v>45453</v>
      </c>
      <c r="E816" s="1">
        <f t="shared" ca="1" si="148"/>
        <v>45465</v>
      </c>
      <c r="F816" t="str">
        <f t="shared" ca="1" si="149"/>
        <v>Diabetes</v>
      </c>
      <c r="G816" t="str">
        <f t="shared" ca="1" si="150"/>
        <v>Surgery</v>
      </c>
      <c r="H816">
        <f t="shared" ca="1" si="151"/>
        <v>12</v>
      </c>
      <c r="I816" t="str">
        <f t="shared" ca="1" si="152"/>
        <v>No</v>
      </c>
      <c r="J816">
        <f t="shared" ca="1" si="153"/>
        <v>1</v>
      </c>
      <c r="K816" t="str">
        <f t="shared" ca="1" si="154"/>
        <v>None</v>
      </c>
      <c r="L816" t="str">
        <f t="shared" ca="1" si="155"/>
        <v>ER</v>
      </c>
    </row>
    <row r="817" spans="1:12" x14ac:dyDescent="0.25">
      <c r="A817">
        <f t="shared" si="144"/>
        <v>816</v>
      </c>
      <c r="B817">
        <f t="shared" ca="1" si="145"/>
        <v>50</v>
      </c>
      <c r="C817" t="str">
        <f t="shared" ca="1" si="146"/>
        <v>Female</v>
      </c>
      <c r="D817" s="1">
        <f t="shared" ca="1" si="147"/>
        <v>45435</v>
      </c>
      <c r="E817" s="1">
        <f t="shared" ca="1" si="148"/>
        <v>45437</v>
      </c>
      <c r="F817" t="str">
        <f t="shared" ca="1" si="149"/>
        <v>Pneumonia</v>
      </c>
      <c r="G817" t="str">
        <f t="shared" ca="1" si="150"/>
        <v>Therapy</v>
      </c>
      <c r="H817">
        <f t="shared" ca="1" si="151"/>
        <v>2</v>
      </c>
      <c r="I817" t="str">
        <f t="shared" ca="1" si="152"/>
        <v>No</v>
      </c>
      <c r="J817">
        <f t="shared" ca="1" si="153"/>
        <v>3</v>
      </c>
      <c r="K817" t="str">
        <f t="shared" ca="1" si="154"/>
        <v>None</v>
      </c>
      <c r="L817" t="str">
        <f t="shared" ca="1" si="155"/>
        <v>ICU</v>
      </c>
    </row>
    <row r="818" spans="1:12" x14ac:dyDescent="0.25">
      <c r="A818">
        <f t="shared" si="144"/>
        <v>817</v>
      </c>
      <c r="B818">
        <f t="shared" ca="1" si="145"/>
        <v>71</v>
      </c>
      <c r="C818" t="str">
        <f t="shared" ca="1" si="146"/>
        <v>Female</v>
      </c>
      <c r="D818" s="1">
        <f t="shared" ca="1" si="147"/>
        <v>45445</v>
      </c>
      <c r="E818" s="1">
        <f t="shared" ca="1" si="148"/>
        <v>45451</v>
      </c>
      <c r="F818" t="str">
        <f t="shared" ca="1" si="149"/>
        <v>Heart Failure</v>
      </c>
      <c r="G818" t="str">
        <f t="shared" ca="1" si="150"/>
        <v>Surgery</v>
      </c>
      <c r="H818">
        <f t="shared" ca="1" si="151"/>
        <v>6</v>
      </c>
      <c r="I818" t="str">
        <f t="shared" ca="1" si="152"/>
        <v>No</v>
      </c>
      <c r="J818">
        <f t="shared" ca="1" si="153"/>
        <v>3</v>
      </c>
      <c r="K818" t="str">
        <f t="shared" ca="1" si="154"/>
        <v>None</v>
      </c>
      <c r="L818" t="str">
        <f t="shared" ca="1" si="155"/>
        <v>ICU</v>
      </c>
    </row>
    <row r="819" spans="1:12" x14ac:dyDescent="0.25">
      <c r="A819">
        <f t="shared" si="144"/>
        <v>818</v>
      </c>
      <c r="B819">
        <f t="shared" ca="1" si="145"/>
        <v>86</v>
      </c>
      <c r="C819" t="str">
        <f t="shared" ca="1" si="146"/>
        <v>Male</v>
      </c>
      <c r="D819" s="1">
        <f t="shared" ca="1" si="147"/>
        <v>45485</v>
      </c>
      <c r="E819" s="1">
        <f t="shared" ca="1" si="148"/>
        <v>45489</v>
      </c>
      <c r="F819" t="str">
        <f t="shared" ca="1" si="149"/>
        <v>Hypertension</v>
      </c>
      <c r="G819" t="str">
        <f t="shared" ca="1" si="150"/>
        <v>Therapy</v>
      </c>
      <c r="H819">
        <f t="shared" ca="1" si="151"/>
        <v>4</v>
      </c>
      <c r="I819" t="str">
        <f t="shared" ca="1" si="152"/>
        <v>Yes</v>
      </c>
      <c r="J819">
        <f t="shared" ca="1" si="153"/>
        <v>1</v>
      </c>
      <c r="K819" t="str">
        <f t="shared" ca="1" si="154"/>
        <v>Public</v>
      </c>
      <c r="L819" t="str">
        <f t="shared" ca="1" si="155"/>
        <v>Cardiology</v>
      </c>
    </row>
    <row r="820" spans="1:12" x14ac:dyDescent="0.25">
      <c r="A820">
        <f t="shared" si="144"/>
        <v>819</v>
      </c>
      <c r="B820">
        <f t="shared" ca="1" si="145"/>
        <v>49</v>
      </c>
      <c r="C820" t="str">
        <f t="shared" ca="1" si="146"/>
        <v>Male</v>
      </c>
      <c r="D820" s="1">
        <f t="shared" ca="1" si="147"/>
        <v>45486</v>
      </c>
      <c r="E820" s="1">
        <f t="shared" ca="1" si="148"/>
        <v>45489</v>
      </c>
      <c r="F820" t="str">
        <f t="shared" ca="1" si="149"/>
        <v>Diabetes</v>
      </c>
      <c r="G820" t="str">
        <f t="shared" ca="1" si="150"/>
        <v>Medication</v>
      </c>
      <c r="H820">
        <f t="shared" ca="1" si="151"/>
        <v>3</v>
      </c>
      <c r="I820" t="str">
        <f t="shared" ca="1" si="152"/>
        <v>No</v>
      </c>
      <c r="J820">
        <f t="shared" ca="1" si="153"/>
        <v>0</v>
      </c>
      <c r="K820" t="str">
        <f t="shared" ca="1" si="154"/>
        <v>None</v>
      </c>
      <c r="L820" t="str">
        <f t="shared" ca="1" si="155"/>
        <v>Neurology</v>
      </c>
    </row>
    <row r="821" spans="1:12" x14ac:dyDescent="0.25">
      <c r="A821">
        <f t="shared" si="144"/>
        <v>820</v>
      </c>
      <c r="B821">
        <f t="shared" ca="1" si="145"/>
        <v>35</v>
      </c>
      <c r="C821" t="str">
        <f t="shared" ca="1" si="146"/>
        <v>Male</v>
      </c>
      <c r="D821" s="1">
        <f t="shared" ca="1" si="147"/>
        <v>45297</v>
      </c>
      <c r="E821" s="1">
        <f t="shared" ca="1" si="148"/>
        <v>45306</v>
      </c>
      <c r="F821" t="str">
        <f t="shared" ca="1" si="149"/>
        <v>Diabetes</v>
      </c>
      <c r="G821" t="str">
        <f t="shared" ca="1" si="150"/>
        <v>Medication</v>
      </c>
      <c r="H821">
        <f t="shared" ca="1" si="151"/>
        <v>9</v>
      </c>
      <c r="I821" t="str">
        <f t="shared" ca="1" si="152"/>
        <v>No</v>
      </c>
      <c r="J821">
        <f t="shared" ca="1" si="153"/>
        <v>4</v>
      </c>
      <c r="K821" t="str">
        <f t="shared" ca="1" si="154"/>
        <v>None</v>
      </c>
      <c r="L821" t="str">
        <f t="shared" ca="1" si="155"/>
        <v>General</v>
      </c>
    </row>
    <row r="822" spans="1:12" x14ac:dyDescent="0.25">
      <c r="A822">
        <f t="shared" si="144"/>
        <v>821</v>
      </c>
      <c r="B822">
        <f t="shared" ca="1" si="145"/>
        <v>31</v>
      </c>
      <c r="C822" t="str">
        <f t="shared" ca="1" si="146"/>
        <v>Female</v>
      </c>
      <c r="D822" s="1">
        <f t="shared" ca="1" si="147"/>
        <v>45562</v>
      </c>
      <c r="E822" s="1">
        <f t="shared" ca="1" si="148"/>
        <v>45576</v>
      </c>
      <c r="F822" t="str">
        <f t="shared" ca="1" si="149"/>
        <v>Heart Failure</v>
      </c>
      <c r="G822" t="str">
        <f t="shared" ca="1" si="150"/>
        <v>Surgery</v>
      </c>
      <c r="H822">
        <f t="shared" ca="1" si="151"/>
        <v>14</v>
      </c>
      <c r="I822" t="str">
        <f t="shared" ca="1" si="152"/>
        <v>Yes</v>
      </c>
      <c r="J822">
        <f t="shared" ca="1" si="153"/>
        <v>2</v>
      </c>
      <c r="K822" t="str">
        <f t="shared" ca="1" si="154"/>
        <v>Private</v>
      </c>
      <c r="L822" t="str">
        <f t="shared" ca="1" si="155"/>
        <v>ICU</v>
      </c>
    </row>
    <row r="823" spans="1:12" x14ac:dyDescent="0.25">
      <c r="A823">
        <f t="shared" si="144"/>
        <v>822</v>
      </c>
      <c r="B823">
        <f t="shared" ca="1" si="145"/>
        <v>47</v>
      </c>
      <c r="C823" t="str">
        <f t="shared" ca="1" si="146"/>
        <v>Male</v>
      </c>
      <c r="D823" s="1">
        <f t="shared" ca="1" si="147"/>
        <v>45358</v>
      </c>
      <c r="E823" s="1">
        <f t="shared" ca="1" si="148"/>
        <v>45370</v>
      </c>
      <c r="F823" t="str">
        <f t="shared" ca="1" si="149"/>
        <v>Diabetes</v>
      </c>
      <c r="G823" t="str">
        <f t="shared" ca="1" si="150"/>
        <v>Surgery</v>
      </c>
      <c r="H823">
        <f t="shared" ca="1" si="151"/>
        <v>12</v>
      </c>
      <c r="I823" t="str">
        <f t="shared" ca="1" si="152"/>
        <v>No</v>
      </c>
      <c r="J823">
        <f t="shared" ca="1" si="153"/>
        <v>4</v>
      </c>
      <c r="K823" t="str">
        <f t="shared" ca="1" si="154"/>
        <v>Private</v>
      </c>
      <c r="L823" t="str">
        <f t="shared" ca="1" si="155"/>
        <v>Cardiology</v>
      </c>
    </row>
    <row r="824" spans="1:12" x14ac:dyDescent="0.25">
      <c r="A824">
        <f t="shared" si="144"/>
        <v>823</v>
      </c>
      <c r="B824">
        <f t="shared" ca="1" si="145"/>
        <v>22</v>
      </c>
      <c r="C824" t="str">
        <f t="shared" ca="1" si="146"/>
        <v>Male</v>
      </c>
      <c r="D824" s="1">
        <f t="shared" ca="1" si="147"/>
        <v>45651</v>
      </c>
      <c r="E824" s="1">
        <f t="shared" ca="1" si="148"/>
        <v>45656</v>
      </c>
      <c r="F824" t="str">
        <f t="shared" ca="1" si="149"/>
        <v>Heart Failure</v>
      </c>
      <c r="G824" t="str">
        <f t="shared" ca="1" si="150"/>
        <v>Surgery</v>
      </c>
      <c r="H824">
        <f t="shared" ca="1" si="151"/>
        <v>5</v>
      </c>
      <c r="I824" t="str">
        <f t="shared" ca="1" si="152"/>
        <v>Yes</v>
      </c>
      <c r="J824">
        <f t="shared" ca="1" si="153"/>
        <v>0</v>
      </c>
      <c r="K824" t="str">
        <f t="shared" ca="1" si="154"/>
        <v>Private</v>
      </c>
      <c r="L824" t="str">
        <f t="shared" ca="1" si="155"/>
        <v>Cardiology</v>
      </c>
    </row>
    <row r="825" spans="1:12" x14ac:dyDescent="0.25">
      <c r="A825">
        <f t="shared" si="144"/>
        <v>824</v>
      </c>
      <c r="B825">
        <f t="shared" ca="1" si="145"/>
        <v>39</v>
      </c>
      <c r="C825" t="str">
        <f t="shared" ca="1" si="146"/>
        <v>Male</v>
      </c>
      <c r="D825" s="1">
        <f t="shared" ca="1" si="147"/>
        <v>45491</v>
      </c>
      <c r="E825" s="1">
        <f t="shared" ca="1" si="148"/>
        <v>45503</v>
      </c>
      <c r="F825" t="str">
        <f t="shared" ca="1" si="149"/>
        <v>Heart Failure</v>
      </c>
      <c r="G825" t="str">
        <f t="shared" ca="1" si="150"/>
        <v>Surgery</v>
      </c>
      <c r="H825">
        <f t="shared" ca="1" si="151"/>
        <v>12</v>
      </c>
      <c r="I825" t="str">
        <f t="shared" ca="1" si="152"/>
        <v>No</v>
      </c>
      <c r="J825">
        <f t="shared" ca="1" si="153"/>
        <v>3</v>
      </c>
      <c r="K825" t="str">
        <f t="shared" ca="1" si="154"/>
        <v>Private</v>
      </c>
      <c r="L825" t="str">
        <f t="shared" ca="1" si="155"/>
        <v>ER</v>
      </c>
    </row>
    <row r="826" spans="1:12" x14ac:dyDescent="0.25">
      <c r="A826">
        <f t="shared" si="144"/>
        <v>825</v>
      </c>
      <c r="B826">
        <f t="shared" ca="1" si="145"/>
        <v>42</v>
      </c>
      <c r="C826" t="str">
        <f t="shared" ca="1" si="146"/>
        <v>Male</v>
      </c>
      <c r="D826" s="1">
        <f t="shared" ca="1" si="147"/>
        <v>45337</v>
      </c>
      <c r="E826" s="1">
        <f t="shared" ca="1" si="148"/>
        <v>45351</v>
      </c>
      <c r="F826" t="str">
        <f t="shared" ca="1" si="149"/>
        <v>Hypertension</v>
      </c>
      <c r="G826" t="str">
        <f t="shared" ca="1" si="150"/>
        <v>Medication</v>
      </c>
      <c r="H826">
        <f t="shared" ca="1" si="151"/>
        <v>14</v>
      </c>
      <c r="I826" t="str">
        <f t="shared" ca="1" si="152"/>
        <v>No</v>
      </c>
      <c r="J826">
        <f t="shared" ca="1" si="153"/>
        <v>3</v>
      </c>
      <c r="K826" t="str">
        <f t="shared" ca="1" si="154"/>
        <v>Public</v>
      </c>
      <c r="L826" t="str">
        <f t="shared" ca="1" si="155"/>
        <v>ICU</v>
      </c>
    </row>
    <row r="827" spans="1:12" x14ac:dyDescent="0.25">
      <c r="A827">
        <f t="shared" si="144"/>
        <v>826</v>
      </c>
      <c r="B827">
        <f t="shared" ca="1" si="145"/>
        <v>70</v>
      </c>
      <c r="C827" t="str">
        <f t="shared" ca="1" si="146"/>
        <v>Female</v>
      </c>
      <c r="D827" s="1">
        <f t="shared" ca="1" si="147"/>
        <v>45483</v>
      </c>
      <c r="E827" s="1">
        <f t="shared" ca="1" si="148"/>
        <v>45496</v>
      </c>
      <c r="F827" t="str">
        <f t="shared" ca="1" si="149"/>
        <v>Pneumonia</v>
      </c>
      <c r="G827" t="str">
        <f t="shared" ca="1" si="150"/>
        <v>Medication</v>
      </c>
      <c r="H827">
        <f t="shared" ca="1" si="151"/>
        <v>13</v>
      </c>
      <c r="I827" t="str">
        <f t="shared" ca="1" si="152"/>
        <v>No</v>
      </c>
      <c r="J827">
        <f t="shared" ca="1" si="153"/>
        <v>0</v>
      </c>
      <c r="K827" t="str">
        <f t="shared" ca="1" si="154"/>
        <v>None</v>
      </c>
      <c r="L827" t="str">
        <f t="shared" ca="1" si="155"/>
        <v>Cardiology</v>
      </c>
    </row>
    <row r="828" spans="1:12" x14ac:dyDescent="0.25">
      <c r="A828">
        <f t="shared" si="144"/>
        <v>827</v>
      </c>
      <c r="B828">
        <f t="shared" ca="1" si="145"/>
        <v>40</v>
      </c>
      <c r="C828" t="str">
        <f t="shared" ca="1" si="146"/>
        <v>Male</v>
      </c>
      <c r="D828" s="1">
        <f t="shared" ca="1" si="147"/>
        <v>45563</v>
      </c>
      <c r="E828" s="1">
        <f t="shared" ca="1" si="148"/>
        <v>45567</v>
      </c>
      <c r="F828" t="str">
        <f t="shared" ca="1" si="149"/>
        <v>Stroke</v>
      </c>
      <c r="G828" t="str">
        <f t="shared" ca="1" si="150"/>
        <v>Surgery</v>
      </c>
      <c r="H828">
        <f t="shared" ca="1" si="151"/>
        <v>4</v>
      </c>
      <c r="I828" t="str">
        <f t="shared" ca="1" si="152"/>
        <v>No</v>
      </c>
      <c r="J828">
        <f t="shared" ca="1" si="153"/>
        <v>1</v>
      </c>
      <c r="K828" t="str">
        <f t="shared" ca="1" si="154"/>
        <v>Public</v>
      </c>
      <c r="L828" t="str">
        <f t="shared" ca="1" si="155"/>
        <v>ER</v>
      </c>
    </row>
    <row r="829" spans="1:12" x14ac:dyDescent="0.25">
      <c r="A829">
        <f t="shared" si="144"/>
        <v>828</v>
      </c>
      <c r="B829">
        <f t="shared" ca="1" si="145"/>
        <v>57</v>
      </c>
      <c r="C829" t="str">
        <f t="shared" ca="1" si="146"/>
        <v>Female</v>
      </c>
      <c r="D829" s="1">
        <f t="shared" ca="1" si="147"/>
        <v>45339</v>
      </c>
      <c r="E829" s="1">
        <f t="shared" ca="1" si="148"/>
        <v>45341</v>
      </c>
      <c r="F829" t="str">
        <f t="shared" ca="1" si="149"/>
        <v>Hypertension</v>
      </c>
      <c r="G829" t="str">
        <f t="shared" ca="1" si="150"/>
        <v>Medication</v>
      </c>
      <c r="H829">
        <f t="shared" ca="1" si="151"/>
        <v>2</v>
      </c>
      <c r="I829" t="str">
        <f t="shared" ca="1" si="152"/>
        <v>No</v>
      </c>
      <c r="J829">
        <f t="shared" ca="1" si="153"/>
        <v>0</v>
      </c>
      <c r="K829" t="str">
        <f t="shared" ca="1" si="154"/>
        <v>Private</v>
      </c>
      <c r="L829" t="str">
        <f t="shared" ca="1" si="155"/>
        <v>ER</v>
      </c>
    </row>
    <row r="830" spans="1:12" x14ac:dyDescent="0.25">
      <c r="A830">
        <f t="shared" si="144"/>
        <v>829</v>
      </c>
      <c r="B830">
        <f t="shared" ca="1" si="145"/>
        <v>61</v>
      </c>
      <c r="C830" t="str">
        <f t="shared" ca="1" si="146"/>
        <v>Male</v>
      </c>
      <c r="D830" s="1">
        <f t="shared" ca="1" si="147"/>
        <v>45608</v>
      </c>
      <c r="E830" s="1">
        <f t="shared" ca="1" si="148"/>
        <v>45622</v>
      </c>
      <c r="F830" t="str">
        <f t="shared" ca="1" si="149"/>
        <v>Stroke</v>
      </c>
      <c r="G830" t="str">
        <f t="shared" ca="1" si="150"/>
        <v>Medication</v>
      </c>
      <c r="H830">
        <f t="shared" ca="1" si="151"/>
        <v>14</v>
      </c>
      <c r="I830" t="str">
        <f t="shared" ca="1" si="152"/>
        <v>No</v>
      </c>
      <c r="J830">
        <f t="shared" ca="1" si="153"/>
        <v>1</v>
      </c>
      <c r="K830" t="str">
        <f t="shared" ca="1" si="154"/>
        <v>Public</v>
      </c>
      <c r="L830" t="str">
        <f t="shared" ca="1" si="155"/>
        <v>Neurology</v>
      </c>
    </row>
    <row r="831" spans="1:12" x14ac:dyDescent="0.25">
      <c r="A831">
        <f t="shared" si="144"/>
        <v>830</v>
      </c>
      <c r="B831">
        <f t="shared" ca="1" si="145"/>
        <v>64</v>
      </c>
      <c r="C831" t="str">
        <f t="shared" ca="1" si="146"/>
        <v>Male</v>
      </c>
      <c r="D831" s="1">
        <f t="shared" ca="1" si="147"/>
        <v>45296</v>
      </c>
      <c r="E831" s="1">
        <f t="shared" ca="1" si="148"/>
        <v>45308</v>
      </c>
      <c r="F831" t="str">
        <f t="shared" ca="1" si="149"/>
        <v>Diabetes</v>
      </c>
      <c r="G831" t="str">
        <f t="shared" ca="1" si="150"/>
        <v>Therapy</v>
      </c>
      <c r="H831">
        <f t="shared" ca="1" si="151"/>
        <v>12</v>
      </c>
      <c r="I831" t="str">
        <f t="shared" ca="1" si="152"/>
        <v>No</v>
      </c>
      <c r="J831">
        <f t="shared" ca="1" si="153"/>
        <v>4</v>
      </c>
      <c r="K831" t="str">
        <f t="shared" ca="1" si="154"/>
        <v>None</v>
      </c>
      <c r="L831" t="str">
        <f t="shared" ca="1" si="155"/>
        <v>Cardiology</v>
      </c>
    </row>
    <row r="832" spans="1:12" x14ac:dyDescent="0.25">
      <c r="A832">
        <f t="shared" si="144"/>
        <v>831</v>
      </c>
      <c r="B832">
        <f t="shared" ca="1" si="145"/>
        <v>80</v>
      </c>
      <c r="C832" t="str">
        <f t="shared" ca="1" si="146"/>
        <v>Male</v>
      </c>
      <c r="D832" s="1">
        <f t="shared" ca="1" si="147"/>
        <v>45430</v>
      </c>
      <c r="E832" s="1">
        <f t="shared" ca="1" si="148"/>
        <v>45436</v>
      </c>
      <c r="F832" t="str">
        <f t="shared" ca="1" si="149"/>
        <v>Diabetes</v>
      </c>
      <c r="G832" t="str">
        <f t="shared" ca="1" si="150"/>
        <v>Surgery</v>
      </c>
      <c r="H832">
        <f t="shared" ca="1" si="151"/>
        <v>6</v>
      </c>
      <c r="I832" t="str">
        <f t="shared" ca="1" si="152"/>
        <v>No</v>
      </c>
      <c r="J832">
        <f t="shared" ca="1" si="153"/>
        <v>0</v>
      </c>
      <c r="K832" t="str">
        <f t="shared" ca="1" si="154"/>
        <v>Private</v>
      </c>
      <c r="L832" t="str">
        <f t="shared" ca="1" si="155"/>
        <v>ICU</v>
      </c>
    </row>
    <row r="833" spans="1:12" x14ac:dyDescent="0.25">
      <c r="A833">
        <f t="shared" si="144"/>
        <v>832</v>
      </c>
      <c r="B833">
        <f t="shared" ca="1" si="145"/>
        <v>58</v>
      </c>
      <c r="C833" t="str">
        <f t="shared" ca="1" si="146"/>
        <v>Male</v>
      </c>
      <c r="D833" s="1">
        <f t="shared" ca="1" si="147"/>
        <v>45630</v>
      </c>
      <c r="E833" s="1">
        <f t="shared" ca="1" si="148"/>
        <v>45633</v>
      </c>
      <c r="F833" t="str">
        <f t="shared" ca="1" si="149"/>
        <v>Heart Failure</v>
      </c>
      <c r="G833" t="str">
        <f t="shared" ca="1" si="150"/>
        <v>Medication</v>
      </c>
      <c r="H833">
        <f t="shared" ca="1" si="151"/>
        <v>3</v>
      </c>
      <c r="I833" t="str">
        <f t="shared" ca="1" si="152"/>
        <v>Yes</v>
      </c>
      <c r="J833">
        <f t="shared" ca="1" si="153"/>
        <v>4</v>
      </c>
      <c r="K833" t="str">
        <f t="shared" ca="1" si="154"/>
        <v>Private</v>
      </c>
      <c r="L833" t="str">
        <f t="shared" ca="1" si="155"/>
        <v>Cardiology</v>
      </c>
    </row>
    <row r="834" spans="1:12" x14ac:dyDescent="0.25">
      <c r="A834">
        <f t="shared" si="144"/>
        <v>833</v>
      </c>
      <c r="B834">
        <f t="shared" ca="1" si="145"/>
        <v>75</v>
      </c>
      <c r="C834" t="str">
        <f t="shared" ca="1" si="146"/>
        <v>Female</v>
      </c>
      <c r="D834" s="1">
        <f t="shared" ca="1" si="147"/>
        <v>45470</v>
      </c>
      <c r="E834" s="1">
        <f t="shared" ca="1" si="148"/>
        <v>45479</v>
      </c>
      <c r="F834" t="str">
        <f t="shared" ca="1" si="149"/>
        <v>Stroke</v>
      </c>
      <c r="G834" t="str">
        <f t="shared" ca="1" si="150"/>
        <v>Surgery</v>
      </c>
      <c r="H834">
        <f t="shared" ca="1" si="151"/>
        <v>9</v>
      </c>
      <c r="I834" t="str">
        <f t="shared" ca="1" si="152"/>
        <v>No</v>
      </c>
      <c r="J834">
        <f t="shared" ca="1" si="153"/>
        <v>2</v>
      </c>
      <c r="K834" t="str">
        <f t="shared" ca="1" si="154"/>
        <v>None</v>
      </c>
      <c r="L834" t="str">
        <f t="shared" ca="1" si="155"/>
        <v>Neurology</v>
      </c>
    </row>
    <row r="835" spans="1:12" x14ac:dyDescent="0.25">
      <c r="A835">
        <f t="shared" ref="A835:A898" si="156">ROW() -1</f>
        <v>834</v>
      </c>
      <c r="B835">
        <f t="shared" ref="B835:B898" ca="1" si="157">RANDBETWEEN(20,90)</f>
        <v>77</v>
      </c>
      <c r="C835" t="str">
        <f t="shared" ref="C835:C898" ca="1" si="158">IF(RAND()&lt;0.5,"Male","Female")</f>
        <v>Male</v>
      </c>
      <c r="D835" s="1">
        <f t="shared" ref="D835:D898" ca="1" si="159">DATE(2024,1,1)+RANDBETWEEN(0,364)</f>
        <v>45526</v>
      </c>
      <c r="E835" s="1">
        <f t="shared" ref="E835:E898" ca="1" si="160">D835+RANDBETWEEN(1,15)</f>
        <v>45532</v>
      </c>
      <c r="F835" t="str">
        <f t="shared" ref="F835:F898" ca="1" si="161">CHOOSE(RANDBETWEEN(1,5),"Diabetes","Heart Failure","Pneumonia","Stroke","Hypertension")</f>
        <v>Hypertension</v>
      </c>
      <c r="G835" t="str">
        <f t="shared" ref="G835:G898" ca="1" si="162">CHOOSE(RANDBETWEEN(1,3),"Medication","Surgery","Therapy")</f>
        <v>Therapy</v>
      </c>
      <c r="H835">
        <f t="shared" ref="H835:H898" ca="1" si="163">DATEDIF(D835,E835,"D")</f>
        <v>6</v>
      </c>
      <c r="I835" t="str">
        <f t="shared" ref="I835:I898" ca="1" si="164">IF(RAND()&lt;0.3,"Yes","No")</f>
        <v>No</v>
      </c>
      <c r="J835">
        <f t="shared" ref="J835:J898" ca="1" si="165">RANDBETWEEN(0,4)</f>
        <v>4</v>
      </c>
      <c r="K835" t="str">
        <f t="shared" ref="K835:K898" ca="1" si="166">CHOOSE(RANDBETWEEN(1,3),"Private","Public","None")</f>
        <v>Public</v>
      </c>
      <c r="L835" t="str">
        <f t="shared" ref="L835:L898" ca="1" si="167">CHOOSE(RANDBETWEEN(1,5),"ER","Cardiology","Neurology","General","ICU")</f>
        <v>General</v>
      </c>
    </row>
    <row r="836" spans="1:12" x14ac:dyDescent="0.25">
      <c r="A836">
        <f t="shared" si="156"/>
        <v>835</v>
      </c>
      <c r="B836">
        <f t="shared" ca="1" si="157"/>
        <v>20</v>
      </c>
      <c r="C836" t="str">
        <f t="shared" ca="1" si="158"/>
        <v>Female</v>
      </c>
      <c r="D836" s="1">
        <f t="shared" ca="1" si="159"/>
        <v>45448</v>
      </c>
      <c r="E836" s="1">
        <f t="shared" ca="1" si="160"/>
        <v>45458</v>
      </c>
      <c r="F836" t="str">
        <f t="shared" ca="1" si="161"/>
        <v>Stroke</v>
      </c>
      <c r="G836" t="str">
        <f t="shared" ca="1" si="162"/>
        <v>Therapy</v>
      </c>
      <c r="H836">
        <f t="shared" ca="1" si="163"/>
        <v>10</v>
      </c>
      <c r="I836" t="str">
        <f t="shared" ca="1" si="164"/>
        <v>Yes</v>
      </c>
      <c r="J836">
        <f t="shared" ca="1" si="165"/>
        <v>4</v>
      </c>
      <c r="K836" t="str">
        <f t="shared" ca="1" si="166"/>
        <v>Private</v>
      </c>
      <c r="L836" t="str">
        <f t="shared" ca="1" si="167"/>
        <v>Neurology</v>
      </c>
    </row>
    <row r="837" spans="1:12" x14ac:dyDescent="0.25">
      <c r="A837">
        <f t="shared" si="156"/>
        <v>836</v>
      </c>
      <c r="B837">
        <f t="shared" ca="1" si="157"/>
        <v>61</v>
      </c>
      <c r="C837" t="str">
        <f t="shared" ca="1" si="158"/>
        <v>Male</v>
      </c>
      <c r="D837" s="1">
        <f t="shared" ca="1" si="159"/>
        <v>45330</v>
      </c>
      <c r="E837" s="1">
        <f t="shared" ca="1" si="160"/>
        <v>45335</v>
      </c>
      <c r="F837" t="str">
        <f t="shared" ca="1" si="161"/>
        <v>Pneumonia</v>
      </c>
      <c r="G837" t="str">
        <f t="shared" ca="1" si="162"/>
        <v>Therapy</v>
      </c>
      <c r="H837">
        <f t="shared" ca="1" si="163"/>
        <v>5</v>
      </c>
      <c r="I837" t="str">
        <f t="shared" ca="1" si="164"/>
        <v>No</v>
      </c>
      <c r="J837">
        <f t="shared" ca="1" si="165"/>
        <v>2</v>
      </c>
      <c r="K837" t="str">
        <f t="shared" ca="1" si="166"/>
        <v>None</v>
      </c>
      <c r="L837" t="str">
        <f t="shared" ca="1" si="167"/>
        <v>General</v>
      </c>
    </row>
    <row r="838" spans="1:12" x14ac:dyDescent="0.25">
      <c r="A838">
        <f t="shared" si="156"/>
        <v>837</v>
      </c>
      <c r="B838">
        <f t="shared" ca="1" si="157"/>
        <v>43</v>
      </c>
      <c r="C838" t="str">
        <f t="shared" ca="1" si="158"/>
        <v>Male</v>
      </c>
      <c r="D838" s="1">
        <f t="shared" ca="1" si="159"/>
        <v>45646</v>
      </c>
      <c r="E838" s="1">
        <f t="shared" ca="1" si="160"/>
        <v>45647</v>
      </c>
      <c r="F838" t="str">
        <f t="shared" ca="1" si="161"/>
        <v>Diabetes</v>
      </c>
      <c r="G838" t="str">
        <f t="shared" ca="1" si="162"/>
        <v>Medication</v>
      </c>
      <c r="H838">
        <f t="shared" ca="1" si="163"/>
        <v>1</v>
      </c>
      <c r="I838" t="str">
        <f t="shared" ca="1" si="164"/>
        <v>Yes</v>
      </c>
      <c r="J838">
        <f t="shared" ca="1" si="165"/>
        <v>4</v>
      </c>
      <c r="K838" t="str">
        <f t="shared" ca="1" si="166"/>
        <v>Private</v>
      </c>
      <c r="L838" t="str">
        <f t="shared" ca="1" si="167"/>
        <v>ER</v>
      </c>
    </row>
    <row r="839" spans="1:12" x14ac:dyDescent="0.25">
      <c r="A839">
        <f t="shared" si="156"/>
        <v>838</v>
      </c>
      <c r="B839">
        <f t="shared" ca="1" si="157"/>
        <v>31</v>
      </c>
      <c r="C839" t="str">
        <f t="shared" ca="1" si="158"/>
        <v>Female</v>
      </c>
      <c r="D839" s="1">
        <f t="shared" ca="1" si="159"/>
        <v>45315</v>
      </c>
      <c r="E839" s="1">
        <f t="shared" ca="1" si="160"/>
        <v>45325</v>
      </c>
      <c r="F839" t="str">
        <f t="shared" ca="1" si="161"/>
        <v>Stroke</v>
      </c>
      <c r="G839" t="str">
        <f t="shared" ca="1" si="162"/>
        <v>Surgery</v>
      </c>
      <c r="H839">
        <f t="shared" ca="1" si="163"/>
        <v>10</v>
      </c>
      <c r="I839" t="str">
        <f t="shared" ca="1" si="164"/>
        <v>Yes</v>
      </c>
      <c r="J839">
        <f t="shared" ca="1" si="165"/>
        <v>4</v>
      </c>
      <c r="K839" t="str">
        <f t="shared" ca="1" si="166"/>
        <v>Public</v>
      </c>
      <c r="L839" t="str">
        <f t="shared" ca="1" si="167"/>
        <v>ER</v>
      </c>
    </row>
    <row r="840" spans="1:12" x14ac:dyDescent="0.25">
      <c r="A840">
        <f t="shared" si="156"/>
        <v>839</v>
      </c>
      <c r="B840">
        <f t="shared" ca="1" si="157"/>
        <v>34</v>
      </c>
      <c r="C840" t="str">
        <f t="shared" ca="1" si="158"/>
        <v>Female</v>
      </c>
      <c r="D840" s="1">
        <f t="shared" ca="1" si="159"/>
        <v>45470</v>
      </c>
      <c r="E840" s="1">
        <f t="shared" ca="1" si="160"/>
        <v>45479</v>
      </c>
      <c r="F840" t="str">
        <f t="shared" ca="1" si="161"/>
        <v>Pneumonia</v>
      </c>
      <c r="G840" t="str">
        <f t="shared" ca="1" si="162"/>
        <v>Medication</v>
      </c>
      <c r="H840">
        <f t="shared" ca="1" si="163"/>
        <v>9</v>
      </c>
      <c r="I840" t="str">
        <f t="shared" ca="1" si="164"/>
        <v>No</v>
      </c>
      <c r="J840">
        <f t="shared" ca="1" si="165"/>
        <v>0</v>
      </c>
      <c r="K840" t="str">
        <f t="shared" ca="1" si="166"/>
        <v>Private</v>
      </c>
      <c r="L840" t="str">
        <f t="shared" ca="1" si="167"/>
        <v>Neurology</v>
      </c>
    </row>
    <row r="841" spans="1:12" x14ac:dyDescent="0.25">
      <c r="A841">
        <f t="shared" si="156"/>
        <v>840</v>
      </c>
      <c r="B841">
        <f t="shared" ca="1" si="157"/>
        <v>25</v>
      </c>
      <c r="C841" t="str">
        <f t="shared" ca="1" si="158"/>
        <v>Male</v>
      </c>
      <c r="D841" s="1">
        <f t="shared" ca="1" si="159"/>
        <v>45301</v>
      </c>
      <c r="E841" s="1">
        <f t="shared" ca="1" si="160"/>
        <v>45309</v>
      </c>
      <c r="F841" t="str">
        <f t="shared" ca="1" si="161"/>
        <v>Hypertension</v>
      </c>
      <c r="G841" t="str">
        <f t="shared" ca="1" si="162"/>
        <v>Therapy</v>
      </c>
      <c r="H841">
        <f t="shared" ca="1" si="163"/>
        <v>8</v>
      </c>
      <c r="I841" t="str">
        <f t="shared" ca="1" si="164"/>
        <v>No</v>
      </c>
      <c r="J841">
        <f t="shared" ca="1" si="165"/>
        <v>3</v>
      </c>
      <c r="K841" t="str">
        <f t="shared" ca="1" si="166"/>
        <v>None</v>
      </c>
      <c r="L841" t="str">
        <f t="shared" ca="1" si="167"/>
        <v>Neurology</v>
      </c>
    </row>
    <row r="842" spans="1:12" x14ac:dyDescent="0.25">
      <c r="A842">
        <f t="shared" si="156"/>
        <v>841</v>
      </c>
      <c r="B842">
        <f t="shared" ca="1" si="157"/>
        <v>67</v>
      </c>
      <c r="C842" t="str">
        <f t="shared" ca="1" si="158"/>
        <v>Male</v>
      </c>
      <c r="D842" s="1">
        <f t="shared" ca="1" si="159"/>
        <v>45411</v>
      </c>
      <c r="E842" s="1">
        <f t="shared" ca="1" si="160"/>
        <v>45419</v>
      </c>
      <c r="F842" t="str">
        <f t="shared" ca="1" si="161"/>
        <v>Pneumonia</v>
      </c>
      <c r="G842" t="str">
        <f t="shared" ca="1" si="162"/>
        <v>Surgery</v>
      </c>
      <c r="H842">
        <f t="shared" ca="1" si="163"/>
        <v>8</v>
      </c>
      <c r="I842" t="str">
        <f t="shared" ca="1" si="164"/>
        <v>Yes</v>
      </c>
      <c r="J842">
        <f t="shared" ca="1" si="165"/>
        <v>1</v>
      </c>
      <c r="K842" t="str">
        <f t="shared" ca="1" si="166"/>
        <v>Private</v>
      </c>
      <c r="L842" t="str">
        <f t="shared" ca="1" si="167"/>
        <v>Neurology</v>
      </c>
    </row>
    <row r="843" spans="1:12" x14ac:dyDescent="0.25">
      <c r="A843">
        <f t="shared" si="156"/>
        <v>842</v>
      </c>
      <c r="B843">
        <f t="shared" ca="1" si="157"/>
        <v>59</v>
      </c>
      <c r="C843" t="str">
        <f t="shared" ca="1" si="158"/>
        <v>Female</v>
      </c>
      <c r="D843" s="1">
        <f t="shared" ca="1" si="159"/>
        <v>45446</v>
      </c>
      <c r="E843" s="1">
        <f t="shared" ca="1" si="160"/>
        <v>45454</v>
      </c>
      <c r="F843" t="str">
        <f t="shared" ca="1" si="161"/>
        <v>Pneumonia</v>
      </c>
      <c r="G843" t="str">
        <f t="shared" ca="1" si="162"/>
        <v>Medication</v>
      </c>
      <c r="H843">
        <f t="shared" ca="1" si="163"/>
        <v>8</v>
      </c>
      <c r="I843" t="str">
        <f t="shared" ca="1" si="164"/>
        <v>No</v>
      </c>
      <c r="J843">
        <f t="shared" ca="1" si="165"/>
        <v>1</v>
      </c>
      <c r="K843" t="str">
        <f t="shared" ca="1" si="166"/>
        <v>None</v>
      </c>
      <c r="L843" t="str">
        <f t="shared" ca="1" si="167"/>
        <v>Neurology</v>
      </c>
    </row>
    <row r="844" spans="1:12" x14ac:dyDescent="0.25">
      <c r="A844">
        <f t="shared" si="156"/>
        <v>843</v>
      </c>
      <c r="B844">
        <f t="shared" ca="1" si="157"/>
        <v>76</v>
      </c>
      <c r="C844" t="str">
        <f t="shared" ca="1" si="158"/>
        <v>Female</v>
      </c>
      <c r="D844" s="1">
        <f t="shared" ca="1" si="159"/>
        <v>45389</v>
      </c>
      <c r="E844" s="1">
        <f t="shared" ca="1" si="160"/>
        <v>45402</v>
      </c>
      <c r="F844" t="str">
        <f t="shared" ca="1" si="161"/>
        <v>Diabetes</v>
      </c>
      <c r="G844" t="str">
        <f t="shared" ca="1" si="162"/>
        <v>Surgery</v>
      </c>
      <c r="H844">
        <f t="shared" ca="1" si="163"/>
        <v>13</v>
      </c>
      <c r="I844" t="str">
        <f t="shared" ca="1" si="164"/>
        <v>No</v>
      </c>
      <c r="J844">
        <f t="shared" ca="1" si="165"/>
        <v>2</v>
      </c>
      <c r="K844" t="str">
        <f t="shared" ca="1" si="166"/>
        <v>Private</v>
      </c>
      <c r="L844" t="str">
        <f t="shared" ca="1" si="167"/>
        <v>General</v>
      </c>
    </row>
    <row r="845" spans="1:12" x14ac:dyDescent="0.25">
      <c r="A845">
        <f t="shared" si="156"/>
        <v>844</v>
      </c>
      <c r="B845">
        <f t="shared" ca="1" si="157"/>
        <v>85</v>
      </c>
      <c r="C845" t="str">
        <f t="shared" ca="1" si="158"/>
        <v>Male</v>
      </c>
      <c r="D845" s="1">
        <f t="shared" ca="1" si="159"/>
        <v>45529</v>
      </c>
      <c r="E845" s="1">
        <f t="shared" ca="1" si="160"/>
        <v>45541</v>
      </c>
      <c r="F845" t="str">
        <f t="shared" ca="1" si="161"/>
        <v>Pneumonia</v>
      </c>
      <c r="G845" t="str">
        <f t="shared" ca="1" si="162"/>
        <v>Surgery</v>
      </c>
      <c r="H845">
        <f t="shared" ca="1" si="163"/>
        <v>12</v>
      </c>
      <c r="I845" t="str">
        <f t="shared" ca="1" si="164"/>
        <v>No</v>
      </c>
      <c r="J845">
        <f t="shared" ca="1" si="165"/>
        <v>1</v>
      </c>
      <c r="K845" t="str">
        <f t="shared" ca="1" si="166"/>
        <v>Public</v>
      </c>
      <c r="L845" t="str">
        <f t="shared" ca="1" si="167"/>
        <v>Neurology</v>
      </c>
    </row>
    <row r="846" spans="1:12" x14ac:dyDescent="0.25">
      <c r="A846">
        <f t="shared" si="156"/>
        <v>845</v>
      </c>
      <c r="B846">
        <f t="shared" ca="1" si="157"/>
        <v>35</v>
      </c>
      <c r="C846" t="str">
        <f t="shared" ca="1" si="158"/>
        <v>Male</v>
      </c>
      <c r="D846" s="1">
        <f t="shared" ca="1" si="159"/>
        <v>45461</v>
      </c>
      <c r="E846" s="1">
        <f t="shared" ca="1" si="160"/>
        <v>45463</v>
      </c>
      <c r="F846" t="str">
        <f t="shared" ca="1" si="161"/>
        <v>Diabetes</v>
      </c>
      <c r="G846" t="str">
        <f t="shared" ca="1" si="162"/>
        <v>Surgery</v>
      </c>
      <c r="H846">
        <f t="shared" ca="1" si="163"/>
        <v>2</v>
      </c>
      <c r="I846" t="str">
        <f t="shared" ca="1" si="164"/>
        <v>No</v>
      </c>
      <c r="J846">
        <f t="shared" ca="1" si="165"/>
        <v>3</v>
      </c>
      <c r="K846" t="str">
        <f t="shared" ca="1" si="166"/>
        <v>Public</v>
      </c>
      <c r="L846" t="str">
        <f t="shared" ca="1" si="167"/>
        <v>Neurology</v>
      </c>
    </row>
    <row r="847" spans="1:12" x14ac:dyDescent="0.25">
      <c r="A847">
        <f t="shared" si="156"/>
        <v>846</v>
      </c>
      <c r="B847">
        <f t="shared" ca="1" si="157"/>
        <v>76</v>
      </c>
      <c r="C847" t="str">
        <f t="shared" ca="1" si="158"/>
        <v>Female</v>
      </c>
      <c r="D847" s="1">
        <f t="shared" ca="1" si="159"/>
        <v>45309</v>
      </c>
      <c r="E847" s="1">
        <f t="shared" ca="1" si="160"/>
        <v>45319</v>
      </c>
      <c r="F847" t="str">
        <f t="shared" ca="1" si="161"/>
        <v>Hypertension</v>
      </c>
      <c r="G847" t="str">
        <f t="shared" ca="1" si="162"/>
        <v>Medication</v>
      </c>
      <c r="H847">
        <f t="shared" ca="1" si="163"/>
        <v>10</v>
      </c>
      <c r="I847" t="str">
        <f t="shared" ca="1" si="164"/>
        <v>No</v>
      </c>
      <c r="J847">
        <f t="shared" ca="1" si="165"/>
        <v>0</v>
      </c>
      <c r="K847" t="str">
        <f t="shared" ca="1" si="166"/>
        <v>None</v>
      </c>
      <c r="L847" t="str">
        <f t="shared" ca="1" si="167"/>
        <v>Cardiology</v>
      </c>
    </row>
    <row r="848" spans="1:12" x14ac:dyDescent="0.25">
      <c r="A848">
        <f t="shared" si="156"/>
        <v>847</v>
      </c>
      <c r="B848">
        <f t="shared" ca="1" si="157"/>
        <v>43</v>
      </c>
      <c r="C848" t="str">
        <f t="shared" ca="1" si="158"/>
        <v>Male</v>
      </c>
      <c r="D848" s="1">
        <f t="shared" ca="1" si="159"/>
        <v>45439</v>
      </c>
      <c r="E848" s="1">
        <f t="shared" ca="1" si="160"/>
        <v>45451</v>
      </c>
      <c r="F848" t="str">
        <f t="shared" ca="1" si="161"/>
        <v>Hypertension</v>
      </c>
      <c r="G848" t="str">
        <f t="shared" ca="1" si="162"/>
        <v>Surgery</v>
      </c>
      <c r="H848">
        <f t="shared" ca="1" si="163"/>
        <v>12</v>
      </c>
      <c r="I848" t="str">
        <f t="shared" ca="1" si="164"/>
        <v>No</v>
      </c>
      <c r="J848">
        <f t="shared" ca="1" si="165"/>
        <v>4</v>
      </c>
      <c r="K848" t="str">
        <f t="shared" ca="1" si="166"/>
        <v>Private</v>
      </c>
      <c r="L848" t="str">
        <f t="shared" ca="1" si="167"/>
        <v>ER</v>
      </c>
    </row>
    <row r="849" spans="1:12" x14ac:dyDescent="0.25">
      <c r="A849">
        <f t="shared" si="156"/>
        <v>848</v>
      </c>
      <c r="B849">
        <f t="shared" ca="1" si="157"/>
        <v>44</v>
      </c>
      <c r="C849" t="str">
        <f t="shared" ca="1" si="158"/>
        <v>Male</v>
      </c>
      <c r="D849" s="1">
        <f t="shared" ca="1" si="159"/>
        <v>45326</v>
      </c>
      <c r="E849" s="1">
        <f t="shared" ca="1" si="160"/>
        <v>45341</v>
      </c>
      <c r="F849" t="str">
        <f t="shared" ca="1" si="161"/>
        <v>Diabetes</v>
      </c>
      <c r="G849" t="str">
        <f t="shared" ca="1" si="162"/>
        <v>Therapy</v>
      </c>
      <c r="H849">
        <f t="shared" ca="1" si="163"/>
        <v>15</v>
      </c>
      <c r="I849" t="str">
        <f t="shared" ca="1" si="164"/>
        <v>No</v>
      </c>
      <c r="J849">
        <f t="shared" ca="1" si="165"/>
        <v>3</v>
      </c>
      <c r="K849" t="str">
        <f t="shared" ca="1" si="166"/>
        <v>None</v>
      </c>
      <c r="L849" t="str">
        <f t="shared" ca="1" si="167"/>
        <v>Cardiology</v>
      </c>
    </row>
    <row r="850" spans="1:12" x14ac:dyDescent="0.25">
      <c r="A850">
        <f t="shared" si="156"/>
        <v>849</v>
      </c>
      <c r="B850">
        <f t="shared" ca="1" si="157"/>
        <v>42</v>
      </c>
      <c r="C850" t="str">
        <f t="shared" ca="1" si="158"/>
        <v>Male</v>
      </c>
      <c r="D850" s="1">
        <f t="shared" ca="1" si="159"/>
        <v>45385</v>
      </c>
      <c r="E850" s="1">
        <f t="shared" ca="1" si="160"/>
        <v>45397</v>
      </c>
      <c r="F850" t="str">
        <f t="shared" ca="1" si="161"/>
        <v>Heart Failure</v>
      </c>
      <c r="G850" t="str">
        <f t="shared" ca="1" si="162"/>
        <v>Medication</v>
      </c>
      <c r="H850">
        <f t="shared" ca="1" si="163"/>
        <v>12</v>
      </c>
      <c r="I850" t="str">
        <f t="shared" ca="1" si="164"/>
        <v>No</v>
      </c>
      <c r="J850">
        <f t="shared" ca="1" si="165"/>
        <v>2</v>
      </c>
      <c r="K850" t="str">
        <f t="shared" ca="1" si="166"/>
        <v>Public</v>
      </c>
      <c r="L850" t="str">
        <f t="shared" ca="1" si="167"/>
        <v>ER</v>
      </c>
    </row>
    <row r="851" spans="1:12" x14ac:dyDescent="0.25">
      <c r="A851">
        <f t="shared" si="156"/>
        <v>850</v>
      </c>
      <c r="B851">
        <f t="shared" ca="1" si="157"/>
        <v>49</v>
      </c>
      <c r="C851" t="str">
        <f t="shared" ca="1" si="158"/>
        <v>Female</v>
      </c>
      <c r="D851" s="1">
        <f t="shared" ca="1" si="159"/>
        <v>45517</v>
      </c>
      <c r="E851" s="1">
        <f t="shared" ca="1" si="160"/>
        <v>45529</v>
      </c>
      <c r="F851" t="str">
        <f t="shared" ca="1" si="161"/>
        <v>Diabetes</v>
      </c>
      <c r="G851" t="str">
        <f t="shared" ca="1" si="162"/>
        <v>Medication</v>
      </c>
      <c r="H851">
        <f t="shared" ca="1" si="163"/>
        <v>12</v>
      </c>
      <c r="I851" t="str">
        <f t="shared" ca="1" si="164"/>
        <v>No</v>
      </c>
      <c r="J851">
        <f t="shared" ca="1" si="165"/>
        <v>0</v>
      </c>
      <c r="K851" t="str">
        <f t="shared" ca="1" si="166"/>
        <v>Public</v>
      </c>
      <c r="L851" t="str">
        <f t="shared" ca="1" si="167"/>
        <v>ER</v>
      </c>
    </row>
    <row r="852" spans="1:12" x14ac:dyDescent="0.25">
      <c r="A852">
        <f t="shared" si="156"/>
        <v>851</v>
      </c>
      <c r="B852">
        <f t="shared" ca="1" si="157"/>
        <v>49</v>
      </c>
      <c r="C852" t="str">
        <f t="shared" ca="1" si="158"/>
        <v>Male</v>
      </c>
      <c r="D852" s="1">
        <f t="shared" ca="1" si="159"/>
        <v>45465</v>
      </c>
      <c r="E852" s="1">
        <f t="shared" ca="1" si="160"/>
        <v>45466</v>
      </c>
      <c r="F852" t="str">
        <f t="shared" ca="1" si="161"/>
        <v>Hypertension</v>
      </c>
      <c r="G852" t="str">
        <f t="shared" ca="1" si="162"/>
        <v>Medication</v>
      </c>
      <c r="H852">
        <f t="shared" ca="1" si="163"/>
        <v>1</v>
      </c>
      <c r="I852" t="str">
        <f t="shared" ca="1" si="164"/>
        <v>No</v>
      </c>
      <c r="J852">
        <f t="shared" ca="1" si="165"/>
        <v>0</v>
      </c>
      <c r="K852" t="str">
        <f t="shared" ca="1" si="166"/>
        <v>Private</v>
      </c>
      <c r="L852" t="str">
        <f t="shared" ca="1" si="167"/>
        <v>ICU</v>
      </c>
    </row>
    <row r="853" spans="1:12" x14ac:dyDescent="0.25">
      <c r="A853">
        <f t="shared" si="156"/>
        <v>852</v>
      </c>
      <c r="B853">
        <f t="shared" ca="1" si="157"/>
        <v>82</v>
      </c>
      <c r="C853" t="str">
        <f t="shared" ca="1" si="158"/>
        <v>Male</v>
      </c>
      <c r="D853" s="1">
        <f t="shared" ca="1" si="159"/>
        <v>45541</v>
      </c>
      <c r="E853" s="1">
        <f t="shared" ca="1" si="160"/>
        <v>45543</v>
      </c>
      <c r="F853" t="str">
        <f t="shared" ca="1" si="161"/>
        <v>Diabetes</v>
      </c>
      <c r="G853" t="str">
        <f t="shared" ca="1" si="162"/>
        <v>Therapy</v>
      </c>
      <c r="H853">
        <f t="shared" ca="1" si="163"/>
        <v>2</v>
      </c>
      <c r="I853" t="str">
        <f t="shared" ca="1" si="164"/>
        <v>No</v>
      </c>
      <c r="J853">
        <f t="shared" ca="1" si="165"/>
        <v>2</v>
      </c>
      <c r="K853" t="str">
        <f t="shared" ca="1" si="166"/>
        <v>Public</v>
      </c>
      <c r="L853" t="str">
        <f t="shared" ca="1" si="167"/>
        <v>ER</v>
      </c>
    </row>
    <row r="854" spans="1:12" x14ac:dyDescent="0.25">
      <c r="A854">
        <f t="shared" si="156"/>
        <v>853</v>
      </c>
      <c r="B854">
        <f t="shared" ca="1" si="157"/>
        <v>55</v>
      </c>
      <c r="C854" t="str">
        <f t="shared" ca="1" si="158"/>
        <v>Female</v>
      </c>
      <c r="D854" s="1">
        <f t="shared" ca="1" si="159"/>
        <v>45503</v>
      </c>
      <c r="E854" s="1">
        <f t="shared" ca="1" si="160"/>
        <v>45505</v>
      </c>
      <c r="F854" t="str">
        <f t="shared" ca="1" si="161"/>
        <v>Stroke</v>
      </c>
      <c r="G854" t="str">
        <f t="shared" ca="1" si="162"/>
        <v>Therapy</v>
      </c>
      <c r="H854">
        <f t="shared" ca="1" si="163"/>
        <v>2</v>
      </c>
      <c r="I854" t="str">
        <f t="shared" ca="1" si="164"/>
        <v>No</v>
      </c>
      <c r="J854">
        <f t="shared" ca="1" si="165"/>
        <v>1</v>
      </c>
      <c r="K854" t="str">
        <f t="shared" ca="1" si="166"/>
        <v>None</v>
      </c>
      <c r="L854" t="str">
        <f t="shared" ca="1" si="167"/>
        <v>Cardiology</v>
      </c>
    </row>
    <row r="855" spans="1:12" x14ac:dyDescent="0.25">
      <c r="A855">
        <f t="shared" si="156"/>
        <v>854</v>
      </c>
      <c r="B855">
        <f t="shared" ca="1" si="157"/>
        <v>63</v>
      </c>
      <c r="C855" t="str">
        <f t="shared" ca="1" si="158"/>
        <v>Female</v>
      </c>
      <c r="D855" s="1">
        <f t="shared" ca="1" si="159"/>
        <v>45618</v>
      </c>
      <c r="E855" s="1">
        <f t="shared" ca="1" si="160"/>
        <v>45622</v>
      </c>
      <c r="F855" t="str">
        <f t="shared" ca="1" si="161"/>
        <v>Diabetes</v>
      </c>
      <c r="G855" t="str">
        <f t="shared" ca="1" si="162"/>
        <v>Surgery</v>
      </c>
      <c r="H855">
        <f t="shared" ca="1" si="163"/>
        <v>4</v>
      </c>
      <c r="I855" t="str">
        <f t="shared" ca="1" si="164"/>
        <v>No</v>
      </c>
      <c r="J855">
        <f t="shared" ca="1" si="165"/>
        <v>4</v>
      </c>
      <c r="K855" t="str">
        <f t="shared" ca="1" si="166"/>
        <v>Public</v>
      </c>
      <c r="L855" t="str">
        <f t="shared" ca="1" si="167"/>
        <v>ER</v>
      </c>
    </row>
    <row r="856" spans="1:12" x14ac:dyDescent="0.25">
      <c r="A856">
        <f t="shared" si="156"/>
        <v>855</v>
      </c>
      <c r="B856">
        <f t="shared" ca="1" si="157"/>
        <v>26</v>
      </c>
      <c r="C856" t="str">
        <f t="shared" ca="1" si="158"/>
        <v>Male</v>
      </c>
      <c r="D856" s="1">
        <f t="shared" ca="1" si="159"/>
        <v>45553</v>
      </c>
      <c r="E856" s="1">
        <f t="shared" ca="1" si="160"/>
        <v>45562</v>
      </c>
      <c r="F856" t="str">
        <f t="shared" ca="1" si="161"/>
        <v>Diabetes</v>
      </c>
      <c r="G856" t="str">
        <f t="shared" ca="1" si="162"/>
        <v>Medication</v>
      </c>
      <c r="H856">
        <f t="shared" ca="1" si="163"/>
        <v>9</v>
      </c>
      <c r="I856" t="str">
        <f t="shared" ca="1" si="164"/>
        <v>No</v>
      </c>
      <c r="J856">
        <f t="shared" ca="1" si="165"/>
        <v>3</v>
      </c>
      <c r="K856" t="str">
        <f t="shared" ca="1" si="166"/>
        <v>None</v>
      </c>
      <c r="L856" t="str">
        <f t="shared" ca="1" si="167"/>
        <v>Neurology</v>
      </c>
    </row>
    <row r="857" spans="1:12" x14ac:dyDescent="0.25">
      <c r="A857">
        <f t="shared" si="156"/>
        <v>856</v>
      </c>
      <c r="B857">
        <f t="shared" ca="1" si="157"/>
        <v>63</v>
      </c>
      <c r="C857" t="str">
        <f t="shared" ca="1" si="158"/>
        <v>Female</v>
      </c>
      <c r="D857" s="1">
        <f t="shared" ca="1" si="159"/>
        <v>45457</v>
      </c>
      <c r="E857" s="1">
        <f t="shared" ca="1" si="160"/>
        <v>45459</v>
      </c>
      <c r="F857" t="str">
        <f t="shared" ca="1" si="161"/>
        <v>Pneumonia</v>
      </c>
      <c r="G857" t="str">
        <f t="shared" ca="1" si="162"/>
        <v>Medication</v>
      </c>
      <c r="H857">
        <f t="shared" ca="1" si="163"/>
        <v>2</v>
      </c>
      <c r="I857" t="str">
        <f t="shared" ca="1" si="164"/>
        <v>No</v>
      </c>
      <c r="J857">
        <f t="shared" ca="1" si="165"/>
        <v>1</v>
      </c>
      <c r="K857" t="str">
        <f t="shared" ca="1" si="166"/>
        <v>Public</v>
      </c>
      <c r="L857" t="str">
        <f t="shared" ca="1" si="167"/>
        <v>General</v>
      </c>
    </row>
    <row r="858" spans="1:12" x14ac:dyDescent="0.25">
      <c r="A858">
        <f t="shared" si="156"/>
        <v>857</v>
      </c>
      <c r="B858">
        <f t="shared" ca="1" si="157"/>
        <v>59</v>
      </c>
      <c r="C858" t="str">
        <f t="shared" ca="1" si="158"/>
        <v>Female</v>
      </c>
      <c r="D858" s="1">
        <f t="shared" ca="1" si="159"/>
        <v>45632</v>
      </c>
      <c r="E858" s="1">
        <f t="shared" ca="1" si="160"/>
        <v>45641</v>
      </c>
      <c r="F858" t="str">
        <f t="shared" ca="1" si="161"/>
        <v>Pneumonia</v>
      </c>
      <c r="G858" t="str">
        <f t="shared" ca="1" si="162"/>
        <v>Medication</v>
      </c>
      <c r="H858">
        <f t="shared" ca="1" si="163"/>
        <v>9</v>
      </c>
      <c r="I858" t="str">
        <f t="shared" ca="1" si="164"/>
        <v>No</v>
      </c>
      <c r="J858">
        <f t="shared" ca="1" si="165"/>
        <v>0</v>
      </c>
      <c r="K858" t="str">
        <f t="shared" ca="1" si="166"/>
        <v>Public</v>
      </c>
      <c r="L858" t="str">
        <f t="shared" ca="1" si="167"/>
        <v>ER</v>
      </c>
    </row>
    <row r="859" spans="1:12" x14ac:dyDescent="0.25">
      <c r="A859">
        <f t="shared" si="156"/>
        <v>858</v>
      </c>
      <c r="B859">
        <f t="shared" ca="1" si="157"/>
        <v>20</v>
      </c>
      <c r="C859" t="str">
        <f t="shared" ca="1" si="158"/>
        <v>Female</v>
      </c>
      <c r="D859" s="1">
        <f t="shared" ca="1" si="159"/>
        <v>45311</v>
      </c>
      <c r="E859" s="1">
        <f t="shared" ca="1" si="160"/>
        <v>45316</v>
      </c>
      <c r="F859" t="str">
        <f t="shared" ca="1" si="161"/>
        <v>Pneumonia</v>
      </c>
      <c r="G859" t="str">
        <f t="shared" ca="1" si="162"/>
        <v>Medication</v>
      </c>
      <c r="H859">
        <f t="shared" ca="1" si="163"/>
        <v>5</v>
      </c>
      <c r="I859" t="str">
        <f t="shared" ca="1" si="164"/>
        <v>No</v>
      </c>
      <c r="J859">
        <f t="shared" ca="1" si="165"/>
        <v>0</v>
      </c>
      <c r="K859" t="str">
        <f t="shared" ca="1" si="166"/>
        <v>Public</v>
      </c>
      <c r="L859" t="str">
        <f t="shared" ca="1" si="167"/>
        <v>ICU</v>
      </c>
    </row>
    <row r="860" spans="1:12" x14ac:dyDescent="0.25">
      <c r="A860">
        <f t="shared" si="156"/>
        <v>859</v>
      </c>
      <c r="B860">
        <f t="shared" ca="1" si="157"/>
        <v>60</v>
      </c>
      <c r="C860" t="str">
        <f t="shared" ca="1" si="158"/>
        <v>Male</v>
      </c>
      <c r="D860" s="1">
        <f t="shared" ca="1" si="159"/>
        <v>45521</v>
      </c>
      <c r="E860" s="1">
        <f t="shared" ca="1" si="160"/>
        <v>45529</v>
      </c>
      <c r="F860" t="str">
        <f t="shared" ca="1" si="161"/>
        <v>Diabetes</v>
      </c>
      <c r="G860" t="str">
        <f t="shared" ca="1" si="162"/>
        <v>Surgery</v>
      </c>
      <c r="H860">
        <f t="shared" ca="1" si="163"/>
        <v>8</v>
      </c>
      <c r="I860" t="str">
        <f t="shared" ca="1" si="164"/>
        <v>No</v>
      </c>
      <c r="J860">
        <f t="shared" ca="1" si="165"/>
        <v>0</v>
      </c>
      <c r="K860" t="str">
        <f t="shared" ca="1" si="166"/>
        <v>Public</v>
      </c>
      <c r="L860" t="str">
        <f t="shared" ca="1" si="167"/>
        <v>ER</v>
      </c>
    </row>
    <row r="861" spans="1:12" x14ac:dyDescent="0.25">
      <c r="A861">
        <f t="shared" si="156"/>
        <v>860</v>
      </c>
      <c r="B861">
        <f t="shared" ca="1" si="157"/>
        <v>78</v>
      </c>
      <c r="C861" t="str">
        <f t="shared" ca="1" si="158"/>
        <v>Female</v>
      </c>
      <c r="D861" s="1">
        <f t="shared" ca="1" si="159"/>
        <v>45649</v>
      </c>
      <c r="E861" s="1">
        <f t="shared" ca="1" si="160"/>
        <v>45656</v>
      </c>
      <c r="F861" t="str">
        <f t="shared" ca="1" si="161"/>
        <v>Pneumonia</v>
      </c>
      <c r="G861" t="str">
        <f t="shared" ca="1" si="162"/>
        <v>Medication</v>
      </c>
      <c r="H861">
        <f t="shared" ca="1" si="163"/>
        <v>7</v>
      </c>
      <c r="I861" t="str">
        <f t="shared" ca="1" si="164"/>
        <v>No</v>
      </c>
      <c r="J861">
        <f t="shared" ca="1" si="165"/>
        <v>2</v>
      </c>
      <c r="K861" t="str">
        <f t="shared" ca="1" si="166"/>
        <v>Public</v>
      </c>
      <c r="L861" t="str">
        <f t="shared" ca="1" si="167"/>
        <v>ER</v>
      </c>
    </row>
    <row r="862" spans="1:12" x14ac:dyDescent="0.25">
      <c r="A862">
        <f t="shared" si="156"/>
        <v>861</v>
      </c>
      <c r="B862">
        <f t="shared" ca="1" si="157"/>
        <v>29</v>
      </c>
      <c r="C862" t="str">
        <f t="shared" ca="1" si="158"/>
        <v>Male</v>
      </c>
      <c r="D862" s="1">
        <f t="shared" ca="1" si="159"/>
        <v>45353</v>
      </c>
      <c r="E862" s="1">
        <f t="shared" ca="1" si="160"/>
        <v>45362</v>
      </c>
      <c r="F862" t="str">
        <f t="shared" ca="1" si="161"/>
        <v>Stroke</v>
      </c>
      <c r="G862" t="str">
        <f t="shared" ca="1" si="162"/>
        <v>Therapy</v>
      </c>
      <c r="H862">
        <f t="shared" ca="1" si="163"/>
        <v>9</v>
      </c>
      <c r="I862" t="str">
        <f t="shared" ca="1" si="164"/>
        <v>No</v>
      </c>
      <c r="J862">
        <f t="shared" ca="1" si="165"/>
        <v>4</v>
      </c>
      <c r="K862" t="str">
        <f t="shared" ca="1" si="166"/>
        <v>None</v>
      </c>
      <c r="L862" t="str">
        <f t="shared" ca="1" si="167"/>
        <v>ICU</v>
      </c>
    </row>
    <row r="863" spans="1:12" x14ac:dyDescent="0.25">
      <c r="A863">
        <f t="shared" si="156"/>
        <v>862</v>
      </c>
      <c r="B863">
        <f t="shared" ca="1" si="157"/>
        <v>51</v>
      </c>
      <c r="C863" t="str">
        <f t="shared" ca="1" si="158"/>
        <v>Female</v>
      </c>
      <c r="D863" s="1">
        <f t="shared" ca="1" si="159"/>
        <v>45327</v>
      </c>
      <c r="E863" s="1">
        <f t="shared" ca="1" si="160"/>
        <v>45328</v>
      </c>
      <c r="F863" t="str">
        <f t="shared" ca="1" si="161"/>
        <v>Diabetes</v>
      </c>
      <c r="G863" t="str">
        <f t="shared" ca="1" si="162"/>
        <v>Therapy</v>
      </c>
      <c r="H863">
        <f t="shared" ca="1" si="163"/>
        <v>1</v>
      </c>
      <c r="I863" t="str">
        <f t="shared" ca="1" si="164"/>
        <v>No</v>
      </c>
      <c r="J863">
        <f t="shared" ca="1" si="165"/>
        <v>3</v>
      </c>
      <c r="K863" t="str">
        <f t="shared" ca="1" si="166"/>
        <v>None</v>
      </c>
      <c r="L863" t="str">
        <f t="shared" ca="1" si="167"/>
        <v>ER</v>
      </c>
    </row>
    <row r="864" spans="1:12" x14ac:dyDescent="0.25">
      <c r="A864">
        <f t="shared" si="156"/>
        <v>863</v>
      </c>
      <c r="B864">
        <f t="shared" ca="1" si="157"/>
        <v>30</v>
      </c>
      <c r="C864" t="str">
        <f t="shared" ca="1" si="158"/>
        <v>Female</v>
      </c>
      <c r="D864" s="1">
        <f t="shared" ca="1" si="159"/>
        <v>45575</v>
      </c>
      <c r="E864" s="1">
        <f t="shared" ca="1" si="160"/>
        <v>45587</v>
      </c>
      <c r="F864" t="str">
        <f t="shared" ca="1" si="161"/>
        <v>Hypertension</v>
      </c>
      <c r="G864" t="str">
        <f t="shared" ca="1" si="162"/>
        <v>Surgery</v>
      </c>
      <c r="H864">
        <f t="shared" ca="1" si="163"/>
        <v>12</v>
      </c>
      <c r="I864" t="str">
        <f t="shared" ca="1" si="164"/>
        <v>Yes</v>
      </c>
      <c r="J864">
        <f t="shared" ca="1" si="165"/>
        <v>3</v>
      </c>
      <c r="K864" t="str">
        <f t="shared" ca="1" si="166"/>
        <v>Public</v>
      </c>
      <c r="L864" t="str">
        <f t="shared" ca="1" si="167"/>
        <v>Cardiology</v>
      </c>
    </row>
    <row r="865" spans="1:12" x14ac:dyDescent="0.25">
      <c r="A865">
        <f t="shared" si="156"/>
        <v>864</v>
      </c>
      <c r="B865">
        <f t="shared" ca="1" si="157"/>
        <v>50</v>
      </c>
      <c r="C865" t="str">
        <f t="shared" ca="1" si="158"/>
        <v>Male</v>
      </c>
      <c r="D865" s="1">
        <f t="shared" ca="1" si="159"/>
        <v>45381</v>
      </c>
      <c r="E865" s="1">
        <f t="shared" ca="1" si="160"/>
        <v>45394</v>
      </c>
      <c r="F865" t="str">
        <f t="shared" ca="1" si="161"/>
        <v>Heart Failure</v>
      </c>
      <c r="G865" t="str">
        <f t="shared" ca="1" si="162"/>
        <v>Medication</v>
      </c>
      <c r="H865">
        <f t="shared" ca="1" si="163"/>
        <v>13</v>
      </c>
      <c r="I865" t="str">
        <f t="shared" ca="1" si="164"/>
        <v>No</v>
      </c>
      <c r="J865">
        <f t="shared" ca="1" si="165"/>
        <v>3</v>
      </c>
      <c r="K865" t="str">
        <f t="shared" ca="1" si="166"/>
        <v>Public</v>
      </c>
      <c r="L865" t="str">
        <f t="shared" ca="1" si="167"/>
        <v>Neurology</v>
      </c>
    </row>
    <row r="866" spans="1:12" x14ac:dyDescent="0.25">
      <c r="A866">
        <f t="shared" si="156"/>
        <v>865</v>
      </c>
      <c r="B866">
        <f t="shared" ca="1" si="157"/>
        <v>37</v>
      </c>
      <c r="C866" t="str">
        <f t="shared" ca="1" si="158"/>
        <v>Male</v>
      </c>
      <c r="D866" s="1">
        <f t="shared" ca="1" si="159"/>
        <v>45608</v>
      </c>
      <c r="E866" s="1">
        <f t="shared" ca="1" si="160"/>
        <v>45614</v>
      </c>
      <c r="F866" t="str">
        <f t="shared" ca="1" si="161"/>
        <v>Hypertension</v>
      </c>
      <c r="G866" t="str">
        <f t="shared" ca="1" si="162"/>
        <v>Medication</v>
      </c>
      <c r="H866">
        <f t="shared" ca="1" si="163"/>
        <v>6</v>
      </c>
      <c r="I866" t="str">
        <f t="shared" ca="1" si="164"/>
        <v>No</v>
      </c>
      <c r="J866">
        <f t="shared" ca="1" si="165"/>
        <v>3</v>
      </c>
      <c r="K866" t="str">
        <f t="shared" ca="1" si="166"/>
        <v>Public</v>
      </c>
      <c r="L866" t="str">
        <f t="shared" ca="1" si="167"/>
        <v>ER</v>
      </c>
    </row>
    <row r="867" spans="1:12" x14ac:dyDescent="0.25">
      <c r="A867">
        <f t="shared" si="156"/>
        <v>866</v>
      </c>
      <c r="B867">
        <f t="shared" ca="1" si="157"/>
        <v>23</v>
      </c>
      <c r="C867" t="str">
        <f t="shared" ca="1" si="158"/>
        <v>Female</v>
      </c>
      <c r="D867" s="1">
        <f t="shared" ca="1" si="159"/>
        <v>45570</v>
      </c>
      <c r="E867" s="1">
        <f t="shared" ca="1" si="160"/>
        <v>45581</v>
      </c>
      <c r="F867" t="str">
        <f t="shared" ca="1" si="161"/>
        <v>Pneumonia</v>
      </c>
      <c r="G867" t="str">
        <f t="shared" ca="1" si="162"/>
        <v>Medication</v>
      </c>
      <c r="H867">
        <f t="shared" ca="1" si="163"/>
        <v>11</v>
      </c>
      <c r="I867" t="str">
        <f t="shared" ca="1" si="164"/>
        <v>Yes</v>
      </c>
      <c r="J867">
        <f t="shared" ca="1" si="165"/>
        <v>1</v>
      </c>
      <c r="K867" t="str">
        <f t="shared" ca="1" si="166"/>
        <v>Public</v>
      </c>
      <c r="L867" t="str">
        <f t="shared" ca="1" si="167"/>
        <v>Cardiology</v>
      </c>
    </row>
    <row r="868" spans="1:12" x14ac:dyDescent="0.25">
      <c r="A868">
        <f t="shared" si="156"/>
        <v>867</v>
      </c>
      <c r="B868">
        <f t="shared" ca="1" si="157"/>
        <v>74</v>
      </c>
      <c r="C868" t="str">
        <f t="shared" ca="1" si="158"/>
        <v>Male</v>
      </c>
      <c r="D868" s="1">
        <f t="shared" ca="1" si="159"/>
        <v>45541</v>
      </c>
      <c r="E868" s="1">
        <f t="shared" ca="1" si="160"/>
        <v>45550</v>
      </c>
      <c r="F868" t="str">
        <f t="shared" ca="1" si="161"/>
        <v>Pneumonia</v>
      </c>
      <c r="G868" t="str">
        <f t="shared" ca="1" si="162"/>
        <v>Medication</v>
      </c>
      <c r="H868">
        <f t="shared" ca="1" si="163"/>
        <v>9</v>
      </c>
      <c r="I868" t="str">
        <f t="shared" ca="1" si="164"/>
        <v>Yes</v>
      </c>
      <c r="J868">
        <f t="shared" ca="1" si="165"/>
        <v>2</v>
      </c>
      <c r="K868" t="str">
        <f t="shared" ca="1" si="166"/>
        <v>Public</v>
      </c>
      <c r="L868" t="str">
        <f t="shared" ca="1" si="167"/>
        <v>ICU</v>
      </c>
    </row>
    <row r="869" spans="1:12" x14ac:dyDescent="0.25">
      <c r="A869">
        <f t="shared" si="156"/>
        <v>868</v>
      </c>
      <c r="B869">
        <f t="shared" ca="1" si="157"/>
        <v>21</v>
      </c>
      <c r="C869" t="str">
        <f t="shared" ca="1" si="158"/>
        <v>Female</v>
      </c>
      <c r="D869" s="1">
        <f t="shared" ca="1" si="159"/>
        <v>45614</v>
      </c>
      <c r="E869" s="1">
        <f t="shared" ca="1" si="160"/>
        <v>45615</v>
      </c>
      <c r="F869" t="str">
        <f t="shared" ca="1" si="161"/>
        <v>Diabetes</v>
      </c>
      <c r="G869" t="str">
        <f t="shared" ca="1" si="162"/>
        <v>Surgery</v>
      </c>
      <c r="H869">
        <f t="shared" ca="1" si="163"/>
        <v>1</v>
      </c>
      <c r="I869" t="str">
        <f t="shared" ca="1" si="164"/>
        <v>No</v>
      </c>
      <c r="J869">
        <f t="shared" ca="1" si="165"/>
        <v>2</v>
      </c>
      <c r="K869" t="str">
        <f t="shared" ca="1" si="166"/>
        <v>Private</v>
      </c>
      <c r="L869" t="str">
        <f t="shared" ca="1" si="167"/>
        <v>Cardiology</v>
      </c>
    </row>
    <row r="870" spans="1:12" x14ac:dyDescent="0.25">
      <c r="A870">
        <f t="shared" si="156"/>
        <v>869</v>
      </c>
      <c r="B870">
        <f t="shared" ca="1" si="157"/>
        <v>66</v>
      </c>
      <c r="C870" t="str">
        <f t="shared" ca="1" si="158"/>
        <v>Male</v>
      </c>
      <c r="D870" s="1">
        <f t="shared" ca="1" si="159"/>
        <v>45460</v>
      </c>
      <c r="E870" s="1">
        <f t="shared" ca="1" si="160"/>
        <v>45465</v>
      </c>
      <c r="F870" t="str">
        <f t="shared" ca="1" si="161"/>
        <v>Stroke</v>
      </c>
      <c r="G870" t="str">
        <f t="shared" ca="1" si="162"/>
        <v>Medication</v>
      </c>
      <c r="H870">
        <f t="shared" ca="1" si="163"/>
        <v>5</v>
      </c>
      <c r="I870" t="str">
        <f t="shared" ca="1" si="164"/>
        <v>No</v>
      </c>
      <c r="J870">
        <f t="shared" ca="1" si="165"/>
        <v>3</v>
      </c>
      <c r="K870" t="str">
        <f t="shared" ca="1" si="166"/>
        <v>Public</v>
      </c>
      <c r="L870" t="str">
        <f t="shared" ca="1" si="167"/>
        <v>General</v>
      </c>
    </row>
    <row r="871" spans="1:12" x14ac:dyDescent="0.25">
      <c r="A871">
        <f t="shared" si="156"/>
        <v>870</v>
      </c>
      <c r="B871">
        <f t="shared" ca="1" si="157"/>
        <v>43</v>
      </c>
      <c r="C871" t="str">
        <f t="shared" ca="1" si="158"/>
        <v>Male</v>
      </c>
      <c r="D871" s="1">
        <f t="shared" ca="1" si="159"/>
        <v>45425</v>
      </c>
      <c r="E871" s="1">
        <f t="shared" ca="1" si="160"/>
        <v>45432</v>
      </c>
      <c r="F871" t="str">
        <f t="shared" ca="1" si="161"/>
        <v>Pneumonia</v>
      </c>
      <c r="G871" t="str">
        <f t="shared" ca="1" si="162"/>
        <v>Therapy</v>
      </c>
      <c r="H871">
        <f t="shared" ca="1" si="163"/>
        <v>7</v>
      </c>
      <c r="I871" t="str">
        <f t="shared" ca="1" si="164"/>
        <v>No</v>
      </c>
      <c r="J871">
        <f t="shared" ca="1" si="165"/>
        <v>2</v>
      </c>
      <c r="K871" t="str">
        <f t="shared" ca="1" si="166"/>
        <v>None</v>
      </c>
      <c r="L871" t="str">
        <f t="shared" ca="1" si="167"/>
        <v>General</v>
      </c>
    </row>
    <row r="872" spans="1:12" x14ac:dyDescent="0.25">
      <c r="A872">
        <f t="shared" si="156"/>
        <v>871</v>
      </c>
      <c r="B872">
        <f t="shared" ca="1" si="157"/>
        <v>21</v>
      </c>
      <c r="C872" t="str">
        <f t="shared" ca="1" si="158"/>
        <v>Male</v>
      </c>
      <c r="D872" s="1">
        <f t="shared" ca="1" si="159"/>
        <v>45327</v>
      </c>
      <c r="E872" s="1">
        <f t="shared" ca="1" si="160"/>
        <v>45339</v>
      </c>
      <c r="F872" t="str">
        <f t="shared" ca="1" si="161"/>
        <v>Pneumonia</v>
      </c>
      <c r="G872" t="str">
        <f t="shared" ca="1" si="162"/>
        <v>Surgery</v>
      </c>
      <c r="H872">
        <f t="shared" ca="1" si="163"/>
        <v>12</v>
      </c>
      <c r="I872" t="str">
        <f t="shared" ca="1" si="164"/>
        <v>No</v>
      </c>
      <c r="J872">
        <f t="shared" ca="1" si="165"/>
        <v>4</v>
      </c>
      <c r="K872" t="str">
        <f t="shared" ca="1" si="166"/>
        <v>Public</v>
      </c>
      <c r="L872" t="str">
        <f t="shared" ca="1" si="167"/>
        <v>ER</v>
      </c>
    </row>
    <row r="873" spans="1:12" x14ac:dyDescent="0.25">
      <c r="A873">
        <f t="shared" si="156"/>
        <v>872</v>
      </c>
      <c r="B873">
        <f t="shared" ca="1" si="157"/>
        <v>55</v>
      </c>
      <c r="C873" t="str">
        <f t="shared" ca="1" si="158"/>
        <v>Female</v>
      </c>
      <c r="D873" s="1">
        <f t="shared" ca="1" si="159"/>
        <v>45430</v>
      </c>
      <c r="E873" s="1">
        <f t="shared" ca="1" si="160"/>
        <v>45431</v>
      </c>
      <c r="F873" t="str">
        <f t="shared" ca="1" si="161"/>
        <v>Hypertension</v>
      </c>
      <c r="G873" t="str">
        <f t="shared" ca="1" si="162"/>
        <v>Therapy</v>
      </c>
      <c r="H873">
        <f t="shared" ca="1" si="163"/>
        <v>1</v>
      </c>
      <c r="I873" t="str">
        <f t="shared" ca="1" si="164"/>
        <v>Yes</v>
      </c>
      <c r="J873">
        <f t="shared" ca="1" si="165"/>
        <v>1</v>
      </c>
      <c r="K873" t="str">
        <f t="shared" ca="1" si="166"/>
        <v>Public</v>
      </c>
      <c r="L873" t="str">
        <f t="shared" ca="1" si="167"/>
        <v>ICU</v>
      </c>
    </row>
    <row r="874" spans="1:12" x14ac:dyDescent="0.25">
      <c r="A874">
        <f t="shared" si="156"/>
        <v>873</v>
      </c>
      <c r="B874">
        <f t="shared" ca="1" si="157"/>
        <v>90</v>
      </c>
      <c r="C874" t="str">
        <f t="shared" ca="1" si="158"/>
        <v>Female</v>
      </c>
      <c r="D874" s="1">
        <f t="shared" ca="1" si="159"/>
        <v>45645</v>
      </c>
      <c r="E874" s="1">
        <f t="shared" ca="1" si="160"/>
        <v>45657</v>
      </c>
      <c r="F874" t="str">
        <f t="shared" ca="1" si="161"/>
        <v>Diabetes</v>
      </c>
      <c r="G874" t="str">
        <f t="shared" ca="1" si="162"/>
        <v>Medication</v>
      </c>
      <c r="H874">
        <f t="shared" ca="1" si="163"/>
        <v>12</v>
      </c>
      <c r="I874" t="str">
        <f t="shared" ca="1" si="164"/>
        <v>No</v>
      </c>
      <c r="J874">
        <f t="shared" ca="1" si="165"/>
        <v>4</v>
      </c>
      <c r="K874" t="str">
        <f t="shared" ca="1" si="166"/>
        <v>Private</v>
      </c>
      <c r="L874" t="str">
        <f t="shared" ca="1" si="167"/>
        <v>ER</v>
      </c>
    </row>
    <row r="875" spans="1:12" x14ac:dyDescent="0.25">
      <c r="A875">
        <f t="shared" si="156"/>
        <v>874</v>
      </c>
      <c r="B875">
        <f t="shared" ca="1" si="157"/>
        <v>62</v>
      </c>
      <c r="C875" t="str">
        <f t="shared" ca="1" si="158"/>
        <v>Female</v>
      </c>
      <c r="D875" s="1">
        <f t="shared" ca="1" si="159"/>
        <v>45351</v>
      </c>
      <c r="E875" s="1">
        <f t="shared" ca="1" si="160"/>
        <v>45363</v>
      </c>
      <c r="F875" t="str">
        <f t="shared" ca="1" si="161"/>
        <v>Heart Failure</v>
      </c>
      <c r="G875" t="str">
        <f t="shared" ca="1" si="162"/>
        <v>Therapy</v>
      </c>
      <c r="H875">
        <f t="shared" ca="1" si="163"/>
        <v>12</v>
      </c>
      <c r="I875" t="str">
        <f t="shared" ca="1" si="164"/>
        <v>No</v>
      </c>
      <c r="J875">
        <f t="shared" ca="1" si="165"/>
        <v>1</v>
      </c>
      <c r="K875" t="str">
        <f t="shared" ca="1" si="166"/>
        <v>None</v>
      </c>
      <c r="L875" t="str">
        <f t="shared" ca="1" si="167"/>
        <v>ER</v>
      </c>
    </row>
    <row r="876" spans="1:12" x14ac:dyDescent="0.25">
      <c r="A876">
        <f t="shared" si="156"/>
        <v>875</v>
      </c>
      <c r="B876">
        <f t="shared" ca="1" si="157"/>
        <v>52</v>
      </c>
      <c r="C876" t="str">
        <f t="shared" ca="1" si="158"/>
        <v>Female</v>
      </c>
      <c r="D876" s="1">
        <f t="shared" ca="1" si="159"/>
        <v>45456</v>
      </c>
      <c r="E876" s="1">
        <f t="shared" ca="1" si="160"/>
        <v>45459</v>
      </c>
      <c r="F876" t="str">
        <f t="shared" ca="1" si="161"/>
        <v>Hypertension</v>
      </c>
      <c r="G876" t="str">
        <f t="shared" ca="1" si="162"/>
        <v>Therapy</v>
      </c>
      <c r="H876">
        <f t="shared" ca="1" si="163"/>
        <v>3</v>
      </c>
      <c r="I876" t="str">
        <f t="shared" ca="1" si="164"/>
        <v>Yes</v>
      </c>
      <c r="J876">
        <f t="shared" ca="1" si="165"/>
        <v>3</v>
      </c>
      <c r="K876" t="str">
        <f t="shared" ca="1" si="166"/>
        <v>Public</v>
      </c>
      <c r="L876" t="str">
        <f t="shared" ca="1" si="167"/>
        <v>General</v>
      </c>
    </row>
    <row r="877" spans="1:12" x14ac:dyDescent="0.25">
      <c r="A877">
        <f t="shared" si="156"/>
        <v>876</v>
      </c>
      <c r="B877">
        <f t="shared" ca="1" si="157"/>
        <v>49</v>
      </c>
      <c r="C877" t="str">
        <f t="shared" ca="1" si="158"/>
        <v>Male</v>
      </c>
      <c r="D877" s="1">
        <f t="shared" ca="1" si="159"/>
        <v>45473</v>
      </c>
      <c r="E877" s="1">
        <f t="shared" ca="1" si="160"/>
        <v>45484</v>
      </c>
      <c r="F877" t="str">
        <f t="shared" ca="1" si="161"/>
        <v>Hypertension</v>
      </c>
      <c r="G877" t="str">
        <f t="shared" ca="1" si="162"/>
        <v>Medication</v>
      </c>
      <c r="H877">
        <f t="shared" ca="1" si="163"/>
        <v>11</v>
      </c>
      <c r="I877" t="str">
        <f t="shared" ca="1" si="164"/>
        <v>No</v>
      </c>
      <c r="J877">
        <f t="shared" ca="1" si="165"/>
        <v>0</v>
      </c>
      <c r="K877" t="str">
        <f t="shared" ca="1" si="166"/>
        <v>Private</v>
      </c>
      <c r="L877" t="str">
        <f t="shared" ca="1" si="167"/>
        <v>ICU</v>
      </c>
    </row>
    <row r="878" spans="1:12" x14ac:dyDescent="0.25">
      <c r="A878">
        <f t="shared" si="156"/>
        <v>877</v>
      </c>
      <c r="B878">
        <f t="shared" ca="1" si="157"/>
        <v>38</v>
      </c>
      <c r="C878" t="str">
        <f t="shared" ca="1" si="158"/>
        <v>Male</v>
      </c>
      <c r="D878" s="1">
        <f t="shared" ca="1" si="159"/>
        <v>45422</v>
      </c>
      <c r="E878" s="1">
        <f t="shared" ca="1" si="160"/>
        <v>45429</v>
      </c>
      <c r="F878" t="str">
        <f t="shared" ca="1" si="161"/>
        <v>Heart Failure</v>
      </c>
      <c r="G878" t="str">
        <f t="shared" ca="1" si="162"/>
        <v>Surgery</v>
      </c>
      <c r="H878">
        <f t="shared" ca="1" si="163"/>
        <v>7</v>
      </c>
      <c r="I878" t="str">
        <f t="shared" ca="1" si="164"/>
        <v>No</v>
      </c>
      <c r="J878">
        <f t="shared" ca="1" si="165"/>
        <v>3</v>
      </c>
      <c r="K878" t="str">
        <f t="shared" ca="1" si="166"/>
        <v>Public</v>
      </c>
      <c r="L878" t="str">
        <f t="shared" ca="1" si="167"/>
        <v>Neurology</v>
      </c>
    </row>
    <row r="879" spans="1:12" x14ac:dyDescent="0.25">
      <c r="A879">
        <f t="shared" si="156"/>
        <v>878</v>
      </c>
      <c r="B879">
        <f t="shared" ca="1" si="157"/>
        <v>41</v>
      </c>
      <c r="C879" t="str">
        <f t="shared" ca="1" si="158"/>
        <v>Male</v>
      </c>
      <c r="D879" s="1">
        <f t="shared" ca="1" si="159"/>
        <v>45540</v>
      </c>
      <c r="E879" s="1">
        <f t="shared" ca="1" si="160"/>
        <v>45547</v>
      </c>
      <c r="F879" t="str">
        <f t="shared" ca="1" si="161"/>
        <v>Hypertension</v>
      </c>
      <c r="G879" t="str">
        <f t="shared" ca="1" si="162"/>
        <v>Therapy</v>
      </c>
      <c r="H879">
        <f t="shared" ca="1" si="163"/>
        <v>7</v>
      </c>
      <c r="I879" t="str">
        <f t="shared" ca="1" si="164"/>
        <v>No</v>
      </c>
      <c r="J879">
        <f t="shared" ca="1" si="165"/>
        <v>4</v>
      </c>
      <c r="K879" t="str">
        <f t="shared" ca="1" si="166"/>
        <v>Private</v>
      </c>
      <c r="L879" t="str">
        <f t="shared" ca="1" si="167"/>
        <v>Cardiology</v>
      </c>
    </row>
    <row r="880" spans="1:12" x14ac:dyDescent="0.25">
      <c r="A880">
        <f t="shared" si="156"/>
        <v>879</v>
      </c>
      <c r="B880">
        <f t="shared" ca="1" si="157"/>
        <v>73</v>
      </c>
      <c r="C880" t="str">
        <f t="shared" ca="1" si="158"/>
        <v>Female</v>
      </c>
      <c r="D880" s="1">
        <f t="shared" ca="1" si="159"/>
        <v>45530</v>
      </c>
      <c r="E880" s="1">
        <f t="shared" ca="1" si="160"/>
        <v>45543</v>
      </c>
      <c r="F880" t="str">
        <f t="shared" ca="1" si="161"/>
        <v>Stroke</v>
      </c>
      <c r="G880" t="str">
        <f t="shared" ca="1" si="162"/>
        <v>Surgery</v>
      </c>
      <c r="H880">
        <f t="shared" ca="1" si="163"/>
        <v>13</v>
      </c>
      <c r="I880" t="str">
        <f t="shared" ca="1" si="164"/>
        <v>No</v>
      </c>
      <c r="J880">
        <f t="shared" ca="1" si="165"/>
        <v>0</v>
      </c>
      <c r="K880" t="str">
        <f t="shared" ca="1" si="166"/>
        <v>None</v>
      </c>
      <c r="L880" t="str">
        <f t="shared" ca="1" si="167"/>
        <v>ICU</v>
      </c>
    </row>
    <row r="881" spans="1:12" x14ac:dyDescent="0.25">
      <c r="A881">
        <f t="shared" si="156"/>
        <v>880</v>
      </c>
      <c r="B881">
        <f t="shared" ca="1" si="157"/>
        <v>76</v>
      </c>
      <c r="C881" t="str">
        <f t="shared" ca="1" si="158"/>
        <v>Male</v>
      </c>
      <c r="D881" s="1">
        <f t="shared" ca="1" si="159"/>
        <v>45591</v>
      </c>
      <c r="E881" s="1">
        <f t="shared" ca="1" si="160"/>
        <v>45598</v>
      </c>
      <c r="F881" t="str">
        <f t="shared" ca="1" si="161"/>
        <v>Diabetes</v>
      </c>
      <c r="G881" t="str">
        <f t="shared" ca="1" si="162"/>
        <v>Medication</v>
      </c>
      <c r="H881">
        <f t="shared" ca="1" si="163"/>
        <v>7</v>
      </c>
      <c r="I881" t="str">
        <f t="shared" ca="1" si="164"/>
        <v>Yes</v>
      </c>
      <c r="J881">
        <f t="shared" ca="1" si="165"/>
        <v>1</v>
      </c>
      <c r="K881" t="str">
        <f t="shared" ca="1" si="166"/>
        <v>None</v>
      </c>
      <c r="L881" t="str">
        <f t="shared" ca="1" si="167"/>
        <v>General</v>
      </c>
    </row>
    <row r="882" spans="1:12" x14ac:dyDescent="0.25">
      <c r="A882">
        <f t="shared" si="156"/>
        <v>881</v>
      </c>
      <c r="B882">
        <f t="shared" ca="1" si="157"/>
        <v>40</v>
      </c>
      <c r="C882" t="str">
        <f t="shared" ca="1" si="158"/>
        <v>Male</v>
      </c>
      <c r="D882" s="1">
        <f t="shared" ca="1" si="159"/>
        <v>45405</v>
      </c>
      <c r="E882" s="1">
        <f t="shared" ca="1" si="160"/>
        <v>45412</v>
      </c>
      <c r="F882" t="str">
        <f t="shared" ca="1" si="161"/>
        <v>Diabetes</v>
      </c>
      <c r="G882" t="str">
        <f t="shared" ca="1" si="162"/>
        <v>Surgery</v>
      </c>
      <c r="H882">
        <f t="shared" ca="1" si="163"/>
        <v>7</v>
      </c>
      <c r="I882" t="str">
        <f t="shared" ca="1" si="164"/>
        <v>No</v>
      </c>
      <c r="J882">
        <f t="shared" ca="1" si="165"/>
        <v>2</v>
      </c>
      <c r="K882" t="str">
        <f t="shared" ca="1" si="166"/>
        <v>None</v>
      </c>
      <c r="L882" t="str">
        <f t="shared" ca="1" si="167"/>
        <v>ICU</v>
      </c>
    </row>
    <row r="883" spans="1:12" x14ac:dyDescent="0.25">
      <c r="A883">
        <f t="shared" si="156"/>
        <v>882</v>
      </c>
      <c r="B883">
        <f t="shared" ca="1" si="157"/>
        <v>35</v>
      </c>
      <c r="C883" t="str">
        <f t="shared" ca="1" si="158"/>
        <v>Female</v>
      </c>
      <c r="D883" s="1">
        <f t="shared" ca="1" si="159"/>
        <v>45404</v>
      </c>
      <c r="E883" s="1">
        <f t="shared" ca="1" si="160"/>
        <v>45406</v>
      </c>
      <c r="F883" t="str">
        <f t="shared" ca="1" si="161"/>
        <v>Hypertension</v>
      </c>
      <c r="G883" t="str">
        <f t="shared" ca="1" si="162"/>
        <v>Therapy</v>
      </c>
      <c r="H883">
        <f t="shared" ca="1" si="163"/>
        <v>2</v>
      </c>
      <c r="I883" t="str">
        <f t="shared" ca="1" si="164"/>
        <v>No</v>
      </c>
      <c r="J883">
        <f t="shared" ca="1" si="165"/>
        <v>3</v>
      </c>
      <c r="K883" t="str">
        <f t="shared" ca="1" si="166"/>
        <v>Public</v>
      </c>
      <c r="L883" t="str">
        <f t="shared" ca="1" si="167"/>
        <v>ICU</v>
      </c>
    </row>
    <row r="884" spans="1:12" x14ac:dyDescent="0.25">
      <c r="A884">
        <f t="shared" si="156"/>
        <v>883</v>
      </c>
      <c r="B884">
        <f t="shared" ca="1" si="157"/>
        <v>48</v>
      </c>
      <c r="C884" t="str">
        <f t="shared" ca="1" si="158"/>
        <v>Male</v>
      </c>
      <c r="D884" s="1">
        <f t="shared" ca="1" si="159"/>
        <v>45597</v>
      </c>
      <c r="E884" s="1">
        <f t="shared" ca="1" si="160"/>
        <v>45606</v>
      </c>
      <c r="F884" t="str">
        <f t="shared" ca="1" si="161"/>
        <v>Heart Failure</v>
      </c>
      <c r="G884" t="str">
        <f t="shared" ca="1" si="162"/>
        <v>Medication</v>
      </c>
      <c r="H884">
        <f t="shared" ca="1" si="163"/>
        <v>9</v>
      </c>
      <c r="I884" t="str">
        <f t="shared" ca="1" si="164"/>
        <v>No</v>
      </c>
      <c r="J884">
        <f t="shared" ca="1" si="165"/>
        <v>3</v>
      </c>
      <c r="K884" t="str">
        <f t="shared" ca="1" si="166"/>
        <v>None</v>
      </c>
      <c r="L884" t="str">
        <f t="shared" ca="1" si="167"/>
        <v>Neurology</v>
      </c>
    </row>
    <row r="885" spans="1:12" x14ac:dyDescent="0.25">
      <c r="A885">
        <f t="shared" si="156"/>
        <v>884</v>
      </c>
      <c r="B885">
        <f t="shared" ca="1" si="157"/>
        <v>49</v>
      </c>
      <c r="C885" t="str">
        <f t="shared" ca="1" si="158"/>
        <v>Female</v>
      </c>
      <c r="D885" s="1">
        <f t="shared" ca="1" si="159"/>
        <v>45326</v>
      </c>
      <c r="E885" s="1">
        <f t="shared" ca="1" si="160"/>
        <v>45329</v>
      </c>
      <c r="F885" t="str">
        <f t="shared" ca="1" si="161"/>
        <v>Hypertension</v>
      </c>
      <c r="G885" t="str">
        <f t="shared" ca="1" si="162"/>
        <v>Medication</v>
      </c>
      <c r="H885">
        <f t="shared" ca="1" si="163"/>
        <v>3</v>
      </c>
      <c r="I885" t="str">
        <f t="shared" ca="1" si="164"/>
        <v>No</v>
      </c>
      <c r="J885">
        <f t="shared" ca="1" si="165"/>
        <v>0</v>
      </c>
      <c r="K885" t="str">
        <f t="shared" ca="1" si="166"/>
        <v>Public</v>
      </c>
      <c r="L885" t="str">
        <f t="shared" ca="1" si="167"/>
        <v>ER</v>
      </c>
    </row>
    <row r="886" spans="1:12" x14ac:dyDescent="0.25">
      <c r="A886">
        <f t="shared" si="156"/>
        <v>885</v>
      </c>
      <c r="B886">
        <f t="shared" ca="1" si="157"/>
        <v>80</v>
      </c>
      <c r="C886" t="str">
        <f t="shared" ca="1" si="158"/>
        <v>Female</v>
      </c>
      <c r="D886" s="1">
        <f t="shared" ca="1" si="159"/>
        <v>45577</v>
      </c>
      <c r="E886" s="1">
        <f t="shared" ca="1" si="160"/>
        <v>45583</v>
      </c>
      <c r="F886" t="str">
        <f t="shared" ca="1" si="161"/>
        <v>Pneumonia</v>
      </c>
      <c r="G886" t="str">
        <f t="shared" ca="1" si="162"/>
        <v>Surgery</v>
      </c>
      <c r="H886">
        <f t="shared" ca="1" si="163"/>
        <v>6</v>
      </c>
      <c r="I886" t="str">
        <f t="shared" ca="1" si="164"/>
        <v>Yes</v>
      </c>
      <c r="J886">
        <f t="shared" ca="1" si="165"/>
        <v>2</v>
      </c>
      <c r="K886" t="str">
        <f t="shared" ca="1" si="166"/>
        <v>Private</v>
      </c>
      <c r="L886" t="str">
        <f t="shared" ca="1" si="167"/>
        <v>ER</v>
      </c>
    </row>
    <row r="887" spans="1:12" x14ac:dyDescent="0.25">
      <c r="A887">
        <f t="shared" si="156"/>
        <v>886</v>
      </c>
      <c r="B887">
        <f t="shared" ca="1" si="157"/>
        <v>29</v>
      </c>
      <c r="C887" t="str">
        <f t="shared" ca="1" si="158"/>
        <v>Female</v>
      </c>
      <c r="D887" s="1">
        <f t="shared" ca="1" si="159"/>
        <v>45394</v>
      </c>
      <c r="E887" s="1">
        <f t="shared" ca="1" si="160"/>
        <v>45405</v>
      </c>
      <c r="F887" t="str">
        <f t="shared" ca="1" si="161"/>
        <v>Pneumonia</v>
      </c>
      <c r="G887" t="str">
        <f t="shared" ca="1" si="162"/>
        <v>Therapy</v>
      </c>
      <c r="H887">
        <f t="shared" ca="1" si="163"/>
        <v>11</v>
      </c>
      <c r="I887" t="str">
        <f t="shared" ca="1" si="164"/>
        <v>Yes</v>
      </c>
      <c r="J887">
        <f t="shared" ca="1" si="165"/>
        <v>4</v>
      </c>
      <c r="K887" t="str">
        <f t="shared" ca="1" si="166"/>
        <v>Private</v>
      </c>
      <c r="L887" t="str">
        <f t="shared" ca="1" si="167"/>
        <v>ICU</v>
      </c>
    </row>
    <row r="888" spans="1:12" x14ac:dyDescent="0.25">
      <c r="A888">
        <f t="shared" si="156"/>
        <v>887</v>
      </c>
      <c r="B888">
        <f t="shared" ca="1" si="157"/>
        <v>81</v>
      </c>
      <c r="C888" t="str">
        <f t="shared" ca="1" si="158"/>
        <v>Female</v>
      </c>
      <c r="D888" s="1">
        <f t="shared" ca="1" si="159"/>
        <v>45381</v>
      </c>
      <c r="E888" s="1">
        <f t="shared" ca="1" si="160"/>
        <v>45389</v>
      </c>
      <c r="F888" t="str">
        <f t="shared" ca="1" si="161"/>
        <v>Hypertension</v>
      </c>
      <c r="G888" t="str">
        <f t="shared" ca="1" si="162"/>
        <v>Therapy</v>
      </c>
      <c r="H888">
        <f t="shared" ca="1" si="163"/>
        <v>8</v>
      </c>
      <c r="I888" t="str">
        <f t="shared" ca="1" si="164"/>
        <v>Yes</v>
      </c>
      <c r="J888">
        <f t="shared" ca="1" si="165"/>
        <v>2</v>
      </c>
      <c r="K888" t="str">
        <f t="shared" ca="1" si="166"/>
        <v>Private</v>
      </c>
      <c r="L888" t="str">
        <f t="shared" ca="1" si="167"/>
        <v>General</v>
      </c>
    </row>
    <row r="889" spans="1:12" x14ac:dyDescent="0.25">
      <c r="A889">
        <f t="shared" si="156"/>
        <v>888</v>
      </c>
      <c r="B889">
        <f t="shared" ca="1" si="157"/>
        <v>85</v>
      </c>
      <c r="C889" t="str">
        <f t="shared" ca="1" si="158"/>
        <v>Female</v>
      </c>
      <c r="D889" s="1">
        <f t="shared" ca="1" si="159"/>
        <v>45615</v>
      </c>
      <c r="E889" s="1">
        <f t="shared" ca="1" si="160"/>
        <v>45621</v>
      </c>
      <c r="F889" t="str">
        <f t="shared" ca="1" si="161"/>
        <v>Hypertension</v>
      </c>
      <c r="G889" t="str">
        <f t="shared" ca="1" si="162"/>
        <v>Therapy</v>
      </c>
      <c r="H889">
        <f t="shared" ca="1" si="163"/>
        <v>6</v>
      </c>
      <c r="I889" t="str">
        <f t="shared" ca="1" si="164"/>
        <v>No</v>
      </c>
      <c r="J889">
        <f t="shared" ca="1" si="165"/>
        <v>1</v>
      </c>
      <c r="K889" t="str">
        <f t="shared" ca="1" si="166"/>
        <v>Public</v>
      </c>
      <c r="L889" t="str">
        <f t="shared" ca="1" si="167"/>
        <v>Cardiology</v>
      </c>
    </row>
    <row r="890" spans="1:12" x14ac:dyDescent="0.25">
      <c r="A890">
        <f t="shared" si="156"/>
        <v>889</v>
      </c>
      <c r="B890">
        <f t="shared" ca="1" si="157"/>
        <v>68</v>
      </c>
      <c r="C890" t="str">
        <f t="shared" ca="1" si="158"/>
        <v>Male</v>
      </c>
      <c r="D890" s="1">
        <f t="shared" ca="1" si="159"/>
        <v>45443</v>
      </c>
      <c r="E890" s="1">
        <f t="shared" ca="1" si="160"/>
        <v>45453</v>
      </c>
      <c r="F890" t="str">
        <f t="shared" ca="1" si="161"/>
        <v>Stroke</v>
      </c>
      <c r="G890" t="str">
        <f t="shared" ca="1" si="162"/>
        <v>Medication</v>
      </c>
      <c r="H890">
        <f t="shared" ca="1" si="163"/>
        <v>10</v>
      </c>
      <c r="I890" t="str">
        <f t="shared" ca="1" si="164"/>
        <v>No</v>
      </c>
      <c r="J890">
        <f t="shared" ca="1" si="165"/>
        <v>2</v>
      </c>
      <c r="K890" t="str">
        <f t="shared" ca="1" si="166"/>
        <v>Private</v>
      </c>
      <c r="L890" t="str">
        <f t="shared" ca="1" si="167"/>
        <v>General</v>
      </c>
    </row>
    <row r="891" spans="1:12" x14ac:dyDescent="0.25">
      <c r="A891">
        <f t="shared" si="156"/>
        <v>890</v>
      </c>
      <c r="B891">
        <f t="shared" ca="1" si="157"/>
        <v>56</v>
      </c>
      <c r="C891" t="str">
        <f t="shared" ca="1" si="158"/>
        <v>Male</v>
      </c>
      <c r="D891" s="1">
        <f t="shared" ca="1" si="159"/>
        <v>45309</v>
      </c>
      <c r="E891" s="1">
        <f t="shared" ca="1" si="160"/>
        <v>45322</v>
      </c>
      <c r="F891" t="str">
        <f t="shared" ca="1" si="161"/>
        <v>Heart Failure</v>
      </c>
      <c r="G891" t="str">
        <f t="shared" ca="1" si="162"/>
        <v>Surgery</v>
      </c>
      <c r="H891">
        <f t="shared" ca="1" si="163"/>
        <v>13</v>
      </c>
      <c r="I891" t="str">
        <f t="shared" ca="1" si="164"/>
        <v>No</v>
      </c>
      <c r="J891">
        <f t="shared" ca="1" si="165"/>
        <v>2</v>
      </c>
      <c r="K891" t="str">
        <f t="shared" ca="1" si="166"/>
        <v>None</v>
      </c>
      <c r="L891" t="str">
        <f t="shared" ca="1" si="167"/>
        <v>ER</v>
      </c>
    </row>
    <row r="892" spans="1:12" x14ac:dyDescent="0.25">
      <c r="A892">
        <f t="shared" si="156"/>
        <v>891</v>
      </c>
      <c r="B892">
        <f t="shared" ca="1" si="157"/>
        <v>55</v>
      </c>
      <c r="C892" t="str">
        <f t="shared" ca="1" si="158"/>
        <v>Male</v>
      </c>
      <c r="D892" s="1">
        <f t="shared" ca="1" si="159"/>
        <v>45489</v>
      </c>
      <c r="E892" s="1">
        <f t="shared" ca="1" si="160"/>
        <v>45497</v>
      </c>
      <c r="F892" t="str">
        <f t="shared" ca="1" si="161"/>
        <v>Diabetes</v>
      </c>
      <c r="G892" t="str">
        <f t="shared" ca="1" si="162"/>
        <v>Therapy</v>
      </c>
      <c r="H892">
        <f t="shared" ca="1" si="163"/>
        <v>8</v>
      </c>
      <c r="I892" t="str">
        <f t="shared" ca="1" si="164"/>
        <v>No</v>
      </c>
      <c r="J892">
        <f t="shared" ca="1" si="165"/>
        <v>2</v>
      </c>
      <c r="K892" t="str">
        <f t="shared" ca="1" si="166"/>
        <v>Public</v>
      </c>
      <c r="L892" t="str">
        <f t="shared" ca="1" si="167"/>
        <v>ICU</v>
      </c>
    </row>
    <row r="893" spans="1:12" x14ac:dyDescent="0.25">
      <c r="A893">
        <f t="shared" si="156"/>
        <v>892</v>
      </c>
      <c r="B893">
        <f t="shared" ca="1" si="157"/>
        <v>44</v>
      </c>
      <c r="C893" t="str">
        <f t="shared" ca="1" si="158"/>
        <v>Female</v>
      </c>
      <c r="D893" s="1">
        <f t="shared" ca="1" si="159"/>
        <v>45585</v>
      </c>
      <c r="E893" s="1">
        <f t="shared" ca="1" si="160"/>
        <v>45587</v>
      </c>
      <c r="F893" t="str">
        <f t="shared" ca="1" si="161"/>
        <v>Pneumonia</v>
      </c>
      <c r="G893" t="str">
        <f t="shared" ca="1" si="162"/>
        <v>Therapy</v>
      </c>
      <c r="H893">
        <f t="shared" ca="1" si="163"/>
        <v>2</v>
      </c>
      <c r="I893" t="str">
        <f t="shared" ca="1" si="164"/>
        <v>Yes</v>
      </c>
      <c r="J893">
        <f t="shared" ca="1" si="165"/>
        <v>4</v>
      </c>
      <c r="K893" t="str">
        <f t="shared" ca="1" si="166"/>
        <v>None</v>
      </c>
      <c r="L893" t="str">
        <f t="shared" ca="1" si="167"/>
        <v>ER</v>
      </c>
    </row>
    <row r="894" spans="1:12" x14ac:dyDescent="0.25">
      <c r="A894">
        <f t="shared" si="156"/>
        <v>893</v>
      </c>
      <c r="B894">
        <f t="shared" ca="1" si="157"/>
        <v>29</v>
      </c>
      <c r="C894" t="str">
        <f t="shared" ca="1" si="158"/>
        <v>Female</v>
      </c>
      <c r="D894" s="1">
        <f t="shared" ca="1" si="159"/>
        <v>45417</v>
      </c>
      <c r="E894" s="1">
        <f t="shared" ca="1" si="160"/>
        <v>45432</v>
      </c>
      <c r="F894" t="str">
        <f t="shared" ca="1" si="161"/>
        <v>Hypertension</v>
      </c>
      <c r="G894" t="str">
        <f t="shared" ca="1" si="162"/>
        <v>Therapy</v>
      </c>
      <c r="H894">
        <f t="shared" ca="1" si="163"/>
        <v>15</v>
      </c>
      <c r="I894" t="str">
        <f t="shared" ca="1" si="164"/>
        <v>No</v>
      </c>
      <c r="J894">
        <f t="shared" ca="1" si="165"/>
        <v>2</v>
      </c>
      <c r="K894" t="str">
        <f t="shared" ca="1" si="166"/>
        <v>Private</v>
      </c>
      <c r="L894" t="str">
        <f t="shared" ca="1" si="167"/>
        <v>ICU</v>
      </c>
    </row>
    <row r="895" spans="1:12" x14ac:dyDescent="0.25">
      <c r="A895">
        <f t="shared" si="156"/>
        <v>894</v>
      </c>
      <c r="B895">
        <f t="shared" ca="1" si="157"/>
        <v>85</v>
      </c>
      <c r="C895" t="str">
        <f t="shared" ca="1" si="158"/>
        <v>Male</v>
      </c>
      <c r="D895" s="1">
        <f t="shared" ca="1" si="159"/>
        <v>45517</v>
      </c>
      <c r="E895" s="1">
        <f t="shared" ca="1" si="160"/>
        <v>45531</v>
      </c>
      <c r="F895" t="str">
        <f t="shared" ca="1" si="161"/>
        <v>Hypertension</v>
      </c>
      <c r="G895" t="str">
        <f t="shared" ca="1" si="162"/>
        <v>Surgery</v>
      </c>
      <c r="H895">
        <f t="shared" ca="1" si="163"/>
        <v>14</v>
      </c>
      <c r="I895" t="str">
        <f t="shared" ca="1" si="164"/>
        <v>Yes</v>
      </c>
      <c r="J895">
        <f t="shared" ca="1" si="165"/>
        <v>1</v>
      </c>
      <c r="K895" t="str">
        <f t="shared" ca="1" si="166"/>
        <v>Public</v>
      </c>
      <c r="L895" t="str">
        <f t="shared" ca="1" si="167"/>
        <v>General</v>
      </c>
    </row>
    <row r="896" spans="1:12" x14ac:dyDescent="0.25">
      <c r="A896">
        <f t="shared" si="156"/>
        <v>895</v>
      </c>
      <c r="B896">
        <f t="shared" ca="1" si="157"/>
        <v>83</v>
      </c>
      <c r="C896" t="str">
        <f t="shared" ca="1" si="158"/>
        <v>Female</v>
      </c>
      <c r="D896" s="1">
        <f t="shared" ca="1" si="159"/>
        <v>45554</v>
      </c>
      <c r="E896" s="1">
        <f t="shared" ca="1" si="160"/>
        <v>45558</v>
      </c>
      <c r="F896" t="str">
        <f t="shared" ca="1" si="161"/>
        <v>Stroke</v>
      </c>
      <c r="G896" t="str">
        <f t="shared" ca="1" si="162"/>
        <v>Medication</v>
      </c>
      <c r="H896">
        <f t="shared" ca="1" si="163"/>
        <v>4</v>
      </c>
      <c r="I896" t="str">
        <f t="shared" ca="1" si="164"/>
        <v>No</v>
      </c>
      <c r="J896">
        <f t="shared" ca="1" si="165"/>
        <v>0</v>
      </c>
      <c r="K896" t="str">
        <f t="shared" ca="1" si="166"/>
        <v>None</v>
      </c>
      <c r="L896" t="str">
        <f t="shared" ca="1" si="167"/>
        <v>General</v>
      </c>
    </row>
    <row r="897" spans="1:12" x14ac:dyDescent="0.25">
      <c r="A897">
        <f t="shared" si="156"/>
        <v>896</v>
      </c>
      <c r="B897">
        <f t="shared" ca="1" si="157"/>
        <v>46</v>
      </c>
      <c r="C897" t="str">
        <f t="shared" ca="1" si="158"/>
        <v>Female</v>
      </c>
      <c r="D897" s="1">
        <f t="shared" ca="1" si="159"/>
        <v>45540</v>
      </c>
      <c r="E897" s="1">
        <f t="shared" ca="1" si="160"/>
        <v>45545</v>
      </c>
      <c r="F897" t="str">
        <f t="shared" ca="1" si="161"/>
        <v>Heart Failure</v>
      </c>
      <c r="G897" t="str">
        <f t="shared" ca="1" si="162"/>
        <v>Medication</v>
      </c>
      <c r="H897">
        <f t="shared" ca="1" si="163"/>
        <v>5</v>
      </c>
      <c r="I897" t="str">
        <f t="shared" ca="1" si="164"/>
        <v>Yes</v>
      </c>
      <c r="J897">
        <f t="shared" ca="1" si="165"/>
        <v>1</v>
      </c>
      <c r="K897" t="str">
        <f t="shared" ca="1" si="166"/>
        <v>Public</v>
      </c>
      <c r="L897" t="str">
        <f t="shared" ca="1" si="167"/>
        <v>Cardiology</v>
      </c>
    </row>
    <row r="898" spans="1:12" x14ac:dyDescent="0.25">
      <c r="A898">
        <f t="shared" si="156"/>
        <v>897</v>
      </c>
      <c r="B898">
        <f t="shared" ca="1" si="157"/>
        <v>42</v>
      </c>
      <c r="C898" t="str">
        <f t="shared" ca="1" si="158"/>
        <v>Male</v>
      </c>
      <c r="D898" s="1">
        <f t="shared" ca="1" si="159"/>
        <v>45529</v>
      </c>
      <c r="E898" s="1">
        <f t="shared" ca="1" si="160"/>
        <v>45530</v>
      </c>
      <c r="F898" t="str">
        <f t="shared" ca="1" si="161"/>
        <v>Stroke</v>
      </c>
      <c r="G898" t="str">
        <f t="shared" ca="1" si="162"/>
        <v>Surgery</v>
      </c>
      <c r="H898">
        <f t="shared" ca="1" si="163"/>
        <v>1</v>
      </c>
      <c r="I898" t="str">
        <f t="shared" ca="1" si="164"/>
        <v>No</v>
      </c>
      <c r="J898">
        <f t="shared" ca="1" si="165"/>
        <v>4</v>
      </c>
      <c r="K898" t="str">
        <f t="shared" ca="1" si="166"/>
        <v>None</v>
      </c>
      <c r="L898" t="str">
        <f t="shared" ca="1" si="167"/>
        <v>ER</v>
      </c>
    </row>
    <row r="899" spans="1:12" x14ac:dyDescent="0.25">
      <c r="A899">
        <f t="shared" ref="A899:A962" si="168">ROW() -1</f>
        <v>898</v>
      </c>
      <c r="B899">
        <f t="shared" ref="B899:B962" ca="1" si="169">RANDBETWEEN(20,90)</f>
        <v>45</v>
      </c>
      <c r="C899" t="str">
        <f t="shared" ref="C899:C962" ca="1" si="170">IF(RAND()&lt;0.5,"Male","Female")</f>
        <v>Male</v>
      </c>
      <c r="D899" s="1">
        <f t="shared" ref="D899:D962" ca="1" si="171">DATE(2024,1,1)+RANDBETWEEN(0,364)</f>
        <v>45418</v>
      </c>
      <c r="E899" s="1">
        <f t="shared" ref="E899:E962" ca="1" si="172">D899+RANDBETWEEN(1,15)</f>
        <v>45424</v>
      </c>
      <c r="F899" t="str">
        <f t="shared" ref="F899:F962" ca="1" si="173">CHOOSE(RANDBETWEEN(1,5),"Diabetes","Heart Failure","Pneumonia","Stroke","Hypertension")</f>
        <v>Hypertension</v>
      </c>
      <c r="G899" t="str">
        <f t="shared" ref="G899:G962" ca="1" si="174">CHOOSE(RANDBETWEEN(1,3),"Medication","Surgery","Therapy")</f>
        <v>Medication</v>
      </c>
      <c r="H899">
        <f t="shared" ref="H899:H962" ca="1" si="175">DATEDIF(D899,E899,"D")</f>
        <v>6</v>
      </c>
      <c r="I899" t="str">
        <f t="shared" ref="I899:I962" ca="1" si="176">IF(RAND()&lt;0.3,"Yes","No")</f>
        <v>Yes</v>
      </c>
      <c r="J899">
        <f t="shared" ref="J899:J962" ca="1" si="177">RANDBETWEEN(0,4)</f>
        <v>3</v>
      </c>
      <c r="K899" t="str">
        <f t="shared" ref="K899:K962" ca="1" si="178">CHOOSE(RANDBETWEEN(1,3),"Private","Public","None")</f>
        <v>None</v>
      </c>
      <c r="L899" t="str">
        <f t="shared" ref="L899:L962" ca="1" si="179">CHOOSE(RANDBETWEEN(1,5),"ER","Cardiology","Neurology","General","ICU")</f>
        <v>ICU</v>
      </c>
    </row>
    <row r="900" spans="1:12" x14ac:dyDescent="0.25">
      <c r="A900">
        <f t="shared" si="168"/>
        <v>899</v>
      </c>
      <c r="B900">
        <f t="shared" ca="1" si="169"/>
        <v>68</v>
      </c>
      <c r="C900" t="str">
        <f t="shared" ca="1" si="170"/>
        <v>Female</v>
      </c>
      <c r="D900" s="1">
        <f t="shared" ca="1" si="171"/>
        <v>45651</v>
      </c>
      <c r="E900" s="1">
        <f t="shared" ca="1" si="172"/>
        <v>45653</v>
      </c>
      <c r="F900" t="str">
        <f t="shared" ca="1" si="173"/>
        <v>Diabetes</v>
      </c>
      <c r="G900" t="str">
        <f t="shared" ca="1" si="174"/>
        <v>Therapy</v>
      </c>
      <c r="H900">
        <f t="shared" ca="1" si="175"/>
        <v>2</v>
      </c>
      <c r="I900" t="str">
        <f t="shared" ca="1" si="176"/>
        <v>No</v>
      </c>
      <c r="J900">
        <f t="shared" ca="1" si="177"/>
        <v>2</v>
      </c>
      <c r="K900" t="str">
        <f t="shared" ca="1" si="178"/>
        <v>Private</v>
      </c>
      <c r="L900" t="str">
        <f t="shared" ca="1" si="179"/>
        <v>ICU</v>
      </c>
    </row>
    <row r="901" spans="1:12" x14ac:dyDescent="0.25">
      <c r="A901">
        <f t="shared" si="168"/>
        <v>900</v>
      </c>
      <c r="B901">
        <f t="shared" ca="1" si="169"/>
        <v>38</v>
      </c>
      <c r="C901" t="str">
        <f t="shared" ca="1" si="170"/>
        <v>Female</v>
      </c>
      <c r="D901" s="1">
        <f t="shared" ca="1" si="171"/>
        <v>45505</v>
      </c>
      <c r="E901" s="1">
        <f t="shared" ca="1" si="172"/>
        <v>45507</v>
      </c>
      <c r="F901" t="str">
        <f t="shared" ca="1" si="173"/>
        <v>Hypertension</v>
      </c>
      <c r="G901" t="str">
        <f t="shared" ca="1" si="174"/>
        <v>Surgery</v>
      </c>
      <c r="H901">
        <f t="shared" ca="1" si="175"/>
        <v>2</v>
      </c>
      <c r="I901" t="str">
        <f t="shared" ca="1" si="176"/>
        <v>Yes</v>
      </c>
      <c r="J901">
        <f t="shared" ca="1" si="177"/>
        <v>3</v>
      </c>
      <c r="K901" t="str">
        <f t="shared" ca="1" si="178"/>
        <v>Private</v>
      </c>
      <c r="L901" t="str">
        <f t="shared" ca="1" si="179"/>
        <v>ICU</v>
      </c>
    </row>
    <row r="902" spans="1:12" x14ac:dyDescent="0.25">
      <c r="A902">
        <f t="shared" si="168"/>
        <v>901</v>
      </c>
      <c r="B902">
        <f t="shared" ca="1" si="169"/>
        <v>61</v>
      </c>
      <c r="C902" t="str">
        <f t="shared" ca="1" si="170"/>
        <v>Female</v>
      </c>
      <c r="D902" s="1">
        <f t="shared" ca="1" si="171"/>
        <v>45519</v>
      </c>
      <c r="E902" s="1">
        <f t="shared" ca="1" si="172"/>
        <v>45525</v>
      </c>
      <c r="F902" t="str">
        <f t="shared" ca="1" si="173"/>
        <v>Pneumonia</v>
      </c>
      <c r="G902" t="str">
        <f t="shared" ca="1" si="174"/>
        <v>Medication</v>
      </c>
      <c r="H902">
        <f t="shared" ca="1" si="175"/>
        <v>6</v>
      </c>
      <c r="I902" t="str">
        <f t="shared" ca="1" si="176"/>
        <v>No</v>
      </c>
      <c r="J902">
        <f t="shared" ca="1" si="177"/>
        <v>3</v>
      </c>
      <c r="K902" t="str">
        <f t="shared" ca="1" si="178"/>
        <v>None</v>
      </c>
      <c r="L902" t="str">
        <f t="shared" ca="1" si="179"/>
        <v>Neurology</v>
      </c>
    </row>
    <row r="903" spans="1:12" x14ac:dyDescent="0.25">
      <c r="A903">
        <f t="shared" si="168"/>
        <v>902</v>
      </c>
      <c r="B903">
        <f t="shared" ca="1" si="169"/>
        <v>55</v>
      </c>
      <c r="C903" t="str">
        <f t="shared" ca="1" si="170"/>
        <v>Female</v>
      </c>
      <c r="D903" s="1">
        <f t="shared" ca="1" si="171"/>
        <v>45644</v>
      </c>
      <c r="E903" s="1">
        <f t="shared" ca="1" si="172"/>
        <v>45650</v>
      </c>
      <c r="F903" t="str">
        <f t="shared" ca="1" si="173"/>
        <v>Hypertension</v>
      </c>
      <c r="G903" t="str">
        <f t="shared" ca="1" si="174"/>
        <v>Medication</v>
      </c>
      <c r="H903">
        <f t="shared" ca="1" si="175"/>
        <v>6</v>
      </c>
      <c r="I903" t="str">
        <f t="shared" ca="1" si="176"/>
        <v>Yes</v>
      </c>
      <c r="J903">
        <f t="shared" ca="1" si="177"/>
        <v>1</v>
      </c>
      <c r="K903" t="str">
        <f t="shared" ca="1" si="178"/>
        <v>None</v>
      </c>
      <c r="L903" t="str">
        <f t="shared" ca="1" si="179"/>
        <v>ICU</v>
      </c>
    </row>
    <row r="904" spans="1:12" x14ac:dyDescent="0.25">
      <c r="A904">
        <f t="shared" si="168"/>
        <v>903</v>
      </c>
      <c r="B904">
        <f t="shared" ca="1" si="169"/>
        <v>38</v>
      </c>
      <c r="C904" t="str">
        <f t="shared" ca="1" si="170"/>
        <v>Female</v>
      </c>
      <c r="D904" s="1">
        <f t="shared" ca="1" si="171"/>
        <v>45569</v>
      </c>
      <c r="E904" s="1">
        <f t="shared" ca="1" si="172"/>
        <v>45573</v>
      </c>
      <c r="F904" t="str">
        <f t="shared" ca="1" si="173"/>
        <v>Heart Failure</v>
      </c>
      <c r="G904" t="str">
        <f t="shared" ca="1" si="174"/>
        <v>Medication</v>
      </c>
      <c r="H904">
        <f t="shared" ca="1" si="175"/>
        <v>4</v>
      </c>
      <c r="I904" t="str">
        <f t="shared" ca="1" si="176"/>
        <v>No</v>
      </c>
      <c r="J904">
        <f t="shared" ca="1" si="177"/>
        <v>1</v>
      </c>
      <c r="K904" t="str">
        <f t="shared" ca="1" si="178"/>
        <v>None</v>
      </c>
      <c r="L904" t="str">
        <f t="shared" ca="1" si="179"/>
        <v>General</v>
      </c>
    </row>
    <row r="905" spans="1:12" x14ac:dyDescent="0.25">
      <c r="A905">
        <f t="shared" si="168"/>
        <v>904</v>
      </c>
      <c r="B905">
        <f t="shared" ca="1" si="169"/>
        <v>23</v>
      </c>
      <c r="C905" t="str">
        <f t="shared" ca="1" si="170"/>
        <v>Male</v>
      </c>
      <c r="D905" s="1">
        <f t="shared" ca="1" si="171"/>
        <v>45518</v>
      </c>
      <c r="E905" s="1">
        <f t="shared" ca="1" si="172"/>
        <v>45531</v>
      </c>
      <c r="F905" t="str">
        <f t="shared" ca="1" si="173"/>
        <v>Heart Failure</v>
      </c>
      <c r="G905" t="str">
        <f t="shared" ca="1" si="174"/>
        <v>Surgery</v>
      </c>
      <c r="H905">
        <f t="shared" ca="1" si="175"/>
        <v>13</v>
      </c>
      <c r="I905" t="str">
        <f t="shared" ca="1" si="176"/>
        <v>No</v>
      </c>
      <c r="J905">
        <f t="shared" ca="1" si="177"/>
        <v>2</v>
      </c>
      <c r="K905" t="str">
        <f t="shared" ca="1" si="178"/>
        <v>Private</v>
      </c>
      <c r="L905" t="str">
        <f t="shared" ca="1" si="179"/>
        <v>Neurology</v>
      </c>
    </row>
    <row r="906" spans="1:12" x14ac:dyDescent="0.25">
      <c r="A906">
        <f t="shared" si="168"/>
        <v>905</v>
      </c>
      <c r="B906">
        <f t="shared" ca="1" si="169"/>
        <v>53</v>
      </c>
      <c r="C906" t="str">
        <f t="shared" ca="1" si="170"/>
        <v>Male</v>
      </c>
      <c r="D906" s="1">
        <f t="shared" ca="1" si="171"/>
        <v>45539</v>
      </c>
      <c r="E906" s="1">
        <f t="shared" ca="1" si="172"/>
        <v>45550</v>
      </c>
      <c r="F906" t="str">
        <f t="shared" ca="1" si="173"/>
        <v>Stroke</v>
      </c>
      <c r="G906" t="str">
        <f t="shared" ca="1" si="174"/>
        <v>Medication</v>
      </c>
      <c r="H906">
        <f t="shared" ca="1" si="175"/>
        <v>11</v>
      </c>
      <c r="I906" t="str">
        <f t="shared" ca="1" si="176"/>
        <v>No</v>
      </c>
      <c r="J906">
        <f t="shared" ca="1" si="177"/>
        <v>2</v>
      </c>
      <c r="K906" t="str">
        <f t="shared" ca="1" si="178"/>
        <v>Private</v>
      </c>
      <c r="L906" t="str">
        <f t="shared" ca="1" si="179"/>
        <v>ER</v>
      </c>
    </row>
    <row r="907" spans="1:12" x14ac:dyDescent="0.25">
      <c r="A907">
        <f t="shared" si="168"/>
        <v>906</v>
      </c>
      <c r="B907">
        <f t="shared" ca="1" si="169"/>
        <v>64</v>
      </c>
      <c r="C907" t="str">
        <f t="shared" ca="1" si="170"/>
        <v>Male</v>
      </c>
      <c r="D907" s="1">
        <f t="shared" ca="1" si="171"/>
        <v>45432</v>
      </c>
      <c r="E907" s="1">
        <f t="shared" ca="1" si="172"/>
        <v>45446</v>
      </c>
      <c r="F907" t="str">
        <f t="shared" ca="1" si="173"/>
        <v>Heart Failure</v>
      </c>
      <c r="G907" t="str">
        <f t="shared" ca="1" si="174"/>
        <v>Surgery</v>
      </c>
      <c r="H907">
        <f t="shared" ca="1" si="175"/>
        <v>14</v>
      </c>
      <c r="I907" t="str">
        <f t="shared" ca="1" si="176"/>
        <v>No</v>
      </c>
      <c r="J907">
        <f t="shared" ca="1" si="177"/>
        <v>2</v>
      </c>
      <c r="K907" t="str">
        <f t="shared" ca="1" si="178"/>
        <v>None</v>
      </c>
      <c r="L907" t="str">
        <f t="shared" ca="1" si="179"/>
        <v>ER</v>
      </c>
    </row>
    <row r="908" spans="1:12" x14ac:dyDescent="0.25">
      <c r="A908">
        <f t="shared" si="168"/>
        <v>907</v>
      </c>
      <c r="B908">
        <f t="shared" ca="1" si="169"/>
        <v>89</v>
      </c>
      <c r="C908" t="str">
        <f t="shared" ca="1" si="170"/>
        <v>Female</v>
      </c>
      <c r="D908" s="1">
        <f t="shared" ca="1" si="171"/>
        <v>45594</v>
      </c>
      <c r="E908" s="1">
        <f t="shared" ca="1" si="172"/>
        <v>45603</v>
      </c>
      <c r="F908" t="str">
        <f t="shared" ca="1" si="173"/>
        <v>Hypertension</v>
      </c>
      <c r="G908" t="str">
        <f t="shared" ca="1" si="174"/>
        <v>Medication</v>
      </c>
      <c r="H908">
        <f t="shared" ca="1" si="175"/>
        <v>9</v>
      </c>
      <c r="I908" t="str">
        <f t="shared" ca="1" si="176"/>
        <v>Yes</v>
      </c>
      <c r="J908">
        <f t="shared" ca="1" si="177"/>
        <v>4</v>
      </c>
      <c r="K908" t="str">
        <f t="shared" ca="1" si="178"/>
        <v>Private</v>
      </c>
      <c r="L908" t="str">
        <f t="shared" ca="1" si="179"/>
        <v>ICU</v>
      </c>
    </row>
    <row r="909" spans="1:12" x14ac:dyDescent="0.25">
      <c r="A909">
        <f t="shared" si="168"/>
        <v>908</v>
      </c>
      <c r="B909">
        <f t="shared" ca="1" si="169"/>
        <v>24</v>
      </c>
      <c r="C909" t="str">
        <f t="shared" ca="1" si="170"/>
        <v>Male</v>
      </c>
      <c r="D909" s="1">
        <f t="shared" ca="1" si="171"/>
        <v>45512</v>
      </c>
      <c r="E909" s="1">
        <f t="shared" ca="1" si="172"/>
        <v>45519</v>
      </c>
      <c r="F909" t="str">
        <f t="shared" ca="1" si="173"/>
        <v>Stroke</v>
      </c>
      <c r="G909" t="str">
        <f t="shared" ca="1" si="174"/>
        <v>Surgery</v>
      </c>
      <c r="H909">
        <f t="shared" ca="1" si="175"/>
        <v>7</v>
      </c>
      <c r="I909" t="str">
        <f t="shared" ca="1" si="176"/>
        <v>No</v>
      </c>
      <c r="J909">
        <f t="shared" ca="1" si="177"/>
        <v>4</v>
      </c>
      <c r="K909" t="str">
        <f t="shared" ca="1" si="178"/>
        <v>Private</v>
      </c>
      <c r="L909" t="str">
        <f t="shared" ca="1" si="179"/>
        <v>Cardiology</v>
      </c>
    </row>
    <row r="910" spans="1:12" x14ac:dyDescent="0.25">
      <c r="A910">
        <f t="shared" si="168"/>
        <v>909</v>
      </c>
      <c r="B910">
        <f t="shared" ca="1" si="169"/>
        <v>39</v>
      </c>
      <c r="C910" t="str">
        <f t="shared" ca="1" si="170"/>
        <v>Male</v>
      </c>
      <c r="D910" s="1">
        <f t="shared" ca="1" si="171"/>
        <v>45328</v>
      </c>
      <c r="E910" s="1">
        <f t="shared" ca="1" si="172"/>
        <v>45336</v>
      </c>
      <c r="F910" t="str">
        <f t="shared" ca="1" si="173"/>
        <v>Stroke</v>
      </c>
      <c r="G910" t="str">
        <f t="shared" ca="1" si="174"/>
        <v>Therapy</v>
      </c>
      <c r="H910">
        <f t="shared" ca="1" si="175"/>
        <v>8</v>
      </c>
      <c r="I910" t="str">
        <f t="shared" ca="1" si="176"/>
        <v>No</v>
      </c>
      <c r="J910">
        <f t="shared" ca="1" si="177"/>
        <v>3</v>
      </c>
      <c r="K910" t="str">
        <f t="shared" ca="1" si="178"/>
        <v>None</v>
      </c>
      <c r="L910" t="str">
        <f t="shared" ca="1" si="179"/>
        <v>ICU</v>
      </c>
    </row>
    <row r="911" spans="1:12" x14ac:dyDescent="0.25">
      <c r="A911">
        <f t="shared" si="168"/>
        <v>910</v>
      </c>
      <c r="B911">
        <f t="shared" ca="1" si="169"/>
        <v>59</v>
      </c>
      <c r="C911" t="str">
        <f t="shared" ca="1" si="170"/>
        <v>Male</v>
      </c>
      <c r="D911" s="1">
        <f t="shared" ca="1" si="171"/>
        <v>45580</v>
      </c>
      <c r="E911" s="1">
        <f t="shared" ca="1" si="172"/>
        <v>45588</v>
      </c>
      <c r="F911" t="str">
        <f t="shared" ca="1" si="173"/>
        <v>Hypertension</v>
      </c>
      <c r="G911" t="str">
        <f t="shared" ca="1" si="174"/>
        <v>Therapy</v>
      </c>
      <c r="H911">
        <f t="shared" ca="1" si="175"/>
        <v>8</v>
      </c>
      <c r="I911" t="str">
        <f t="shared" ca="1" si="176"/>
        <v>No</v>
      </c>
      <c r="J911">
        <f t="shared" ca="1" si="177"/>
        <v>3</v>
      </c>
      <c r="K911" t="str">
        <f t="shared" ca="1" si="178"/>
        <v>Public</v>
      </c>
      <c r="L911" t="str">
        <f t="shared" ca="1" si="179"/>
        <v>Cardiology</v>
      </c>
    </row>
    <row r="912" spans="1:12" x14ac:dyDescent="0.25">
      <c r="A912">
        <f t="shared" si="168"/>
        <v>911</v>
      </c>
      <c r="B912">
        <f t="shared" ca="1" si="169"/>
        <v>46</v>
      </c>
      <c r="C912" t="str">
        <f t="shared" ca="1" si="170"/>
        <v>Female</v>
      </c>
      <c r="D912" s="1">
        <f t="shared" ca="1" si="171"/>
        <v>45410</v>
      </c>
      <c r="E912" s="1">
        <f t="shared" ca="1" si="172"/>
        <v>45423</v>
      </c>
      <c r="F912" t="str">
        <f t="shared" ca="1" si="173"/>
        <v>Diabetes</v>
      </c>
      <c r="G912" t="str">
        <f t="shared" ca="1" si="174"/>
        <v>Surgery</v>
      </c>
      <c r="H912">
        <f t="shared" ca="1" si="175"/>
        <v>13</v>
      </c>
      <c r="I912" t="str">
        <f t="shared" ca="1" si="176"/>
        <v>Yes</v>
      </c>
      <c r="J912">
        <f t="shared" ca="1" si="177"/>
        <v>1</v>
      </c>
      <c r="K912" t="str">
        <f t="shared" ca="1" si="178"/>
        <v>Private</v>
      </c>
      <c r="L912" t="str">
        <f t="shared" ca="1" si="179"/>
        <v>ICU</v>
      </c>
    </row>
    <row r="913" spans="1:12" x14ac:dyDescent="0.25">
      <c r="A913">
        <f t="shared" si="168"/>
        <v>912</v>
      </c>
      <c r="B913">
        <f t="shared" ca="1" si="169"/>
        <v>65</v>
      </c>
      <c r="C913" t="str">
        <f t="shared" ca="1" si="170"/>
        <v>Male</v>
      </c>
      <c r="D913" s="1">
        <f t="shared" ca="1" si="171"/>
        <v>45534</v>
      </c>
      <c r="E913" s="1">
        <f t="shared" ca="1" si="172"/>
        <v>45539</v>
      </c>
      <c r="F913" t="str">
        <f t="shared" ca="1" si="173"/>
        <v>Pneumonia</v>
      </c>
      <c r="G913" t="str">
        <f t="shared" ca="1" si="174"/>
        <v>Surgery</v>
      </c>
      <c r="H913">
        <f t="shared" ca="1" si="175"/>
        <v>5</v>
      </c>
      <c r="I913" t="str">
        <f t="shared" ca="1" si="176"/>
        <v>No</v>
      </c>
      <c r="J913">
        <f t="shared" ca="1" si="177"/>
        <v>4</v>
      </c>
      <c r="K913" t="str">
        <f t="shared" ca="1" si="178"/>
        <v>None</v>
      </c>
      <c r="L913" t="str">
        <f t="shared" ca="1" si="179"/>
        <v>General</v>
      </c>
    </row>
    <row r="914" spans="1:12" x14ac:dyDescent="0.25">
      <c r="A914">
        <f t="shared" si="168"/>
        <v>913</v>
      </c>
      <c r="B914">
        <f t="shared" ca="1" si="169"/>
        <v>22</v>
      </c>
      <c r="C914" t="str">
        <f t="shared" ca="1" si="170"/>
        <v>Female</v>
      </c>
      <c r="D914" s="1">
        <f t="shared" ca="1" si="171"/>
        <v>45475</v>
      </c>
      <c r="E914" s="1">
        <f t="shared" ca="1" si="172"/>
        <v>45489</v>
      </c>
      <c r="F914" t="str">
        <f t="shared" ca="1" si="173"/>
        <v>Hypertension</v>
      </c>
      <c r="G914" t="str">
        <f t="shared" ca="1" si="174"/>
        <v>Surgery</v>
      </c>
      <c r="H914">
        <f t="shared" ca="1" si="175"/>
        <v>14</v>
      </c>
      <c r="I914" t="str">
        <f t="shared" ca="1" si="176"/>
        <v>No</v>
      </c>
      <c r="J914">
        <f t="shared" ca="1" si="177"/>
        <v>4</v>
      </c>
      <c r="K914" t="str">
        <f t="shared" ca="1" si="178"/>
        <v>Public</v>
      </c>
      <c r="L914" t="str">
        <f t="shared" ca="1" si="179"/>
        <v>ER</v>
      </c>
    </row>
    <row r="915" spans="1:12" x14ac:dyDescent="0.25">
      <c r="A915">
        <f t="shared" si="168"/>
        <v>914</v>
      </c>
      <c r="B915">
        <f t="shared" ca="1" si="169"/>
        <v>39</v>
      </c>
      <c r="C915" t="str">
        <f t="shared" ca="1" si="170"/>
        <v>Female</v>
      </c>
      <c r="D915" s="1">
        <f t="shared" ca="1" si="171"/>
        <v>45515</v>
      </c>
      <c r="E915" s="1">
        <f t="shared" ca="1" si="172"/>
        <v>45529</v>
      </c>
      <c r="F915" t="str">
        <f t="shared" ca="1" si="173"/>
        <v>Diabetes</v>
      </c>
      <c r="G915" t="str">
        <f t="shared" ca="1" si="174"/>
        <v>Therapy</v>
      </c>
      <c r="H915">
        <f t="shared" ca="1" si="175"/>
        <v>14</v>
      </c>
      <c r="I915" t="str">
        <f t="shared" ca="1" si="176"/>
        <v>Yes</v>
      </c>
      <c r="J915">
        <f t="shared" ca="1" si="177"/>
        <v>4</v>
      </c>
      <c r="K915" t="str">
        <f t="shared" ca="1" si="178"/>
        <v>Public</v>
      </c>
      <c r="L915" t="str">
        <f t="shared" ca="1" si="179"/>
        <v>Cardiology</v>
      </c>
    </row>
    <row r="916" spans="1:12" x14ac:dyDescent="0.25">
      <c r="A916">
        <f t="shared" si="168"/>
        <v>915</v>
      </c>
      <c r="B916">
        <f t="shared" ca="1" si="169"/>
        <v>59</v>
      </c>
      <c r="C916" t="str">
        <f t="shared" ca="1" si="170"/>
        <v>Male</v>
      </c>
      <c r="D916" s="1">
        <f t="shared" ca="1" si="171"/>
        <v>45515</v>
      </c>
      <c r="E916" s="1">
        <f t="shared" ca="1" si="172"/>
        <v>45520</v>
      </c>
      <c r="F916" t="str">
        <f t="shared" ca="1" si="173"/>
        <v>Pneumonia</v>
      </c>
      <c r="G916" t="str">
        <f t="shared" ca="1" si="174"/>
        <v>Surgery</v>
      </c>
      <c r="H916">
        <f t="shared" ca="1" si="175"/>
        <v>5</v>
      </c>
      <c r="I916" t="str">
        <f t="shared" ca="1" si="176"/>
        <v>Yes</v>
      </c>
      <c r="J916">
        <f t="shared" ca="1" si="177"/>
        <v>1</v>
      </c>
      <c r="K916" t="str">
        <f t="shared" ca="1" si="178"/>
        <v>Private</v>
      </c>
      <c r="L916" t="str">
        <f t="shared" ca="1" si="179"/>
        <v>ER</v>
      </c>
    </row>
    <row r="917" spans="1:12" x14ac:dyDescent="0.25">
      <c r="A917">
        <f t="shared" si="168"/>
        <v>916</v>
      </c>
      <c r="B917">
        <f t="shared" ca="1" si="169"/>
        <v>84</v>
      </c>
      <c r="C917" t="str">
        <f t="shared" ca="1" si="170"/>
        <v>Female</v>
      </c>
      <c r="D917" s="1">
        <f t="shared" ca="1" si="171"/>
        <v>45379</v>
      </c>
      <c r="E917" s="1">
        <f t="shared" ca="1" si="172"/>
        <v>45385</v>
      </c>
      <c r="F917" t="str">
        <f t="shared" ca="1" si="173"/>
        <v>Stroke</v>
      </c>
      <c r="G917" t="str">
        <f t="shared" ca="1" si="174"/>
        <v>Medication</v>
      </c>
      <c r="H917">
        <f t="shared" ca="1" si="175"/>
        <v>6</v>
      </c>
      <c r="I917" t="str">
        <f t="shared" ca="1" si="176"/>
        <v>No</v>
      </c>
      <c r="J917">
        <f t="shared" ca="1" si="177"/>
        <v>0</v>
      </c>
      <c r="K917" t="str">
        <f t="shared" ca="1" si="178"/>
        <v>Public</v>
      </c>
      <c r="L917" t="str">
        <f t="shared" ca="1" si="179"/>
        <v>Cardiology</v>
      </c>
    </row>
    <row r="918" spans="1:12" x14ac:dyDescent="0.25">
      <c r="A918">
        <f t="shared" si="168"/>
        <v>917</v>
      </c>
      <c r="B918">
        <f t="shared" ca="1" si="169"/>
        <v>36</v>
      </c>
      <c r="C918" t="str">
        <f t="shared" ca="1" si="170"/>
        <v>Male</v>
      </c>
      <c r="D918" s="1">
        <f t="shared" ca="1" si="171"/>
        <v>45366</v>
      </c>
      <c r="E918" s="1">
        <f t="shared" ca="1" si="172"/>
        <v>45370</v>
      </c>
      <c r="F918" t="str">
        <f t="shared" ca="1" si="173"/>
        <v>Pneumonia</v>
      </c>
      <c r="G918" t="str">
        <f t="shared" ca="1" si="174"/>
        <v>Medication</v>
      </c>
      <c r="H918">
        <f t="shared" ca="1" si="175"/>
        <v>4</v>
      </c>
      <c r="I918" t="str">
        <f t="shared" ca="1" si="176"/>
        <v>Yes</v>
      </c>
      <c r="J918">
        <f t="shared" ca="1" si="177"/>
        <v>3</v>
      </c>
      <c r="K918" t="str">
        <f t="shared" ca="1" si="178"/>
        <v>Public</v>
      </c>
      <c r="L918" t="str">
        <f t="shared" ca="1" si="179"/>
        <v>Neurology</v>
      </c>
    </row>
    <row r="919" spans="1:12" x14ac:dyDescent="0.25">
      <c r="A919">
        <f t="shared" si="168"/>
        <v>918</v>
      </c>
      <c r="B919">
        <f t="shared" ca="1" si="169"/>
        <v>54</v>
      </c>
      <c r="C919" t="str">
        <f t="shared" ca="1" si="170"/>
        <v>Female</v>
      </c>
      <c r="D919" s="1">
        <f t="shared" ca="1" si="171"/>
        <v>45476</v>
      </c>
      <c r="E919" s="1">
        <f t="shared" ca="1" si="172"/>
        <v>45484</v>
      </c>
      <c r="F919" t="str">
        <f t="shared" ca="1" si="173"/>
        <v>Hypertension</v>
      </c>
      <c r="G919" t="str">
        <f t="shared" ca="1" si="174"/>
        <v>Medication</v>
      </c>
      <c r="H919">
        <f t="shared" ca="1" si="175"/>
        <v>8</v>
      </c>
      <c r="I919" t="str">
        <f t="shared" ca="1" si="176"/>
        <v>No</v>
      </c>
      <c r="J919">
        <f t="shared" ca="1" si="177"/>
        <v>3</v>
      </c>
      <c r="K919" t="str">
        <f t="shared" ca="1" si="178"/>
        <v>Private</v>
      </c>
      <c r="L919" t="str">
        <f t="shared" ca="1" si="179"/>
        <v>ICU</v>
      </c>
    </row>
    <row r="920" spans="1:12" x14ac:dyDescent="0.25">
      <c r="A920">
        <f t="shared" si="168"/>
        <v>919</v>
      </c>
      <c r="B920">
        <f t="shared" ca="1" si="169"/>
        <v>69</v>
      </c>
      <c r="C920" t="str">
        <f t="shared" ca="1" si="170"/>
        <v>Female</v>
      </c>
      <c r="D920" s="1">
        <f t="shared" ca="1" si="171"/>
        <v>45438</v>
      </c>
      <c r="E920" s="1">
        <f t="shared" ca="1" si="172"/>
        <v>45439</v>
      </c>
      <c r="F920" t="str">
        <f t="shared" ca="1" si="173"/>
        <v>Stroke</v>
      </c>
      <c r="G920" t="str">
        <f t="shared" ca="1" si="174"/>
        <v>Medication</v>
      </c>
      <c r="H920">
        <f t="shared" ca="1" si="175"/>
        <v>1</v>
      </c>
      <c r="I920" t="str">
        <f t="shared" ca="1" si="176"/>
        <v>No</v>
      </c>
      <c r="J920">
        <f t="shared" ca="1" si="177"/>
        <v>2</v>
      </c>
      <c r="K920" t="str">
        <f t="shared" ca="1" si="178"/>
        <v>None</v>
      </c>
      <c r="L920" t="str">
        <f t="shared" ca="1" si="179"/>
        <v>General</v>
      </c>
    </row>
    <row r="921" spans="1:12" x14ac:dyDescent="0.25">
      <c r="A921">
        <f t="shared" si="168"/>
        <v>920</v>
      </c>
      <c r="B921">
        <f t="shared" ca="1" si="169"/>
        <v>69</v>
      </c>
      <c r="C921" t="str">
        <f t="shared" ca="1" si="170"/>
        <v>Female</v>
      </c>
      <c r="D921" s="1">
        <f t="shared" ca="1" si="171"/>
        <v>45618</v>
      </c>
      <c r="E921" s="1">
        <f t="shared" ca="1" si="172"/>
        <v>45623</v>
      </c>
      <c r="F921" t="str">
        <f t="shared" ca="1" si="173"/>
        <v>Pneumonia</v>
      </c>
      <c r="G921" t="str">
        <f t="shared" ca="1" si="174"/>
        <v>Therapy</v>
      </c>
      <c r="H921">
        <f t="shared" ca="1" si="175"/>
        <v>5</v>
      </c>
      <c r="I921" t="str">
        <f t="shared" ca="1" si="176"/>
        <v>No</v>
      </c>
      <c r="J921">
        <f t="shared" ca="1" si="177"/>
        <v>4</v>
      </c>
      <c r="K921" t="str">
        <f t="shared" ca="1" si="178"/>
        <v>Private</v>
      </c>
      <c r="L921" t="str">
        <f t="shared" ca="1" si="179"/>
        <v>ICU</v>
      </c>
    </row>
    <row r="922" spans="1:12" x14ac:dyDescent="0.25">
      <c r="A922">
        <f t="shared" si="168"/>
        <v>921</v>
      </c>
      <c r="B922">
        <f t="shared" ca="1" si="169"/>
        <v>54</v>
      </c>
      <c r="C922" t="str">
        <f t="shared" ca="1" si="170"/>
        <v>Male</v>
      </c>
      <c r="D922" s="1">
        <f t="shared" ca="1" si="171"/>
        <v>45421</v>
      </c>
      <c r="E922" s="1">
        <f t="shared" ca="1" si="172"/>
        <v>45424</v>
      </c>
      <c r="F922" t="str">
        <f t="shared" ca="1" si="173"/>
        <v>Heart Failure</v>
      </c>
      <c r="G922" t="str">
        <f t="shared" ca="1" si="174"/>
        <v>Medication</v>
      </c>
      <c r="H922">
        <f t="shared" ca="1" si="175"/>
        <v>3</v>
      </c>
      <c r="I922" t="str">
        <f t="shared" ca="1" si="176"/>
        <v>No</v>
      </c>
      <c r="J922">
        <f t="shared" ca="1" si="177"/>
        <v>3</v>
      </c>
      <c r="K922" t="str">
        <f t="shared" ca="1" si="178"/>
        <v>None</v>
      </c>
      <c r="L922" t="str">
        <f t="shared" ca="1" si="179"/>
        <v>Cardiology</v>
      </c>
    </row>
    <row r="923" spans="1:12" x14ac:dyDescent="0.25">
      <c r="A923">
        <f t="shared" si="168"/>
        <v>922</v>
      </c>
      <c r="B923">
        <f t="shared" ca="1" si="169"/>
        <v>27</v>
      </c>
      <c r="C923" t="str">
        <f t="shared" ca="1" si="170"/>
        <v>Female</v>
      </c>
      <c r="D923" s="1">
        <f t="shared" ca="1" si="171"/>
        <v>45598</v>
      </c>
      <c r="E923" s="1">
        <f t="shared" ca="1" si="172"/>
        <v>45605</v>
      </c>
      <c r="F923" t="str">
        <f t="shared" ca="1" si="173"/>
        <v>Heart Failure</v>
      </c>
      <c r="G923" t="str">
        <f t="shared" ca="1" si="174"/>
        <v>Therapy</v>
      </c>
      <c r="H923">
        <f t="shared" ca="1" si="175"/>
        <v>7</v>
      </c>
      <c r="I923" t="str">
        <f t="shared" ca="1" si="176"/>
        <v>Yes</v>
      </c>
      <c r="J923">
        <f t="shared" ca="1" si="177"/>
        <v>4</v>
      </c>
      <c r="K923" t="str">
        <f t="shared" ca="1" si="178"/>
        <v>None</v>
      </c>
      <c r="L923" t="str">
        <f t="shared" ca="1" si="179"/>
        <v>ER</v>
      </c>
    </row>
    <row r="924" spans="1:12" x14ac:dyDescent="0.25">
      <c r="A924">
        <f t="shared" si="168"/>
        <v>923</v>
      </c>
      <c r="B924">
        <f t="shared" ca="1" si="169"/>
        <v>79</v>
      </c>
      <c r="C924" t="str">
        <f t="shared" ca="1" si="170"/>
        <v>Male</v>
      </c>
      <c r="D924" s="1">
        <f t="shared" ca="1" si="171"/>
        <v>45493</v>
      </c>
      <c r="E924" s="1">
        <f t="shared" ca="1" si="172"/>
        <v>45508</v>
      </c>
      <c r="F924" t="str">
        <f t="shared" ca="1" si="173"/>
        <v>Hypertension</v>
      </c>
      <c r="G924" t="str">
        <f t="shared" ca="1" si="174"/>
        <v>Therapy</v>
      </c>
      <c r="H924">
        <f t="shared" ca="1" si="175"/>
        <v>15</v>
      </c>
      <c r="I924" t="str">
        <f t="shared" ca="1" si="176"/>
        <v>No</v>
      </c>
      <c r="J924">
        <f t="shared" ca="1" si="177"/>
        <v>2</v>
      </c>
      <c r="K924" t="str">
        <f t="shared" ca="1" si="178"/>
        <v>None</v>
      </c>
      <c r="L924" t="str">
        <f t="shared" ca="1" si="179"/>
        <v>Cardiology</v>
      </c>
    </row>
    <row r="925" spans="1:12" x14ac:dyDescent="0.25">
      <c r="A925">
        <f t="shared" si="168"/>
        <v>924</v>
      </c>
      <c r="B925">
        <f t="shared" ca="1" si="169"/>
        <v>25</v>
      </c>
      <c r="C925" t="str">
        <f t="shared" ca="1" si="170"/>
        <v>Female</v>
      </c>
      <c r="D925" s="1">
        <f t="shared" ca="1" si="171"/>
        <v>45603</v>
      </c>
      <c r="E925" s="1">
        <f t="shared" ca="1" si="172"/>
        <v>45611</v>
      </c>
      <c r="F925" t="str">
        <f t="shared" ca="1" si="173"/>
        <v>Diabetes</v>
      </c>
      <c r="G925" t="str">
        <f t="shared" ca="1" si="174"/>
        <v>Surgery</v>
      </c>
      <c r="H925">
        <f t="shared" ca="1" si="175"/>
        <v>8</v>
      </c>
      <c r="I925" t="str">
        <f t="shared" ca="1" si="176"/>
        <v>No</v>
      </c>
      <c r="J925">
        <f t="shared" ca="1" si="177"/>
        <v>0</v>
      </c>
      <c r="K925" t="str">
        <f t="shared" ca="1" si="178"/>
        <v>Private</v>
      </c>
      <c r="L925" t="str">
        <f t="shared" ca="1" si="179"/>
        <v>Neurology</v>
      </c>
    </row>
    <row r="926" spans="1:12" x14ac:dyDescent="0.25">
      <c r="A926">
        <f t="shared" si="168"/>
        <v>925</v>
      </c>
      <c r="B926">
        <f t="shared" ca="1" si="169"/>
        <v>49</v>
      </c>
      <c r="C926" t="str">
        <f t="shared" ca="1" si="170"/>
        <v>Female</v>
      </c>
      <c r="D926" s="1">
        <f t="shared" ca="1" si="171"/>
        <v>45414</v>
      </c>
      <c r="E926" s="1">
        <f t="shared" ca="1" si="172"/>
        <v>45425</v>
      </c>
      <c r="F926" t="str">
        <f t="shared" ca="1" si="173"/>
        <v>Diabetes</v>
      </c>
      <c r="G926" t="str">
        <f t="shared" ca="1" si="174"/>
        <v>Surgery</v>
      </c>
      <c r="H926">
        <f t="shared" ca="1" si="175"/>
        <v>11</v>
      </c>
      <c r="I926" t="str">
        <f t="shared" ca="1" si="176"/>
        <v>Yes</v>
      </c>
      <c r="J926">
        <f t="shared" ca="1" si="177"/>
        <v>2</v>
      </c>
      <c r="K926" t="str">
        <f t="shared" ca="1" si="178"/>
        <v>Public</v>
      </c>
      <c r="L926" t="str">
        <f t="shared" ca="1" si="179"/>
        <v>General</v>
      </c>
    </row>
    <row r="927" spans="1:12" x14ac:dyDescent="0.25">
      <c r="A927">
        <f t="shared" si="168"/>
        <v>926</v>
      </c>
      <c r="B927">
        <f t="shared" ca="1" si="169"/>
        <v>53</v>
      </c>
      <c r="C927" t="str">
        <f t="shared" ca="1" si="170"/>
        <v>Male</v>
      </c>
      <c r="D927" s="1">
        <f t="shared" ca="1" si="171"/>
        <v>45379</v>
      </c>
      <c r="E927" s="1">
        <f t="shared" ca="1" si="172"/>
        <v>45391</v>
      </c>
      <c r="F927" t="str">
        <f t="shared" ca="1" si="173"/>
        <v>Heart Failure</v>
      </c>
      <c r="G927" t="str">
        <f t="shared" ca="1" si="174"/>
        <v>Surgery</v>
      </c>
      <c r="H927">
        <f t="shared" ca="1" si="175"/>
        <v>12</v>
      </c>
      <c r="I927" t="str">
        <f t="shared" ca="1" si="176"/>
        <v>No</v>
      </c>
      <c r="J927">
        <f t="shared" ca="1" si="177"/>
        <v>1</v>
      </c>
      <c r="K927" t="str">
        <f t="shared" ca="1" si="178"/>
        <v>None</v>
      </c>
      <c r="L927" t="str">
        <f t="shared" ca="1" si="179"/>
        <v>Cardiology</v>
      </c>
    </row>
    <row r="928" spans="1:12" x14ac:dyDescent="0.25">
      <c r="A928">
        <f t="shared" si="168"/>
        <v>927</v>
      </c>
      <c r="B928">
        <f t="shared" ca="1" si="169"/>
        <v>64</v>
      </c>
      <c r="C928" t="str">
        <f t="shared" ca="1" si="170"/>
        <v>Male</v>
      </c>
      <c r="D928" s="1">
        <f t="shared" ca="1" si="171"/>
        <v>45582</v>
      </c>
      <c r="E928" s="1">
        <f t="shared" ca="1" si="172"/>
        <v>45592</v>
      </c>
      <c r="F928" t="str">
        <f t="shared" ca="1" si="173"/>
        <v>Heart Failure</v>
      </c>
      <c r="G928" t="str">
        <f t="shared" ca="1" si="174"/>
        <v>Therapy</v>
      </c>
      <c r="H928">
        <f t="shared" ca="1" si="175"/>
        <v>10</v>
      </c>
      <c r="I928" t="str">
        <f t="shared" ca="1" si="176"/>
        <v>No</v>
      </c>
      <c r="J928">
        <f t="shared" ca="1" si="177"/>
        <v>3</v>
      </c>
      <c r="K928" t="str">
        <f t="shared" ca="1" si="178"/>
        <v>Public</v>
      </c>
      <c r="L928" t="str">
        <f t="shared" ca="1" si="179"/>
        <v>ER</v>
      </c>
    </row>
    <row r="929" spans="1:12" x14ac:dyDescent="0.25">
      <c r="A929">
        <f t="shared" si="168"/>
        <v>928</v>
      </c>
      <c r="B929">
        <f t="shared" ca="1" si="169"/>
        <v>84</v>
      </c>
      <c r="C929" t="str">
        <f t="shared" ca="1" si="170"/>
        <v>Female</v>
      </c>
      <c r="D929" s="1">
        <f t="shared" ca="1" si="171"/>
        <v>45601</v>
      </c>
      <c r="E929" s="1">
        <f t="shared" ca="1" si="172"/>
        <v>45609</v>
      </c>
      <c r="F929" t="str">
        <f t="shared" ca="1" si="173"/>
        <v>Hypertension</v>
      </c>
      <c r="G929" t="str">
        <f t="shared" ca="1" si="174"/>
        <v>Surgery</v>
      </c>
      <c r="H929">
        <f t="shared" ca="1" si="175"/>
        <v>8</v>
      </c>
      <c r="I929" t="str">
        <f t="shared" ca="1" si="176"/>
        <v>No</v>
      </c>
      <c r="J929">
        <f t="shared" ca="1" si="177"/>
        <v>1</v>
      </c>
      <c r="K929" t="str">
        <f t="shared" ca="1" si="178"/>
        <v>None</v>
      </c>
      <c r="L929" t="str">
        <f t="shared" ca="1" si="179"/>
        <v>ER</v>
      </c>
    </row>
    <row r="930" spans="1:12" x14ac:dyDescent="0.25">
      <c r="A930">
        <f t="shared" si="168"/>
        <v>929</v>
      </c>
      <c r="B930">
        <f t="shared" ca="1" si="169"/>
        <v>39</v>
      </c>
      <c r="C930" t="str">
        <f t="shared" ca="1" si="170"/>
        <v>Male</v>
      </c>
      <c r="D930" s="1">
        <f t="shared" ca="1" si="171"/>
        <v>45474</v>
      </c>
      <c r="E930" s="1">
        <f t="shared" ca="1" si="172"/>
        <v>45486</v>
      </c>
      <c r="F930" t="str">
        <f t="shared" ca="1" si="173"/>
        <v>Stroke</v>
      </c>
      <c r="G930" t="str">
        <f t="shared" ca="1" si="174"/>
        <v>Medication</v>
      </c>
      <c r="H930">
        <f t="shared" ca="1" si="175"/>
        <v>12</v>
      </c>
      <c r="I930" t="str">
        <f t="shared" ca="1" si="176"/>
        <v>No</v>
      </c>
      <c r="J930">
        <f t="shared" ca="1" si="177"/>
        <v>3</v>
      </c>
      <c r="K930" t="str">
        <f t="shared" ca="1" si="178"/>
        <v>Public</v>
      </c>
      <c r="L930" t="str">
        <f t="shared" ca="1" si="179"/>
        <v>General</v>
      </c>
    </row>
    <row r="931" spans="1:12" x14ac:dyDescent="0.25">
      <c r="A931">
        <f t="shared" si="168"/>
        <v>930</v>
      </c>
      <c r="B931">
        <f t="shared" ca="1" si="169"/>
        <v>48</v>
      </c>
      <c r="C931" t="str">
        <f t="shared" ca="1" si="170"/>
        <v>Male</v>
      </c>
      <c r="D931" s="1">
        <f t="shared" ca="1" si="171"/>
        <v>45609</v>
      </c>
      <c r="E931" s="1">
        <f t="shared" ca="1" si="172"/>
        <v>45624</v>
      </c>
      <c r="F931" t="str">
        <f t="shared" ca="1" si="173"/>
        <v>Heart Failure</v>
      </c>
      <c r="G931" t="str">
        <f t="shared" ca="1" si="174"/>
        <v>Medication</v>
      </c>
      <c r="H931">
        <f t="shared" ca="1" si="175"/>
        <v>15</v>
      </c>
      <c r="I931" t="str">
        <f t="shared" ca="1" si="176"/>
        <v>Yes</v>
      </c>
      <c r="J931">
        <f t="shared" ca="1" si="177"/>
        <v>1</v>
      </c>
      <c r="K931" t="str">
        <f t="shared" ca="1" si="178"/>
        <v>Private</v>
      </c>
      <c r="L931" t="str">
        <f t="shared" ca="1" si="179"/>
        <v>Neurology</v>
      </c>
    </row>
    <row r="932" spans="1:12" x14ac:dyDescent="0.25">
      <c r="A932">
        <f t="shared" si="168"/>
        <v>931</v>
      </c>
      <c r="B932">
        <f t="shared" ca="1" si="169"/>
        <v>50</v>
      </c>
      <c r="C932" t="str">
        <f t="shared" ca="1" si="170"/>
        <v>Female</v>
      </c>
      <c r="D932" s="1">
        <f t="shared" ca="1" si="171"/>
        <v>45410</v>
      </c>
      <c r="E932" s="1">
        <f t="shared" ca="1" si="172"/>
        <v>45411</v>
      </c>
      <c r="F932" t="str">
        <f t="shared" ca="1" si="173"/>
        <v>Diabetes</v>
      </c>
      <c r="G932" t="str">
        <f t="shared" ca="1" si="174"/>
        <v>Surgery</v>
      </c>
      <c r="H932">
        <f t="shared" ca="1" si="175"/>
        <v>1</v>
      </c>
      <c r="I932" t="str">
        <f t="shared" ca="1" si="176"/>
        <v>No</v>
      </c>
      <c r="J932">
        <f t="shared" ca="1" si="177"/>
        <v>2</v>
      </c>
      <c r="K932" t="str">
        <f t="shared" ca="1" si="178"/>
        <v>None</v>
      </c>
      <c r="L932" t="str">
        <f t="shared" ca="1" si="179"/>
        <v>ER</v>
      </c>
    </row>
    <row r="933" spans="1:12" x14ac:dyDescent="0.25">
      <c r="A933">
        <f t="shared" si="168"/>
        <v>932</v>
      </c>
      <c r="B933">
        <f t="shared" ca="1" si="169"/>
        <v>68</v>
      </c>
      <c r="C933" t="str">
        <f t="shared" ca="1" si="170"/>
        <v>Male</v>
      </c>
      <c r="D933" s="1">
        <f t="shared" ca="1" si="171"/>
        <v>45483</v>
      </c>
      <c r="E933" s="1">
        <f t="shared" ca="1" si="172"/>
        <v>45496</v>
      </c>
      <c r="F933" t="str">
        <f t="shared" ca="1" si="173"/>
        <v>Stroke</v>
      </c>
      <c r="G933" t="str">
        <f t="shared" ca="1" si="174"/>
        <v>Surgery</v>
      </c>
      <c r="H933">
        <f t="shared" ca="1" si="175"/>
        <v>13</v>
      </c>
      <c r="I933" t="str">
        <f t="shared" ca="1" si="176"/>
        <v>No</v>
      </c>
      <c r="J933">
        <f t="shared" ca="1" si="177"/>
        <v>3</v>
      </c>
      <c r="K933" t="str">
        <f t="shared" ca="1" si="178"/>
        <v>Private</v>
      </c>
      <c r="L933" t="str">
        <f t="shared" ca="1" si="179"/>
        <v>ICU</v>
      </c>
    </row>
    <row r="934" spans="1:12" x14ac:dyDescent="0.25">
      <c r="A934">
        <f t="shared" si="168"/>
        <v>933</v>
      </c>
      <c r="B934">
        <f t="shared" ca="1" si="169"/>
        <v>27</v>
      </c>
      <c r="C934" t="str">
        <f t="shared" ca="1" si="170"/>
        <v>Female</v>
      </c>
      <c r="D934" s="1">
        <f t="shared" ca="1" si="171"/>
        <v>45316</v>
      </c>
      <c r="E934" s="1">
        <f t="shared" ca="1" si="172"/>
        <v>45323</v>
      </c>
      <c r="F934" t="str">
        <f t="shared" ca="1" si="173"/>
        <v>Hypertension</v>
      </c>
      <c r="G934" t="str">
        <f t="shared" ca="1" si="174"/>
        <v>Therapy</v>
      </c>
      <c r="H934">
        <f t="shared" ca="1" si="175"/>
        <v>7</v>
      </c>
      <c r="I934" t="str">
        <f t="shared" ca="1" si="176"/>
        <v>No</v>
      </c>
      <c r="J934">
        <f t="shared" ca="1" si="177"/>
        <v>3</v>
      </c>
      <c r="K934" t="str">
        <f t="shared" ca="1" si="178"/>
        <v>Public</v>
      </c>
      <c r="L934" t="str">
        <f t="shared" ca="1" si="179"/>
        <v>ER</v>
      </c>
    </row>
    <row r="935" spans="1:12" x14ac:dyDescent="0.25">
      <c r="A935">
        <f t="shared" si="168"/>
        <v>934</v>
      </c>
      <c r="B935">
        <f t="shared" ca="1" si="169"/>
        <v>90</v>
      </c>
      <c r="C935" t="str">
        <f t="shared" ca="1" si="170"/>
        <v>Female</v>
      </c>
      <c r="D935" s="1">
        <f t="shared" ca="1" si="171"/>
        <v>45324</v>
      </c>
      <c r="E935" s="1">
        <f t="shared" ca="1" si="172"/>
        <v>45325</v>
      </c>
      <c r="F935" t="str">
        <f t="shared" ca="1" si="173"/>
        <v>Heart Failure</v>
      </c>
      <c r="G935" t="str">
        <f t="shared" ca="1" si="174"/>
        <v>Surgery</v>
      </c>
      <c r="H935">
        <f t="shared" ca="1" si="175"/>
        <v>1</v>
      </c>
      <c r="I935" t="str">
        <f t="shared" ca="1" si="176"/>
        <v>No</v>
      </c>
      <c r="J935">
        <f t="shared" ca="1" si="177"/>
        <v>1</v>
      </c>
      <c r="K935" t="str">
        <f t="shared" ca="1" si="178"/>
        <v>None</v>
      </c>
      <c r="L935" t="str">
        <f t="shared" ca="1" si="179"/>
        <v>General</v>
      </c>
    </row>
    <row r="936" spans="1:12" x14ac:dyDescent="0.25">
      <c r="A936">
        <f t="shared" si="168"/>
        <v>935</v>
      </c>
      <c r="B936">
        <f t="shared" ca="1" si="169"/>
        <v>28</v>
      </c>
      <c r="C936" t="str">
        <f t="shared" ca="1" si="170"/>
        <v>Male</v>
      </c>
      <c r="D936" s="1">
        <f t="shared" ca="1" si="171"/>
        <v>45524</v>
      </c>
      <c r="E936" s="1">
        <f t="shared" ca="1" si="172"/>
        <v>45525</v>
      </c>
      <c r="F936" t="str">
        <f t="shared" ca="1" si="173"/>
        <v>Pneumonia</v>
      </c>
      <c r="G936" t="str">
        <f t="shared" ca="1" si="174"/>
        <v>Therapy</v>
      </c>
      <c r="H936">
        <f t="shared" ca="1" si="175"/>
        <v>1</v>
      </c>
      <c r="I936" t="str">
        <f t="shared" ca="1" si="176"/>
        <v>Yes</v>
      </c>
      <c r="J936">
        <f t="shared" ca="1" si="177"/>
        <v>3</v>
      </c>
      <c r="K936" t="str">
        <f t="shared" ca="1" si="178"/>
        <v>Private</v>
      </c>
      <c r="L936" t="str">
        <f t="shared" ca="1" si="179"/>
        <v>General</v>
      </c>
    </row>
    <row r="937" spans="1:12" x14ac:dyDescent="0.25">
      <c r="A937">
        <f t="shared" si="168"/>
        <v>936</v>
      </c>
      <c r="B937">
        <f t="shared" ca="1" si="169"/>
        <v>85</v>
      </c>
      <c r="C937" t="str">
        <f t="shared" ca="1" si="170"/>
        <v>Male</v>
      </c>
      <c r="D937" s="1">
        <f t="shared" ca="1" si="171"/>
        <v>45584</v>
      </c>
      <c r="E937" s="1">
        <f t="shared" ca="1" si="172"/>
        <v>45598</v>
      </c>
      <c r="F937" t="str">
        <f t="shared" ca="1" si="173"/>
        <v>Pneumonia</v>
      </c>
      <c r="G937" t="str">
        <f t="shared" ca="1" si="174"/>
        <v>Therapy</v>
      </c>
      <c r="H937">
        <f t="shared" ca="1" si="175"/>
        <v>14</v>
      </c>
      <c r="I937" t="str">
        <f t="shared" ca="1" si="176"/>
        <v>No</v>
      </c>
      <c r="J937">
        <f t="shared" ca="1" si="177"/>
        <v>4</v>
      </c>
      <c r="K937" t="str">
        <f t="shared" ca="1" si="178"/>
        <v>None</v>
      </c>
      <c r="L937" t="str">
        <f t="shared" ca="1" si="179"/>
        <v>Cardiology</v>
      </c>
    </row>
    <row r="938" spans="1:12" x14ac:dyDescent="0.25">
      <c r="A938">
        <f t="shared" si="168"/>
        <v>937</v>
      </c>
      <c r="B938">
        <f t="shared" ca="1" si="169"/>
        <v>72</v>
      </c>
      <c r="C938" t="str">
        <f t="shared" ca="1" si="170"/>
        <v>Female</v>
      </c>
      <c r="D938" s="1">
        <f t="shared" ca="1" si="171"/>
        <v>45410</v>
      </c>
      <c r="E938" s="1">
        <f t="shared" ca="1" si="172"/>
        <v>45419</v>
      </c>
      <c r="F938" t="str">
        <f t="shared" ca="1" si="173"/>
        <v>Pneumonia</v>
      </c>
      <c r="G938" t="str">
        <f t="shared" ca="1" si="174"/>
        <v>Therapy</v>
      </c>
      <c r="H938">
        <f t="shared" ca="1" si="175"/>
        <v>9</v>
      </c>
      <c r="I938" t="str">
        <f t="shared" ca="1" si="176"/>
        <v>No</v>
      </c>
      <c r="J938">
        <f t="shared" ca="1" si="177"/>
        <v>4</v>
      </c>
      <c r="K938" t="str">
        <f t="shared" ca="1" si="178"/>
        <v>None</v>
      </c>
      <c r="L938" t="str">
        <f t="shared" ca="1" si="179"/>
        <v>ICU</v>
      </c>
    </row>
    <row r="939" spans="1:12" x14ac:dyDescent="0.25">
      <c r="A939">
        <f t="shared" si="168"/>
        <v>938</v>
      </c>
      <c r="B939">
        <f t="shared" ca="1" si="169"/>
        <v>77</v>
      </c>
      <c r="C939" t="str">
        <f t="shared" ca="1" si="170"/>
        <v>Male</v>
      </c>
      <c r="D939" s="1">
        <f t="shared" ca="1" si="171"/>
        <v>45628</v>
      </c>
      <c r="E939" s="1">
        <f t="shared" ca="1" si="172"/>
        <v>45636</v>
      </c>
      <c r="F939" t="str">
        <f t="shared" ca="1" si="173"/>
        <v>Hypertension</v>
      </c>
      <c r="G939" t="str">
        <f t="shared" ca="1" si="174"/>
        <v>Medication</v>
      </c>
      <c r="H939">
        <f t="shared" ca="1" si="175"/>
        <v>8</v>
      </c>
      <c r="I939" t="str">
        <f t="shared" ca="1" si="176"/>
        <v>No</v>
      </c>
      <c r="J939">
        <f t="shared" ca="1" si="177"/>
        <v>1</v>
      </c>
      <c r="K939" t="str">
        <f t="shared" ca="1" si="178"/>
        <v>None</v>
      </c>
      <c r="L939" t="str">
        <f t="shared" ca="1" si="179"/>
        <v>ER</v>
      </c>
    </row>
    <row r="940" spans="1:12" x14ac:dyDescent="0.25">
      <c r="A940">
        <f t="shared" si="168"/>
        <v>939</v>
      </c>
      <c r="B940">
        <f t="shared" ca="1" si="169"/>
        <v>25</v>
      </c>
      <c r="C940" t="str">
        <f t="shared" ca="1" si="170"/>
        <v>Female</v>
      </c>
      <c r="D940" s="1">
        <f t="shared" ca="1" si="171"/>
        <v>45625</v>
      </c>
      <c r="E940" s="1">
        <f t="shared" ca="1" si="172"/>
        <v>45634</v>
      </c>
      <c r="F940" t="str">
        <f t="shared" ca="1" si="173"/>
        <v>Hypertension</v>
      </c>
      <c r="G940" t="str">
        <f t="shared" ca="1" si="174"/>
        <v>Medication</v>
      </c>
      <c r="H940">
        <f t="shared" ca="1" si="175"/>
        <v>9</v>
      </c>
      <c r="I940" t="str">
        <f t="shared" ca="1" si="176"/>
        <v>No</v>
      </c>
      <c r="J940">
        <f t="shared" ca="1" si="177"/>
        <v>2</v>
      </c>
      <c r="K940" t="str">
        <f t="shared" ca="1" si="178"/>
        <v>None</v>
      </c>
      <c r="L940" t="str">
        <f t="shared" ca="1" si="179"/>
        <v>Cardiology</v>
      </c>
    </row>
    <row r="941" spans="1:12" x14ac:dyDescent="0.25">
      <c r="A941">
        <f t="shared" si="168"/>
        <v>940</v>
      </c>
      <c r="B941">
        <f t="shared" ca="1" si="169"/>
        <v>50</v>
      </c>
      <c r="C941" t="str">
        <f t="shared" ca="1" si="170"/>
        <v>Male</v>
      </c>
      <c r="D941" s="1">
        <f t="shared" ca="1" si="171"/>
        <v>45605</v>
      </c>
      <c r="E941" s="1">
        <f t="shared" ca="1" si="172"/>
        <v>45607</v>
      </c>
      <c r="F941" t="str">
        <f t="shared" ca="1" si="173"/>
        <v>Pneumonia</v>
      </c>
      <c r="G941" t="str">
        <f t="shared" ca="1" si="174"/>
        <v>Therapy</v>
      </c>
      <c r="H941">
        <f t="shared" ca="1" si="175"/>
        <v>2</v>
      </c>
      <c r="I941" t="str">
        <f t="shared" ca="1" si="176"/>
        <v>Yes</v>
      </c>
      <c r="J941">
        <f t="shared" ca="1" si="177"/>
        <v>4</v>
      </c>
      <c r="K941" t="str">
        <f t="shared" ca="1" si="178"/>
        <v>None</v>
      </c>
      <c r="L941" t="str">
        <f t="shared" ca="1" si="179"/>
        <v>ICU</v>
      </c>
    </row>
    <row r="942" spans="1:12" x14ac:dyDescent="0.25">
      <c r="A942">
        <f t="shared" si="168"/>
        <v>941</v>
      </c>
      <c r="B942">
        <f t="shared" ca="1" si="169"/>
        <v>48</v>
      </c>
      <c r="C942" t="str">
        <f t="shared" ca="1" si="170"/>
        <v>Female</v>
      </c>
      <c r="D942" s="1">
        <f t="shared" ca="1" si="171"/>
        <v>45489</v>
      </c>
      <c r="E942" s="1">
        <f t="shared" ca="1" si="172"/>
        <v>45501</v>
      </c>
      <c r="F942" t="str">
        <f t="shared" ca="1" si="173"/>
        <v>Hypertension</v>
      </c>
      <c r="G942" t="str">
        <f t="shared" ca="1" si="174"/>
        <v>Surgery</v>
      </c>
      <c r="H942">
        <f t="shared" ca="1" si="175"/>
        <v>12</v>
      </c>
      <c r="I942" t="str">
        <f t="shared" ca="1" si="176"/>
        <v>Yes</v>
      </c>
      <c r="J942">
        <f t="shared" ca="1" si="177"/>
        <v>2</v>
      </c>
      <c r="K942" t="str">
        <f t="shared" ca="1" si="178"/>
        <v>None</v>
      </c>
      <c r="L942" t="str">
        <f t="shared" ca="1" si="179"/>
        <v>Cardiology</v>
      </c>
    </row>
    <row r="943" spans="1:12" x14ac:dyDescent="0.25">
      <c r="A943">
        <f t="shared" si="168"/>
        <v>942</v>
      </c>
      <c r="B943">
        <f t="shared" ca="1" si="169"/>
        <v>37</v>
      </c>
      <c r="C943" t="str">
        <f t="shared" ca="1" si="170"/>
        <v>Male</v>
      </c>
      <c r="D943" s="1">
        <f t="shared" ca="1" si="171"/>
        <v>45336</v>
      </c>
      <c r="E943" s="1">
        <f t="shared" ca="1" si="172"/>
        <v>45347</v>
      </c>
      <c r="F943" t="str">
        <f t="shared" ca="1" si="173"/>
        <v>Heart Failure</v>
      </c>
      <c r="G943" t="str">
        <f t="shared" ca="1" si="174"/>
        <v>Surgery</v>
      </c>
      <c r="H943">
        <f t="shared" ca="1" si="175"/>
        <v>11</v>
      </c>
      <c r="I943" t="str">
        <f t="shared" ca="1" si="176"/>
        <v>No</v>
      </c>
      <c r="J943">
        <f t="shared" ca="1" si="177"/>
        <v>3</v>
      </c>
      <c r="K943" t="str">
        <f t="shared" ca="1" si="178"/>
        <v>Public</v>
      </c>
      <c r="L943" t="str">
        <f t="shared" ca="1" si="179"/>
        <v>General</v>
      </c>
    </row>
    <row r="944" spans="1:12" x14ac:dyDescent="0.25">
      <c r="A944">
        <f t="shared" si="168"/>
        <v>943</v>
      </c>
      <c r="B944">
        <f t="shared" ca="1" si="169"/>
        <v>66</v>
      </c>
      <c r="C944" t="str">
        <f t="shared" ca="1" si="170"/>
        <v>Female</v>
      </c>
      <c r="D944" s="1">
        <f t="shared" ca="1" si="171"/>
        <v>45373</v>
      </c>
      <c r="E944" s="1">
        <f t="shared" ca="1" si="172"/>
        <v>45374</v>
      </c>
      <c r="F944" t="str">
        <f t="shared" ca="1" si="173"/>
        <v>Pneumonia</v>
      </c>
      <c r="G944" t="str">
        <f t="shared" ca="1" si="174"/>
        <v>Surgery</v>
      </c>
      <c r="H944">
        <f t="shared" ca="1" si="175"/>
        <v>1</v>
      </c>
      <c r="I944" t="str">
        <f t="shared" ca="1" si="176"/>
        <v>No</v>
      </c>
      <c r="J944">
        <f t="shared" ca="1" si="177"/>
        <v>0</v>
      </c>
      <c r="K944" t="str">
        <f t="shared" ca="1" si="178"/>
        <v>None</v>
      </c>
      <c r="L944" t="str">
        <f t="shared" ca="1" si="179"/>
        <v>ICU</v>
      </c>
    </row>
    <row r="945" spans="1:12" x14ac:dyDescent="0.25">
      <c r="A945">
        <f t="shared" si="168"/>
        <v>944</v>
      </c>
      <c r="B945">
        <f t="shared" ca="1" si="169"/>
        <v>37</v>
      </c>
      <c r="C945" t="str">
        <f t="shared" ca="1" si="170"/>
        <v>Male</v>
      </c>
      <c r="D945" s="1">
        <f t="shared" ca="1" si="171"/>
        <v>45404</v>
      </c>
      <c r="E945" s="1">
        <f t="shared" ca="1" si="172"/>
        <v>45415</v>
      </c>
      <c r="F945" t="str">
        <f t="shared" ca="1" si="173"/>
        <v>Hypertension</v>
      </c>
      <c r="G945" t="str">
        <f t="shared" ca="1" si="174"/>
        <v>Medication</v>
      </c>
      <c r="H945">
        <f t="shared" ca="1" si="175"/>
        <v>11</v>
      </c>
      <c r="I945" t="str">
        <f t="shared" ca="1" si="176"/>
        <v>No</v>
      </c>
      <c r="J945">
        <f t="shared" ca="1" si="177"/>
        <v>1</v>
      </c>
      <c r="K945" t="str">
        <f t="shared" ca="1" si="178"/>
        <v>Public</v>
      </c>
      <c r="L945" t="str">
        <f t="shared" ca="1" si="179"/>
        <v>Neurology</v>
      </c>
    </row>
    <row r="946" spans="1:12" x14ac:dyDescent="0.25">
      <c r="A946">
        <f t="shared" si="168"/>
        <v>945</v>
      </c>
      <c r="B946">
        <f t="shared" ca="1" si="169"/>
        <v>63</v>
      </c>
      <c r="C946" t="str">
        <f t="shared" ca="1" si="170"/>
        <v>Male</v>
      </c>
      <c r="D946" s="1">
        <f t="shared" ca="1" si="171"/>
        <v>45318</v>
      </c>
      <c r="E946" s="1">
        <f t="shared" ca="1" si="172"/>
        <v>45322</v>
      </c>
      <c r="F946" t="str">
        <f t="shared" ca="1" si="173"/>
        <v>Stroke</v>
      </c>
      <c r="G946" t="str">
        <f t="shared" ca="1" si="174"/>
        <v>Surgery</v>
      </c>
      <c r="H946">
        <f t="shared" ca="1" si="175"/>
        <v>4</v>
      </c>
      <c r="I946" t="str">
        <f t="shared" ca="1" si="176"/>
        <v>No</v>
      </c>
      <c r="J946">
        <f t="shared" ca="1" si="177"/>
        <v>4</v>
      </c>
      <c r="K946" t="str">
        <f t="shared" ca="1" si="178"/>
        <v>None</v>
      </c>
      <c r="L946" t="str">
        <f t="shared" ca="1" si="179"/>
        <v>General</v>
      </c>
    </row>
    <row r="947" spans="1:12" x14ac:dyDescent="0.25">
      <c r="A947">
        <f t="shared" si="168"/>
        <v>946</v>
      </c>
      <c r="B947">
        <f t="shared" ca="1" si="169"/>
        <v>26</v>
      </c>
      <c r="C947" t="str">
        <f t="shared" ca="1" si="170"/>
        <v>Male</v>
      </c>
      <c r="D947" s="1">
        <f t="shared" ca="1" si="171"/>
        <v>45470</v>
      </c>
      <c r="E947" s="1">
        <f t="shared" ca="1" si="172"/>
        <v>45479</v>
      </c>
      <c r="F947" t="str">
        <f t="shared" ca="1" si="173"/>
        <v>Pneumonia</v>
      </c>
      <c r="G947" t="str">
        <f t="shared" ca="1" si="174"/>
        <v>Therapy</v>
      </c>
      <c r="H947">
        <f t="shared" ca="1" si="175"/>
        <v>9</v>
      </c>
      <c r="I947" t="str">
        <f t="shared" ca="1" si="176"/>
        <v>Yes</v>
      </c>
      <c r="J947">
        <f t="shared" ca="1" si="177"/>
        <v>3</v>
      </c>
      <c r="K947" t="str">
        <f t="shared" ca="1" si="178"/>
        <v>None</v>
      </c>
      <c r="L947" t="str">
        <f t="shared" ca="1" si="179"/>
        <v>ICU</v>
      </c>
    </row>
    <row r="948" spans="1:12" x14ac:dyDescent="0.25">
      <c r="A948">
        <f t="shared" si="168"/>
        <v>947</v>
      </c>
      <c r="B948">
        <f t="shared" ca="1" si="169"/>
        <v>33</v>
      </c>
      <c r="C948" t="str">
        <f t="shared" ca="1" si="170"/>
        <v>Female</v>
      </c>
      <c r="D948" s="1">
        <f t="shared" ca="1" si="171"/>
        <v>45341</v>
      </c>
      <c r="E948" s="1">
        <f t="shared" ca="1" si="172"/>
        <v>45352</v>
      </c>
      <c r="F948" t="str">
        <f t="shared" ca="1" si="173"/>
        <v>Heart Failure</v>
      </c>
      <c r="G948" t="str">
        <f t="shared" ca="1" si="174"/>
        <v>Surgery</v>
      </c>
      <c r="H948">
        <f t="shared" ca="1" si="175"/>
        <v>11</v>
      </c>
      <c r="I948" t="str">
        <f t="shared" ca="1" si="176"/>
        <v>Yes</v>
      </c>
      <c r="J948">
        <f t="shared" ca="1" si="177"/>
        <v>0</v>
      </c>
      <c r="K948" t="str">
        <f t="shared" ca="1" si="178"/>
        <v>Private</v>
      </c>
      <c r="L948" t="str">
        <f t="shared" ca="1" si="179"/>
        <v>ICU</v>
      </c>
    </row>
    <row r="949" spans="1:12" x14ac:dyDescent="0.25">
      <c r="A949">
        <f t="shared" si="168"/>
        <v>948</v>
      </c>
      <c r="B949">
        <f t="shared" ca="1" si="169"/>
        <v>43</v>
      </c>
      <c r="C949" t="str">
        <f t="shared" ca="1" si="170"/>
        <v>Male</v>
      </c>
      <c r="D949" s="1">
        <f t="shared" ca="1" si="171"/>
        <v>45421</v>
      </c>
      <c r="E949" s="1">
        <f t="shared" ca="1" si="172"/>
        <v>45429</v>
      </c>
      <c r="F949" t="str">
        <f t="shared" ca="1" si="173"/>
        <v>Hypertension</v>
      </c>
      <c r="G949" t="str">
        <f t="shared" ca="1" si="174"/>
        <v>Surgery</v>
      </c>
      <c r="H949">
        <f t="shared" ca="1" si="175"/>
        <v>8</v>
      </c>
      <c r="I949" t="str">
        <f t="shared" ca="1" si="176"/>
        <v>No</v>
      </c>
      <c r="J949">
        <f t="shared" ca="1" si="177"/>
        <v>4</v>
      </c>
      <c r="K949" t="str">
        <f t="shared" ca="1" si="178"/>
        <v>Public</v>
      </c>
      <c r="L949" t="str">
        <f t="shared" ca="1" si="179"/>
        <v>General</v>
      </c>
    </row>
    <row r="950" spans="1:12" x14ac:dyDescent="0.25">
      <c r="A950">
        <f t="shared" si="168"/>
        <v>949</v>
      </c>
      <c r="B950">
        <f t="shared" ca="1" si="169"/>
        <v>87</v>
      </c>
      <c r="C950" t="str">
        <f t="shared" ca="1" si="170"/>
        <v>Female</v>
      </c>
      <c r="D950" s="1">
        <f t="shared" ca="1" si="171"/>
        <v>45413</v>
      </c>
      <c r="E950" s="1">
        <f t="shared" ca="1" si="172"/>
        <v>45414</v>
      </c>
      <c r="F950" t="str">
        <f t="shared" ca="1" si="173"/>
        <v>Hypertension</v>
      </c>
      <c r="G950" t="str">
        <f t="shared" ca="1" si="174"/>
        <v>Therapy</v>
      </c>
      <c r="H950">
        <f t="shared" ca="1" si="175"/>
        <v>1</v>
      </c>
      <c r="I950" t="str">
        <f t="shared" ca="1" si="176"/>
        <v>Yes</v>
      </c>
      <c r="J950">
        <f t="shared" ca="1" si="177"/>
        <v>2</v>
      </c>
      <c r="K950" t="str">
        <f t="shared" ca="1" si="178"/>
        <v>None</v>
      </c>
      <c r="L950" t="str">
        <f t="shared" ca="1" si="179"/>
        <v>ER</v>
      </c>
    </row>
    <row r="951" spans="1:12" x14ac:dyDescent="0.25">
      <c r="A951">
        <f t="shared" si="168"/>
        <v>950</v>
      </c>
      <c r="B951">
        <f t="shared" ca="1" si="169"/>
        <v>36</v>
      </c>
      <c r="C951" t="str">
        <f t="shared" ca="1" si="170"/>
        <v>Female</v>
      </c>
      <c r="D951" s="1">
        <f t="shared" ca="1" si="171"/>
        <v>45348</v>
      </c>
      <c r="E951" s="1">
        <f t="shared" ca="1" si="172"/>
        <v>45355</v>
      </c>
      <c r="F951" t="str">
        <f t="shared" ca="1" si="173"/>
        <v>Hypertension</v>
      </c>
      <c r="G951" t="str">
        <f t="shared" ca="1" si="174"/>
        <v>Therapy</v>
      </c>
      <c r="H951">
        <f t="shared" ca="1" si="175"/>
        <v>7</v>
      </c>
      <c r="I951" t="str">
        <f t="shared" ca="1" si="176"/>
        <v>No</v>
      </c>
      <c r="J951">
        <f t="shared" ca="1" si="177"/>
        <v>2</v>
      </c>
      <c r="K951" t="str">
        <f t="shared" ca="1" si="178"/>
        <v>None</v>
      </c>
      <c r="L951" t="str">
        <f t="shared" ca="1" si="179"/>
        <v>ICU</v>
      </c>
    </row>
    <row r="952" spans="1:12" x14ac:dyDescent="0.25">
      <c r="A952">
        <f t="shared" si="168"/>
        <v>951</v>
      </c>
      <c r="B952">
        <f t="shared" ca="1" si="169"/>
        <v>34</v>
      </c>
      <c r="C952" t="str">
        <f t="shared" ca="1" si="170"/>
        <v>Male</v>
      </c>
      <c r="D952" s="1">
        <f t="shared" ca="1" si="171"/>
        <v>45373</v>
      </c>
      <c r="E952" s="1">
        <f t="shared" ca="1" si="172"/>
        <v>45378</v>
      </c>
      <c r="F952" t="str">
        <f t="shared" ca="1" si="173"/>
        <v>Stroke</v>
      </c>
      <c r="G952" t="str">
        <f t="shared" ca="1" si="174"/>
        <v>Surgery</v>
      </c>
      <c r="H952">
        <f t="shared" ca="1" si="175"/>
        <v>5</v>
      </c>
      <c r="I952" t="str">
        <f t="shared" ca="1" si="176"/>
        <v>Yes</v>
      </c>
      <c r="J952">
        <f t="shared" ca="1" si="177"/>
        <v>4</v>
      </c>
      <c r="K952" t="str">
        <f t="shared" ca="1" si="178"/>
        <v>None</v>
      </c>
      <c r="L952" t="str">
        <f t="shared" ca="1" si="179"/>
        <v>ICU</v>
      </c>
    </row>
    <row r="953" spans="1:12" x14ac:dyDescent="0.25">
      <c r="A953">
        <f t="shared" si="168"/>
        <v>952</v>
      </c>
      <c r="B953">
        <f t="shared" ca="1" si="169"/>
        <v>75</v>
      </c>
      <c r="C953" t="str">
        <f t="shared" ca="1" si="170"/>
        <v>Male</v>
      </c>
      <c r="D953" s="1">
        <f t="shared" ca="1" si="171"/>
        <v>45472</v>
      </c>
      <c r="E953" s="1">
        <f t="shared" ca="1" si="172"/>
        <v>45479</v>
      </c>
      <c r="F953" t="str">
        <f t="shared" ca="1" si="173"/>
        <v>Pneumonia</v>
      </c>
      <c r="G953" t="str">
        <f t="shared" ca="1" si="174"/>
        <v>Medication</v>
      </c>
      <c r="H953">
        <f t="shared" ca="1" si="175"/>
        <v>7</v>
      </c>
      <c r="I953" t="str">
        <f t="shared" ca="1" si="176"/>
        <v>Yes</v>
      </c>
      <c r="J953">
        <f t="shared" ca="1" si="177"/>
        <v>3</v>
      </c>
      <c r="K953" t="str">
        <f t="shared" ca="1" si="178"/>
        <v>Private</v>
      </c>
      <c r="L953" t="str">
        <f t="shared" ca="1" si="179"/>
        <v>Neurology</v>
      </c>
    </row>
    <row r="954" spans="1:12" x14ac:dyDescent="0.25">
      <c r="A954">
        <f t="shared" si="168"/>
        <v>953</v>
      </c>
      <c r="B954">
        <f t="shared" ca="1" si="169"/>
        <v>83</v>
      </c>
      <c r="C954" t="str">
        <f t="shared" ca="1" si="170"/>
        <v>Male</v>
      </c>
      <c r="D954" s="1">
        <f t="shared" ca="1" si="171"/>
        <v>45362</v>
      </c>
      <c r="E954" s="1">
        <f t="shared" ca="1" si="172"/>
        <v>45363</v>
      </c>
      <c r="F954" t="str">
        <f t="shared" ca="1" si="173"/>
        <v>Pneumonia</v>
      </c>
      <c r="G954" t="str">
        <f t="shared" ca="1" si="174"/>
        <v>Therapy</v>
      </c>
      <c r="H954">
        <f t="shared" ca="1" si="175"/>
        <v>1</v>
      </c>
      <c r="I954" t="str">
        <f t="shared" ca="1" si="176"/>
        <v>No</v>
      </c>
      <c r="J954">
        <f t="shared" ca="1" si="177"/>
        <v>4</v>
      </c>
      <c r="K954" t="str">
        <f t="shared" ca="1" si="178"/>
        <v>Private</v>
      </c>
      <c r="L954" t="str">
        <f t="shared" ca="1" si="179"/>
        <v>Cardiology</v>
      </c>
    </row>
    <row r="955" spans="1:12" x14ac:dyDescent="0.25">
      <c r="A955">
        <f t="shared" si="168"/>
        <v>954</v>
      </c>
      <c r="B955">
        <f t="shared" ca="1" si="169"/>
        <v>54</v>
      </c>
      <c r="C955" t="str">
        <f t="shared" ca="1" si="170"/>
        <v>Male</v>
      </c>
      <c r="D955" s="1">
        <f t="shared" ca="1" si="171"/>
        <v>45434</v>
      </c>
      <c r="E955" s="1">
        <f t="shared" ca="1" si="172"/>
        <v>45442</v>
      </c>
      <c r="F955" t="str">
        <f t="shared" ca="1" si="173"/>
        <v>Stroke</v>
      </c>
      <c r="G955" t="str">
        <f t="shared" ca="1" si="174"/>
        <v>Therapy</v>
      </c>
      <c r="H955">
        <f t="shared" ca="1" si="175"/>
        <v>8</v>
      </c>
      <c r="I955" t="str">
        <f t="shared" ca="1" si="176"/>
        <v>Yes</v>
      </c>
      <c r="J955">
        <f t="shared" ca="1" si="177"/>
        <v>2</v>
      </c>
      <c r="K955" t="str">
        <f t="shared" ca="1" si="178"/>
        <v>None</v>
      </c>
      <c r="L955" t="str">
        <f t="shared" ca="1" si="179"/>
        <v>General</v>
      </c>
    </row>
    <row r="956" spans="1:12" x14ac:dyDescent="0.25">
      <c r="A956">
        <f t="shared" si="168"/>
        <v>955</v>
      </c>
      <c r="B956">
        <f t="shared" ca="1" si="169"/>
        <v>54</v>
      </c>
      <c r="C956" t="str">
        <f t="shared" ca="1" si="170"/>
        <v>Male</v>
      </c>
      <c r="D956" s="1">
        <f t="shared" ca="1" si="171"/>
        <v>45548</v>
      </c>
      <c r="E956" s="1">
        <f t="shared" ca="1" si="172"/>
        <v>45558</v>
      </c>
      <c r="F956" t="str">
        <f t="shared" ca="1" si="173"/>
        <v>Heart Failure</v>
      </c>
      <c r="G956" t="str">
        <f t="shared" ca="1" si="174"/>
        <v>Medication</v>
      </c>
      <c r="H956">
        <f t="shared" ca="1" si="175"/>
        <v>10</v>
      </c>
      <c r="I956" t="str">
        <f t="shared" ca="1" si="176"/>
        <v>No</v>
      </c>
      <c r="J956">
        <f t="shared" ca="1" si="177"/>
        <v>1</v>
      </c>
      <c r="K956" t="str">
        <f t="shared" ca="1" si="178"/>
        <v>Private</v>
      </c>
      <c r="L956" t="str">
        <f t="shared" ca="1" si="179"/>
        <v>ICU</v>
      </c>
    </row>
    <row r="957" spans="1:12" x14ac:dyDescent="0.25">
      <c r="A957">
        <f t="shared" si="168"/>
        <v>956</v>
      </c>
      <c r="B957">
        <f t="shared" ca="1" si="169"/>
        <v>87</v>
      </c>
      <c r="C957" t="str">
        <f t="shared" ca="1" si="170"/>
        <v>Female</v>
      </c>
      <c r="D957" s="1">
        <f t="shared" ca="1" si="171"/>
        <v>45399</v>
      </c>
      <c r="E957" s="1">
        <f t="shared" ca="1" si="172"/>
        <v>45414</v>
      </c>
      <c r="F957" t="str">
        <f t="shared" ca="1" si="173"/>
        <v>Hypertension</v>
      </c>
      <c r="G957" t="str">
        <f t="shared" ca="1" si="174"/>
        <v>Therapy</v>
      </c>
      <c r="H957">
        <f t="shared" ca="1" si="175"/>
        <v>15</v>
      </c>
      <c r="I957" t="str">
        <f t="shared" ca="1" si="176"/>
        <v>No</v>
      </c>
      <c r="J957">
        <f t="shared" ca="1" si="177"/>
        <v>0</v>
      </c>
      <c r="K957" t="str">
        <f t="shared" ca="1" si="178"/>
        <v>Public</v>
      </c>
      <c r="L957" t="str">
        <f t="shared" ca="1" si="179"/>
        <v>Neurology</v>
      </c>
    </row>
    <row r="958" spans="1:12" x14ac:dyDescent="0.25">
      <c r="A958">
        <f t="shared" si="168"/>
        <v>957</v>
      </c>
      <c r="B958">
        <f t="shared" ca="1" si="169"/>
        <v>86</v>
      </c>
      <c r="C958" t="str">
        <f t="shared" ca="1" si="170"/>
        <v>Female</v>
      </c>
      <c r="D958" s="1">
        <f t="shared" ca="1" si="171"/>
        <v>45492</v>
      </c>
      <c r="E958" s="1">
        <f t="shared" ca="1" si="172"/>
        <v>45496</v>
      </c>
      <c r="F958" t="str">
        <f t="shared" ca="1" si="173"/>
        <v>Diabetes</v>
      </c>
      <c r="G958" t="str">
        <f t="shared" ca="1" si="174"/>
        <v>Therapy</v>
      </c>
      <c r="H958">
        <f t="shared" ca="1" si="175"/>
        <v>4</v>
      </c>
      <c r="I958" t="str">
        <f t="shared" ca="1" si="176"/>
        <v>Yes</v>
      </c>
      <c r="J958">
        <f t="shared" ca="1" si="177"/>
        <v>4</v>
      </c>
      <c r="K958" t="str">
        <f t="shared" ca="1" si="178"/>
        <v>Public</v>
      </c>
      <c r="L958" t="str">
        <f t="shared" ca="1" si="179"/>
        <v>Neurology</v>
      </c>
    </row>
    <row r="959" spans="1:12" x14ac:dyDescent="0.25">
      <c r="A959">
        <f t="shared" si="168"/>
        <v>958</v>
      </c>
      <c r="B959">
        <f t="shared" ca="1" si="169"/>
        <v>89</v>
      </c>
      <c r="C959" t="str">
        <f t="shared" ca="1" si="170"/>
        <v>Female</v>
      </c>
      <c r="D959" s="1">
        <f t="shared" ca="1" si="171"/>
        <v>45373</v>
      </c>
      <c r="E959" s="1">
        <f t="shared" ca="1" si="172"/>
        <v>45379</v>
      </c>
      <c r="F959" t="str">
        <f t="shared" ca="1" si="173"/>
        <v>Hypertension</v>
      </c>
      <c r="G959" t="str">
        <f t="shared" ca="1" si="174"/>
        <v>Medication</v>
      </c>
      <c r="H959">
        <f t="shared" ca="1" si="175"/>
        <v>6</v>
      </c>
      <c r="I959" t="str">
        <f t="shared" ca="1" si="176"/>
        <v>Yes</v>
      </c>
      <c r="J959">
        <f t="shared" ca="1" si="177"/>
        <v>0</v>
      </c>
      <c r="K959" t="str">
        <f t="shared" ca="1" si="178"/>
        <v>Private</v>
      </c>
      <c r="L959" t="str">
        <f t="shared" ca="1" si="179"/>
        <v>Neurology</v>
      </c>
    </row>
    <row r="960" spans="1:12" x14ac:dyDescent="0.25">
      <c r="A960">
        <f t="shared" si="168"/>
        <v>959</v>
      </c>
      <c r="B960">
        <f t="shared" ca="1" si="169"/>
        <v>21</v>
      </c>
      <c r="C960" t="str">
        <f t="shared" ca="1" si="170"/>
        <v>Female</v>
      </c>
      <c r="D960" s="1">
        <f t="shared" ca="1" si="171"/>
        <v>45618</v>
      </c>
      <c r="E960" s="1">
        <f t="shared" ca="1" si="172"/>
        <v>45625</v>
      </c>
      <c r="F960" t="str">
        <f t="shared" ca="1" si="173"/>
        <v>Pneumonia</v>
      </c>
      <c r="G960" t="str">
        <f t="shared" ca="1" si="174"/>
        <v>Medication</v>
      </c>
      <c r="H960">
        <f t="shared" ca="1" si="175"/>
        <v>7</v>
      </c>
      <c r="I960" t="str">
        <f t="shared" ca="1" si="176"/>
        <v>No</v>
      </c>
      <c r="J960">
        <f t="shared" ca="1" si="177"/>
        <v>1</v>
      </c>
      <c r="K960" t="str">
        <f t="shared" ca="1" si="178"/>
        <v>Public</v>
      </c>
      <c r="L960" t="str">
        <f t="shared" ca="1" si="179"/>
        <v>Neurology</v>
      </c>
    </row>
    <row r="961" spans="1:12" x14ac:dyDescent="0.25">
      <c r="A961">
        <f t="shared" si="168"/>
        <v>960</v>
      </c>
      <c r="B961">
        <f t="shared" ca="1" si="169"/>
        <v>22</v>
      </c>
      <c r="C961" t="str">
        <f t="shared" ca="1" si="170"/>
        <v>Female</v>
      </c>
      <c r="D961" s="1">
        <f t="shared" ca="1" si="171"/>
        <v>45440</v>
      </c>
      <c r="E961" s="1">
        <f t="shared" ca="1" si="172"/>
        <v>45455</v>
      </c>
      <c r="F961" t="str">
        <f t="shared" ca="1" si="173"/>
        <v>Pneumonia</v>
      </c>
      <c r="G961" t="str">
        <f t="shared" ca="1" si="174"/>
        <v>Surgery</v>
      </c>
      <c r="H961">
        <f t="shared" ca="1" si="175"/>
        <v>15</v>
      </c>
      <c r="I961" t="str">
        <f t="shared" ca="1" si="176"/>
        <v>Yes</v>
      </c>
      <c r="J961">
        <f t="shared" ca="1" si="177"/>
        <v>1</v>
      </c>
      <c r="K961" t="str">
        <f t="shared" ca="1" si="178"/>
        <v>Public</v>
      </c>
      <c r="L961" t="str">
        <f t="shared" ca="1" si="179"/>
        <v>Neurology</v>
      </c>
    </row>
    <row r="962" spans="1:12" x14ac:dyDescent="0.25">
      <c r="A962">
        <f t="shared" si="168"/>
        <v>961</v>
      </c>
      <c r="B962">
        <f t="shared" ca="1" si="169"/>
        <v>70</v>
      </c>
      <c r="C962" t="str">
        <f t="shared" ca="1" si="170"/>
        <v>Female</v>
      </c>
      <c r="D962" s="1">
        <f t="shared" ca="1" si="171"/>
        <v>45385</v>
      </c>
      <c r="E962" s="1">
        <f t="shared" ca="1" si="172"/>
        <v>45393</v>
      </c>
      <c r="F962" t="str">
        <f t="shared" ca="1" si="173"/>
        <v>Pneumonia</v>
      </c>
      <c r="G962" t="str">
        <f t="shared" ca="1" si="174"/>
        <v>Therapy</v>
      </c>
      <c r="H962">
        <f t="shared" ca="1" si="175"/>
        <v>8</v>
      </c>
      <c r="I962" t="str">
        <f t="shared" ca="1" si="176"/>
        <v>No</v>
      </c>
      <c r="J962">
        <f t="shared" ca="1" si="177"/>
        <v>0</v>
      </c>
      <c r="K962" t="str">
        <f t="shared" ca="1" si="178"/>
        <v>Private</v>
      </c>
      <c r="L962" t="str">
        <f t="shared" ca="1" si="179"/>
        <v>Neurology</v>
      </c>
    </row>
    <row r="963" spans="1:12" x14ac:dyDescent="0.25">
      <c r="A963">
        <f t="shared" ref="A963:A1026" si="180">ROW() -1</f>
        <v>962</v>
      </c>
      <c r="B963">
        <f t="shared" ref="B963:B1026" ca="1" si="181">RANDBETWEEN(20,90)</f>
        <v>68</v>
      </c>
      <c r="C963" t="str">
        <f t="shared" ref="C963:C1026" ca="1" si="182">IF(RAND()&lt;0.5,"Male","Female")</f>
        <v>Female</v>
      </c>
      <c r="D963" s="1">
        <f t="shared" ref="D963:D1026" ca="1" si="183">DATE(2024,1,1)+RANDBETWEEN(0,364)</f>
        <v>45383</v>
      </c>
      <c r="E963" s="1">
        <f t="shared" ref="E963:E1026" ca="1" si="184">D963+RANDBETWEEN(1,15)</f>
        <v>45390</v>
      </c>
      <c r="F963" t="str">
        <f t="shared" ref="F963:F1026" ca="1" si="185">CHOOSE(RANDBETWEEN(1,5),"Diabetes","Heart Failure","Pneumonia","Stroke","Hypertension")</f>
        <v>Stroke</v>
      </c>
      <c r="G963" t="str">
        <f t="shared" ref="G963:G1026" ca="1" si="186">CHOOSE(RANDBETWEEN(1,3),"Medication","Surgery","Therapy")</f>
        <v>Therapy</v>
      </c>
      <c r="H963">
        <f t="shared" ref="H963:H1026" ca="1" si="187">DATEDIF(D963,E963,"D")</f>
        <v>7</v>
      </c>
      <c r="I963" t="str">
        <f t="shared" ref="I963:I1026" ca="1" si="188">IF(RAND()&lt;0.3,"Yes","No")</f>
        <v>Yes</v>
      </c>
      <c r="J963">
        <f t="shared" ref="J963:J1026" ca="1" si="189">RANDBETWEEN(0,4)</f>
        <v>3</v>
      </c>
      <c r="K963" t="str">
        <f t="shared" ref="K963:K1026" ca="1" si="190">CHOOSE(RANDBETWEEN(1,3),"Private","Public","None")</f>
        <v>None</v>
      </c>
      <c r="L963" t="str">
        <f t="shared" ref="L963:L1026" ca="1" si="191">CHOOSE(RANDBETWEEN(1,5),"ER","Cardiology","Neurology","General","ICU")</f>
        <v>Cardiology</v>
      </c>
    </row>
    <row r="964" spans="1:12" x14ac:dyDescent="0.25">
      <c r="A964">
        <f t="shared" si="180"/>
        <v>963</v>
      </c>
      <c r="B964">
        <f t="shared" ca="1" si="181"/>
        <v>76</v>
      </c>
      <c r="C964" t="str">
        <f t="shared" ca="1" si="182"/>
        <v>Male</v>
      </c>
      <c r="D964" s="1">
        <f t="shared" ca="1" si="183"/>
        <v>45472</v>
      </c>
      <c r="E964" s="1">
        <f t="shared" ca="1" si="184"/>
        <v>45477</v>
      </c>
      <c r="F964" t="str">
        <f t="shared" ca="1" si="185"/>
        <v>Hypertension</v>
      </c>
      <c r="G964" t="str">
        <f t="shared" ca="1" si="186"/>
        <v>Surgery</v>
      </c>
      <c r="H964">
        <f t="shared" ca="1" si="187"/>
        <v>5</v>
      </c>
      <c r="I964" t="str">
        <f t="shared" ca="1" si="188"/>
        <v>No</v>
      </c>
      <c r="J964">
        <f t="shared" ca="1" si="189"/>
        <v>3</v>
      </c>
      <c r="K964" t="str">
        <f t="shared" ca="1" si="190"/>
        <v>Public</v>
      </c>
      <c r="L964" t="str">
        <f t="shared" ca="1" si="191"/>
        <v>General</v>
      </c>
    </row>
    <row r="965" spans="1:12" x14ac:dyDescent="0.25">
      <c r="A965">
        <f t="shared" si="180"/>
        <v>964</v>
      </c>
      <c r="B965">
        <f t="shared" ca="1" si="181"/>
        <v>25</v>
      </c>
      <c r="C965" t="str">
        <f t="shared" ca="1" si="182"/>
        <v>Female</v>
      </c>
      <c r="D965" s="1">
        <f t="shared" ca="1" si="183"/>
        <v>45433</v>
      </c>
      <c r="E965" s="1">
        <f t="shared" ca="1" si="184"/>
        <v>45446</v>
      </c>
      <c r="F965" t="str">
        <f t="shared" ca="1" si="185"/>
        <v>Diabetes</v>
      </c>
      <c r="G965" t="str">
        <f t="shared" ca="1" si="186"/>
        <v>Surgery</v>
      </c>
      <c r="H965">
        <f t="shared" ca="1" si="187"/>
        <v>13</v>
      </c>
      <c r="I965" t="str">
        <f t="shared" ca="1" si="188"/>
        <v>No</v>
      </c>
      <c r="J965">
        <f t="shared" ca="1" si="189"/>
        <v>0</v>
      </c>
      <c r="K965" t="str">
        <f t="shared" ca="1" si="190"/>
        <v>Public</v>
      </c>
      <c r="L965" t="str">
        <f t="shared" ca="1" si="191"/>
        <v>General</v>
      </c>
    </row>
    <row r="966" spans="1:12" x14ac:dyDescent="0.25">
      <c r="A966">
        <f t="shared" si="180"/>
        <v>965</v>
      </c>
      <c r="B966">
        <f t="shared" ca="1" si="181"/>
        <v>40</v>
      </c>
      <c r="C966" t="str">
        <f t="shared" ca="1" si="182"/>
        <v>Male</v>
      </c>
      <c r="D966" s="1">
        <f t="shared" ca="1" si="183"/>
        <v>45337</v>
      </c>
      <c r="E966" s="1">
        <f t="shared" ca="1" si="184"/>
        <v>45347</v>
      </c>
      <c r="F966" t="str">
        <f t="shared" ca="1" si="185"/>
        <v>Stroke</v>
      </c>
      <c r="G966" t="str">
        <f t="shared" ca="1" si="186"/>
        <v>Therapy</v>
      </c>
      <c r="H966">
        <f t="shared" ca="1" si="187"/>
        <v>10</v>
      </c>
      <c r="I966" t="str">
        <f t="shared" ca="1" si="188"/>
        <v>No</v>
      </c>
      <c r="J966">
        <f t="shared" ca="1" si="189"/>
        <v>0</v>
      </c>
      <c r="K966" t="str">
        <f t="shared" ca="1" si="190"/>
        <v>Public</v>
      </c>
      <c r="L966" t="str">
        <f t="shared" ca="1" si="191"/>
        <v>General</v>
      </c>
    </row>
    <row r="967" spans="1:12" x14ac:dyDescent="0.25">
      <c r="A967">
        <f t="shared" si="180"/>
        <v>966</v>
      </c>
      <c r="B967">
        <f t="shared" ca="1" si="181"/>
        <v>78</v>
      </c>
      <c r="C967" t="str">
        <f t="shared" ca="1" si="182"/>
        <v>Male</v>
      </c>
      <c r="D967" s="1">
        <f t="shared" ca="1" si="183"/>
        <v>45300</v>
      </c>
      <c r="E967" s="1">
        <f t="shared" ca="1" si="184"/>
        <v>45314</v>
      </c>
      <c r="F967" t="str">
        <f t="shared" ca="1" si="185"/>
        <v>Hypertension</v>
      </c>
      <c r="G967" t="str">
        <f t="shared" ca="1" si="186"/>
        <v>Therapy</v>
      </c>
      <c r="H967">
        <f t="shared" ca="1" si="187"/>
        <v>14</v>
      </c>
      <c r="I967" t="str">
        <f t="shared" ca="1" si="188"/>
        <v>No</v>
      </c>
      <c r="J967">
        <f t="shared" ca="1" si="189"/>
        <v>4</v>
      </c>
      <c r="K967" t="str">
        <f t="shared" ca="1" si="190"/>
        <v>None</v>
      </c>
      <c r="L967" t="str">
        <f t="shared" ca="1" si="191"/>
        <v>ICU</v>
      </c>
    </row>
    <row r="968" spans="1:12" x14ac:dyDescent="0.25">
      <c r="A968">
        <f t="shared" si="180"/>
        <v>967</v>
      </c>
      <c r="B968">
        <f t="shared" ca="1" si="181"/>
        <v>59</v>
      </c>
      <c r="C968" t="str">
        <f t="shared" ca="1" si="182"/>
        <v>Female</v>
      </c>
      <c r="D968" s="1">
        <f t="shared" ca="1" si="183"/>
        <v>45296</v>
      </c>
      <c r="E968" s="1">
        <f t="shared" ca="1" si="184"/>
        <v>45307</v>
      </c>
      <c r="F968" t="str">
        <f t="shared" ca="1" si="185"/>
        <v>Heart Failure</v>
      </c>
      <c r="G968" t="str">
        <f t="shared" ca="1" si="186"/>
        <v>Medication</v>
      </c>
      <c r="H968">
        <f t="shared" ca="1" si="187"/>
        <v>11</v>
      </c>
      <c r="I968" t="str">
        <f t="shared" ca="1" si="188"/>
        <v>Yes</v>
      </c>
      <c r="J968">
        <f t="shared" ca="1" si="189"/>
        <v>2</v>
      </c>
      <c r="K968" t="str">
        <f t="shared" ca="1" si="190"/>
        <v>None</v>
      </c>
      <c r="L968" t="str">
        <f t="shared" ca="1" si="191"/>
        <v>Neurology</v>
      </c>
    </row>
    <row r="969" spans="1:12" x14ac:dyDescent="0.25">
      <c r="A969">
        <f t="shared" si="180"/>
        <v>968</v>
      </c>
      <c r="B969">
        <f t="shared" ca="1" si="181"/>
        <v>29</v>
      </c>
      <c r="C969" t="str">
        <f t="shared" ca="1" si="182"/>
        <v>Male</v>
      </c>
      <c r="D969" s="1">
        <f t="shared" ca="1" si="183"/>
        <v>45591</v>
      </c>
      <c r="E969" s="1">
        <f t="shared" ca="1" si="184"/>
        <v>45604</v>
      </c>
      <c r="F969" t="str">
        <f t="shared" ca="1" si="185"/>
        <v>Hypertension</v>
      </c>
      <c r="G969" t="str">
        <f t="shared" ca="1" si="186"/>
        <v>Medication</v>
      </c>
      <c r="H969">
        <f t="shared" ca="1" si="187"/>
        <v>13</v>
      </c>
      <c r="I969" t="str">
        <f t="shared" ca="1" si="188"/>
        <v>No</v>
      </c>
      <c r="J969">
        <f t="shared" ca="1" si="189"/>
        <v>2</v>
      </c>
      <c r="K969" t="str">
        <f t="shared" ca="1" si="190"/>
        <v>None</v>
      </c>
      <c r="L969" t="str">
        <f t="shared" ca="1" si="191"/>
        <v>ER</v>
      </c>
    </row>
    <row r="970" spans="1:12" x14ac:dyDescent="0.25">
      <c r="A970">
        <f t="shared" si="180"/>
        <v>969</v>
      </c>
      <c r="B970">
        <f t="shared" ca="1" si="181"/>
        <v>35</v>
      </c>
      <c r="C970" t="str">
        <f t="shared" ca="1" si="182"/>
        <v>Female</v>
      </c>
      <c r="D970" s="1">
        <f t="shared" ca="1" si="183"/>
        <v>45524</v>
      </c>
      <c r="E970" s="1">
        <f t="shared" ca="1" si="184"/>
        <v>45537</v>
      </c>
      <c r="F970" t="str">
        <f t="shared" ca="1" si="185"/>
        <v>Diabetes</v>
      </c>
      <c r="G970" t="str">
        <f t="shared" ca="1" si="186"/>
        <v>Medication</v>
      </c>
      <c r="H970">
        <f t="shared" ca="1" si="187"/>
        <v>13</v>
      </c>
      <c r="I970" t="str">
        <f t="shared" ca="1" si="188"/>
        <v>Yes</v>
      </c>
      <c r="J970">
        <f t="shared" ca="1" si="189"/>
        <v>3</v>
      </c>
      <c r="K970" t="str">
        <f t="shared" ca="1" si="190"/>
        <v>None</v>
      </c>
      <c r="L970" t="str">
        <f t="shared" ca="1" si="191"/>
        <v>Neurology</v>
      </c>
    </row>
    <row r="971" spans="1:12" x14ac:dyDescent="0.25">
      <c r="A971">
        <f t="shared" si="180"/>
        <v>970</v>
      </c>
      <c r="B971">
        <f t="shared" ca="1" si="181"/>
        <v>43</v>
      </c>
      <c r="C971" t="str">
        <f t="shared" ca="1" si="182"/>
        <v>Female</v>
      </c>
      <c r="D971" s="1">
        <f t="shared" ca="1" si="183"/>
        <v>45357</v>
      </c>
      <c r="E971" s="1">
        <f t="shared" ca="1" si="184"/>
        <v>45365</v>
      </c>
      <c r="F971" t="str">
        <f t="shared" ca="1" si="185"/>
        <v>Heart Failure</v>
      </c>
      <c r="G971" t="str">
        <f t="shared" ca="1" si="186"/>
        <v>Therapy</v>
      </c>
      <c r="H971">
        <f t="shared" ca="1" si="187"/>
        <v>8</v>
      </c>
      <c r="I971" t="str">
        <f t="shared" ca="1" si="188"/>
        <v>No</v>
      </c>
      <c r="J971">
        <f t="shared" ca="1" si="189"/>
        <v>4</v>
      </c>
      <c r="K971" t="str">
        <f t="shared" ca="1" si="190"/>
        <v>Public</v>
      </c>
      <c r="L971" t="str">
        <f t="shared" ca="1" si="191"/>
        <v>ER</v>
      </c>
    </row>
    <row r="972" spans="1:12" x14ac:dyDescent="0.25">
      <c r="A972">
        <f t="shared" si="180"/>
        <v>971</v>
      </c>
      <c r="B972">
        <f t="shared" ca="1" si="181"/>
        <v>63</v>
      </c>
      <c r="C972" t="str">
        <f t="shared" ca="1" si="182"/>
        <v>Male</v>
      </c>
      <c r="D972" s="1">
        <f t="shared" ca="1" si="183"/>
        <v>45541</v>
      </c>
      <c r="E972" s="1">
        <f t="shared" ca="1" si="184"/>
        <v>45543</v>
      </c>
      <c r="F972" t="str">
        <f t="shared" ca="1" si="185"/>
        <v>Pneumonia</v>
      </c>
      <c r="G972" t="str">
        <f t="shared" ca="1" si="186"/>
        <v>Therapy</v>
      </c>
      <c r="H972">
        <f t="shared" ca="1" si="187"/>
        <v>2</v>
      </c>
      <c r="I972" t="str">
        <f t="shared" ca="1" si="188"/>
        <v>Yes</v>
      </c>
      <c r="J972">
        <f t="shared" ca="1" si="189"/>
        <v>2</v>
      </c>
      <c r="K972" t="str">
        <f t="shared" ca="1" si="190"/>
        <v>Public</v>
      </c>
      <c r="L972" t="str">
        <f t="shared" ca="1" si="191"/>
        <v>ICU</v>
      </c>
    </row>
    <row r="973" spans="1:12" x14ac:dyDescent="0.25">
      <c r="A973">
        <f t="shared" si="180"/>
        <v>972</v>
      </c>
      <c r="B973">
        <f t="shared" ca="1" si="181"/>
        <v>89</v>
      </c>
      <c r="C973" t="str">
        <f t="shared" ca="1" si="182"/>
        <v>Female</v>
      </c>
      <c r="D973" s="1">
        <f t="shared" ca="1" si="183"/>
        <v>45525</v>
      </c>
      <c r="E973" s="1">
        <f t="shared" ca="1" si="184"/>
        <v>45531</v>
      </c>
      <c r="F973" t="str">
        <f t="shared" ca="1" si="185"/>
        <v>Hypertension</v>
      </c>
      <c r="G973" t="str">
        <f t="shared" ca="1" si="186"/>
        <v>Surgery</v>
      </c>
      <c r="H973">
        <f t="shared" ca="1" si="187"/>
        <v>6</v>
      </c>
      <c r="I973" t="str">
        <f t="shared" ca="1" si="188"/>
        <v>No</v>
      </c>
      <c r="J973">
        <f t="shared" ca="1" si="189"/>
        <v>0</v>
      </c>
      <c r="K973" t="str">
        <f t="shared" ca="1" si="190"/>
        <v>Private</v>
      </c>
      <c r="L973" t="str">
        <f t="shared" ca="1" si="191"/>
        <v>Cardiology</v>
      </c>
    </row>
    <row r="974" spans="1:12" x14ac:dyDescent="0.25">
      <c r="A974">
        <f t="shared" si="180"/>
        <v>973</v>
      </c>
      <c r="B974">
        <f t="shared" ca="1" si="181"/>
        <v>84</v>
      </c>
      <c r="C974" t="str">
        <f t="shared" ca="1" si="182"/>
        <v>Female</v>
      </c>
      <c r="D974" s="1">
        <f t="shared" ca="1" si="183"/>
        <v>45385</v>
      </c>
      <c r="E974" s="1">
        <f t="shared" ca="1" si="184"/>
        <v>45399</v>
      </c>
      <c r="F974" t="str">
        <f t="shared" ca="1" si="185"/>
        <v>Pneumonia</v>
      </c>
      <c r="G974" t="str">
        <f t="shared" ca="1" si="186"/>
        <v>Surgery</v>
      </c>
      <c r="H974">
        <f t="shared" ca="1" si="187"/>
        <v>14</v>
      </c>
      <c r="I974" t="str">
        <f t="shared" ca="1" si="188"/>
        <v>No</v>
      </c>
      <c r="J974">
        <f t="shared" ca="1" si="189"/>
        <v>4</v>
      </c>
      <c r="K974" t="str">
        <f t="shared" ca="1" si="190"/>
        <v>None</v>
      </c>
      <c r="L974" t="str">
        <f t="shared" ca="1" si="191"/>
        <v>General</v>
      </c>
    </row>
    <row r="975" spans="1:12" x14ac:dyDescent="0.25">
      <c r="A975">
        <f t="shared" si="180"/>
        <v>974</v>
      </c>
      <c r="B975">
        <f t="shared" ca="1" si="181"/>
        <v>48</v>
      </c>
      <c r="C975" t="str">
        <f t="shared" ca="1" si="182"/>
        <v>Male</v>
      </c>
      <c r="D975" s="1">
        <f t="shared" ca="1" si="183"/>
        <v>45526</v>
      </c>
      <c r="E975" s="1">
        <f t="shared" ca="1" si="184"/>
        <v>45533</v>
      </c>
      <c r="F975" t="str">
        <f t="shared" ca="1" si="185"/>
        <v>Heart Failure</v>
      </c>
      <c r="G975" t="str">
        <f t="shared" ca="1" si="186"/>
        <v>Surgery</v>
      </c>
      <c r="H975">
        <f t="shared" ca="1" si="187"/>
        <v>7</v>
      </c>
      <c r="I975" t="str">
        <f t="shared" ca="1" si="188"/>
        <v>No</v>
      </c>
      <c r="J975">
        <f t="shared" ca="1" si="189"/>
        <v>4</v>
      </c>
      <c r="K975" t="str">
        <f t="shared" ca="1" si="190"/>
        <v>Private</v>
      </c>
      <c r="L975" t="str">
        <f t="shared" ca="1" si="191"/>
        <v>Neurology</v>
      </c>
    </row>
    <row r="976" spans="1:12" x14ac:dyDescent="0.25">
      <c r="A976">
        <f t="shared" si="180"/>
        <v>975</v>
      </c>
      <c r="B976">
        <f t="shared" ca="1" si="181"/>
        <v>49</v>
      </c>
      <c r="C976" t="str">
        <f t="shared" ca="1" si="182"/>
        <v>Female</v>
      </c>
      <c r="D976" s="1">
        <f t="shared" ca="1" si="183"/>
        <v>45508</v>
      </c>
      <c r="E976" s="1">
        <f t="shared" ca="1" si="184"/>
        <v>45512</v>
      </c>
      <c r="F976" t="str">
        <f t="shared" ca="1" si="185"/>
        <v>Pneumonia</v>
      </c>
      <c r="G976" t="str">
        <f t="shared" ca="1" si="186"/>
        <v>Surgery</v>
      </c>
      <c r="H976">
        <f t="shared" ca="1" si="187"/>
        <v>4</v>
      </c>
      <c r="I976" t="str">
        <f t="shared" ca="1" si="188"/>
        <v>Yes</v>
      </c>
      <c r="J976">
        <f t="shared" ca="1" si="189"/>
        <v>3</v>
      </c>
      <c r="K976" t="str">
        <f t="shared" ca="1" si="190"/>
        <v>Public</v>
      </c>
      <c r="L976" t="str">
        <f t="shared" ca="1" si="191"/>
        <v>ICU</v>
      </c>
    </row>
    <row r="977" spans="1:12" x14ac:dyDescent="0.25">
      <c r="A977">
        <f t="shared" si="180"/>
        <v>976</v>
      </c>
      <c r="B977">
        <f t="shared" ca="1" si="181"/>
        <v>88</v>
      </c>
      <c r="C977" t="str">
        <f t="shared" ca="1" si="182"/>
        <v>Female</v>
      </c>
      <c r="D977" s="1">
        <f t="shared" ca="1" si="183"/>
        <v>45634</v>
      </c>
      <c r="E977" s="1">
        <f t="shared" ca="1" si="184"/>
        <v>45641</v>
      </c>
      <c r="F977" t="str">
        <f t="shared" ca="1" si="185"/>
        <v>Heart Failure</v>
      </c>
      <c r="G977" t="str">
        <f t="shared" ca="1" si="186"/>
        <v>Surgery</v>
      </c>
      <c r="H977">
        <f t="shared" ca="1" si="187"/>
        <v>7</v>
      </c>
      <c r="I977" t="str">
        <f t="shared" ca="1" si="188"/>
        <v>Yes</v>
      </c>
      <c r="J977">
        <f t="shared" ca="1" si="189"/>
        <v>0</v>
      </c>
      <c r="K977" t="str">
        <f t="shared" ca="1" si="190"/>
        <v>Public</v>
      </c>
      <c r="L977" t="str">
        <f t="shared" ca="1" si="191"/>
        <v>Cardiology</v>
      </c>
    </row>
    <row r="978" spans="1:12" x14ac:dyDescent="0.25">
      <c r="A978">
        <f t="shared" si="180"/>
        <v>977</v>
      </c>
      <c r="B978">
        <f t="shared" ca="1" si="181"/>
        <v>26</v>
      </c>
      <c r="C978" t="str">
        <f t="shared" ca="1" si="182"/>
        <v>Female</v>
      </c>
      <c r="D978" s="1">
        <f t="shared" ca="1" si="183"/>
        <v>45646</v>
      </c>
      <c r="E978" s="1">
        <f t="shared" ca="1" si="184"/>
        <v>45648</v>
      </c>
      <c r="F978" t="str">
        <f t="shared" ca="1" si="185"/>
        <v>Stroke</v>
      </c>
      <c r="G978" t="str">
        <f t="shared" ca="1" si="186"/>
        <v>Therapy</v>
      </c>
      <c r="H978">
        <f t="shared" ca="1" si="187"/>
        <v>2</v>
      </c>
      <c r="I978" t="str">
        <f t="shared" ca="1" si="188"/>
        <v>Yes</v>
      </c>
      <c r="J978">
        <f t="shared" ca="1" si="189"/>
        <v>2</v>
      </c>
      <c r="K978" t="str">
        <f t="shared" ca="1" si="190"/>
        <v>Private</v>
      </c>
      <c r="L978" t="str">
        <f t="shared" ca="1" si="191"/>
        <v>General</v>
      </c>
    </row>
    <row r="979" spans="1:12" x14ac:dyDescent="0.25">
      <c r="A979">
        <f t="shared" si="180"/>
        <v>978</v>
      </c>
      <c r="B979">
        <f t="shared" ca="1" si="181"/>
        <v>53</v>
      </c>
      <c r="C979" t="str">
        <f t="shared" ca="1" si="182"/>
        <v>Male</v>
      </c>
      <c r="D979" s="1">
        <f t="shared" ca="1" si="183"/>
        <v>45494</v>
      </c>
      <c r="E979" s="1">
        <f t="shared" ca="1" si="184"/>
        <v>45507</v>
      </c>
      <c r="F979" t="str">
        <f t="shared" ca="1" si="185"/>
        <v>Pneumonia</v>
      </c>
      <c r="G979" t="str">
        <f t="shared" ca="1" si="186"/>
        <v>Surgery</v>
      </c>
      <c r="H979">
        <f t="shared" ca="1" si="187"/>
        <v>13</v>
      </c>
      <c r="I979" t="str">
        <f t="shared" ca="1" si="188"/>
        <v>Yes</v>
      </c>
      <c r="J979">
        <f t="shared" ca="1" si="189"/>
        <v>1</v>
      </c>
      <c r="K979" t="str">
        <f t="shared" ca="1" si="190"/>
        <v>Private</v>
      </c>
      <c r="L979" t="str">
        <f t="shared" ca="1" si="191"/>
        <v>ICU</v>
      </c>
    </row>
    <row r="980" spans="1:12" x14ac:dyDescent="0.25">
      <c r="A980">
        <f t="shared" si="180"/>
        <v>979</v>
      </c>
      <c r="B980">
        <f t="shared" ca="1" si="181"/>
        <v>70</v>
      </c>
      <c r="C980" t="str">
        <f t="shared" ca="1" si="182"/>
        <v>Male</v>
      </c>
      <c r="D980" s="1">
        <f t="shared" ca="1" si="183"/>
        <v>45380</v>
      </c>
      <c r="E980" s="1">
        <f t="shared" ca="1" si="184"/>
        <v>45384</v>
      </c>
      <c r="F980" t="str">
        <f t="shared" ca="1" si="185"/>
        <v>Heart Failure</v>
      </c>
      <c r="G980" t="str">
        <f t="shared" ca="1" si="186"/>
        <v>Medication</v>
      </c>
      <c r="H980">
        <f t="shared" ca="1" si="187"/>
        <v>4</v>
      </c>
      <c r="I980" t="str">
        <f t="shared" ca="1" si="188"/>
        <v>Yes</v>
      </c>
      <c r="J980">
        <f t="shared" ca="1" si="189"/>
        <v>1</v>
      </c>
      <c r="K980" t="str">
        <f t="shared" ca="1" si="190"/>
        <v>None</v>
      </c>
      <c r="L980" t="str">
        <f t="shared" ca="1" si="191"/>
        <v>ER</v>
      </c>
    </row>
    <row r="981" spans="1:12" x14ac:dyDescent="0.25">
      <c r="A981">
        <f t="shared" si="180"/>
        <v>980</v>
      </c>
      <c r="B981">
        <f t="shared" ca="1" si="181"/>
        <v>42</v>
      </c>
      <c r="C981" t="str">
        <f t="shared" ca="1" si="182"/>
        <v>Male</v>
      </c>
      <c r="D981" s="1">
        <f t="shared" ca="1" si="183"/>
        <v>45556</v>
      </c>
      <c r="E981" s="1">
        <f t="shared" ca="1" si="184"/>
        <v>45570</v>
      </c>
      <c r="F981" t="str">
        <f t="shared" ca="1" si="185"/>
        <v>Pneumonia</v>
      </c>
      <c r="G981" t="str">
        <f t="shared" ca="1" si="186"/>
        <v>Medication</v>
      </c>
      <c r="H981">
        <f t="shared" ca="1" si="187"/>
        <v>14</v>
      </c>
      <c r="I981" t="str">
        <f t="shared" ca="1" si="188"/>
        <v>Yes</v>
      </c>
      <c r="J981">
        <f t="shared" ca="1" si="189"/>
        <v>3</v>
      </c>
      <c r="K981" t="str">
        <f t="shared" ca="1" si="190"/>
        <v>Public</v>
      </c>
      <c r="L981" t="str">
        <f t="shared" ca="1" si="191"/>
        <v>ICU</v>
      </c>
    </row>
    <row r="982" spans="1:12" x14ac:dyDescent="0.25">
      <c r="A982">
        <f t="shared" si="180"/>
        <v>981</v>
      </c>
      <c r="B982">
        <f t="shared" ca="1" si="181"/>
        <v>68</v>
      </c>
      <c r="C982" t="str">
        <f t="shared" ca="1" si="182"/>
        <v>Female</v>
      </c>
      <c r="D982" s="1">
        <f t="shared" ca="1" si="183"/>
        <v>45381</v>
      </c>
      <c r="E982" s="1">
        <f t="shared" ca="1" si="184"/>
        <v>45391</v>
      </c>
      <c r="F982" t="str">
        <f t="shared" ca="1" si="185"/>
        <v>Hypertension</v>
      </c>
      <c r="G982" t="str">
        <f t="shared" ca="1" si="186"/>
        <v>Surgery</v>
      </c>
      <c r="H982">
        <f t="shared" ca="1" si="187"/>
        <v>10</v>
      </c>
      <c r="I982" t="str">
        <f t="shared" ca="1" si="188"/>
        <v>No</v>
      </c>
      <c r="J982">
        <f t="shared" ca="1" si="189"/>
        <v>2</v>
      </c>
      <c r="K982" t="str">
        <f t="shared" ca="1" si="190"/>
        <v>Private</v>
      </c>
      <c r="L982" t="str">
        <f t="shared" ca="1" si="191"/>
        <v>Cardiology</v>
      </c>
    </row>
    <row r="983" spans="1:12" x14ac:dyDescent="0.25">
      <c r="A983">
        <f t="shared" si="180"/>
        <v>982</v>
      </c>
      <c r="B983">
        <f t="shared" ca="1" si="181"/>
        <v>22</v>
      </c>
      <c r="C983" t="str">
        <f t="shared" ca="1" si="182"/>
        <v>Male</v>
      </c>
      <c r="D983" s="1">
        <f t="shared" ca="1" si="183"/>
        <v>45529</v>
      </c>
      <c r="E983" s="1">
        <f t="shared" ca="1" si="184"/>
        <v>45544</v>
      </c>
      <c r="F983" t="str">
        <f t="shared" ca="1" si="185"/>
        <v>Diabetes</v>
      </c>
      <c r="G983" t="str">
        <f t="shared" ca="1" si="186"/>
        <v>Surgery</v>
      </c>
      <c r="H983">
        <f t="shared" ca="1" si="187"/>
        <v>15</v>
      </c>
      <c r="I983" t="str">
        <f t="shared" ca="1" si="188"/>
        <v>No</v>
      </c>
      <c r="J983">
        <f t="shared" ca="1" si="189"/>
        <v>0</v>
      </c>
      <c r="K983" t="str">
        <f t="shared" ca="1" si="190"/>
        <v>None</v>
      </c>
      <c r="L983" t="str">
        <f t="shared" ca="1" si="191"/>
        <v>ER</v>
      </c>
    </row>
    <row r="984" spans="1:12" x14ac:dyDescent="0.25">
      <c r="A984">
        <f t="shared" si="180"/>
        <v>983</v>
      </c>
      <c r="B984">
        <f t="shared" ca="1" si="181"/>
        <v>39</v>
      </c>
      <c r="C984" t="str">
        <f t="shared" ca="1" si="182"/>
        <v>Female</v>
      </c>
      <c r="D984" s="1">
        <f t="shared" ca="1" si="183"/>
        <v>45571</v>
      </c>
      <c r="E984" s="1">
        <f t="shared" ca="1" si="184"/>
        <v>45575</v>
      </c>
      <c r="F984" t="str">
        <f t="shared" ca="1" si="185"/>
        <v>Heart Failure</v>
      </c>
      <c r="G984" t="str">
        <f t="shared" ca="1" si="186"/>
        <v>Medication</v>
      </c>
      <c r="H984">
        <f t="shared" ca="1" si="187"/>
        <v>4</v>
      </c>
      <c r="I984" t="str">
        <f t="shared" ca="1" si="188"/>
        <v>No</v>
      </c>
      <c r="J984">
        <f t="shared" ca="1" si="189"/>
        <v>3</v>
      </c>
      <c r="K984" t="str">
        <f t="shared" ca="1" si="190"/>
        <v>None</v>
      </c>
      <c r="L984" t="str">
        <f t="shared" ca="1" si="191"/>
        <v>Neurology</v>
      </c>
    </row>
    <row r="985" spans="1:12" x14ac:dyDescent="0.25">
      <c r="A985">
        <f t="shared" si="180"/>
        <v>984</v>
      </c>
      <c r="B985">
        <f t="shared" ca="1" si="181"/>
        <v>75</v>
      </c>
      <c r="C985" t="str">
        <f t="shared" ca="1" si="182"/>
        <v>Female</v>
      </c>
      <c r="D985" s="1">
        <f t="shared" ca="1" si="183"/>
        <v>45643</v>
      </c>
      <c r="E985" s="1">
        <f t="shared" ca="1" si="184"/>
        <v>45653</v>
      </c>
      <c r="F985" t="str">
        <f t="shared" ca="1" si="185"/>
        <v>Diabetes</v>
      </c>
      <c r="G985" t="str">
        <f t="shared" ca="1" si="186"/>
        <v>Therapy</v>
      </c>
      <c r="H985">
        <f t="shared" ca="1" si="187"/>
        <v>10</v>
      </c>
      <c r="I985" t="str">
        <f t="shared" ca="1" si="188"/>
        <v>Yes</v>
      </c>
      <c r="J985">
        <f t="shared" ca="1" si="189"/>
        <v>3</v>
      </c>
      <c r="K985" t="str">
        <f t="shared" ca="1" si="190"/>
        <v>None</v>
      </c>
      <c r="L985" t="str">
        <f t="shared" ca="1" si="191"/>
        <v>Neurology</v>
      </c>
    </row>
    <row r="986" spans="1:12" x14ac:dyDescent="0.25">
      <c r="A986">
        <f t="shared" si="180"/>
        <v>985</v>
      </c>
      <c r="B986">
        <f t="shared" ca="1" si="181"/>
        <v>45</v>
      </c>
      <c r="C986" t="str">
        <f t="shared" ca="1" si="182"/>
        <v>Female</v>
      </c>
      <c r="D986" s="1">
        <f t="shared" ca="1" si="183"/>
        <v>45440</v>
      </c>
      <c r="E986" s="1">
        <f t="shared" ca="1" si="184"/>
        <v>45447</v>
      </c>
      <c r="F986" t="str">
        <f t="shared" ca="1" si="185"/>
        <v>Pneumonia</v>
      </c>
      <c r="G986" t="str">
        <f t="shared" ca="1" si="186"/>
        <v>Medication</v>
      </c>
      <c r="H986">
        <f t="shared" ca="1" si="187"/>
        <v>7</v>
      </c>
      <c r="I986" t="str">
        <f t="shared" ca="1" si="188"/>
        <v>Yes</v>
      </c>
      <c r="J986">
        <f t="shared" ca="1" si="189"/>
        <v>1</v>
      </c>
      <c r="K986" t="str">
        <f t="shared" ca="1" si="190"/>
        <v>Public</v>
      </c>
      <c r="L986" t="str">
        <f t="shared" ca="1" si="191"/>
        <v>General</v>
      </c>
    </row>
    <row r="987" spans="1:12" x14ac:dyDescent="0.25">
      <c r="A987">
        <f t="shared" si="180"/>
        <v>986</v>
      </c>
      <c r="B987">
        <f t="shared" ca="1" si="181"/>
        <v>35</v>
      </c>
      <c r="C987" t="str">
        <f t="shared" ca="1" si="182"/>
        <v>Female</v>
      </c>
      <c r="D987" s="1">
        <f t="shared" ca="1" si="183"/>
        <v>45452</v>
      </c>
      <c r="E987" s="1">
        <f t="shared" ca="1" si="184"/>
        <v>45455</v>
      </c>
      <c r="F987" t="str">
        <f t="shared" ca="1" si="185"/>
        <v>Diabetes</v>
      </c>
      <c r="G987" t="str">
        <f t="shared" ca="1" si="186"/>
        <v>Therapy</v>
      </c>
      <c r="H987">
        <f t="shared" ca="1" si="187"/>
        <v>3</v>
      </c>
      <c r="I987" t="str">
        <f t="shared" ca="1" si="188"/>
        <v>No</v>
      </c>
      <c r="J987">
        <f t="shared" ca="1" si="189"/>
        <v>2</v>
      </c>
      <c r="K987" t="str">
        <f t="shared" ca="1" si="190"/>
        <v>None</v>
      </c>
      <c r="L987" t="str">
        <f t="shared" ca="1" si="191"/>
        <v>ICU</v>
      </c>
    </row>
    <row r="988" spans="1:12" x14ac:dyDescent="0.25">
      <c r="A988">
        <f t="shared" si="180"/>
        <v>987</v>
      </c>
      <c r="B988">
        <f t="shared" ca="1" si="181"/>
        <v>51</v>
      </c>
      <c r="C988" t="str">
        <f t="shared" ca="1" si="182"/>
        <v>Female</v>
      </c>
      <c r="D988" s="1">
        <f t="shared" ca="1" si="183"/>
        <v>45367</v>
      </c>
      <c r="E988" s="1">
        <f t="shared" ca="1" si="184"/>
        <v>45368</v>
      </c>
      <c r="F988" t="str">
        <f t="shared" ca="1" si="185"/>
        <v>Diabetes</v>
      </c>
      <c r="G988" t="str">
        <f t="shared" ca="1" si="186"/>
        <v>Medication</v>
      </c>
      <c r="H988">
        <f t="shared" ca="1" si="187"/>
        <v>1</v>
      </c>
      <c r="I988" t="str">
        <f t="shared" ca="1" si="188"/>
        <v>No</v>
      </c>
      <c r="J988">
        <f t="shared" ca="1" si="189"/>
        <v>4</v>
      </c>
      <c r="K988" t="str">
        <f t="shared" ca="1" si="190"/>
        <v>Private</v>
      </c>
      <c r="L988" t="str">
        <f t="shared" ca="1" si="191"/>
        <v>General</v>
      </c>
    </row>
    <row r="989" spans="1:12" x14ac:dyDescent="0.25">
      <c r="A989">
        <f t="shared" si="180"/>
        <v>988</v>
      </c>
      <c r="B989">
        <f t="shared" ca="1" si="181"/>
        <v>58</v>
      </c>
      <c r="C989" t="str">
        <f t="shared" ca="1" si="182"/>
        <v>Male</v>
      </c>
      <c r="D989" s="1">
        <f t="shared" ca="1" si="183"/>
        <v>45553</v>
      </c>
      <c r="E989" s="1">
        <f t="shared" ca="1" si="184"/>
        <v>45565</v>
      </c>
      <c r="F989" t="str">
        <f t="shared" ca="1" si="185"/>
        <v>Pneumonia</v>
      </c>
      <c r="G989" t="str">
        <f t="shared" ca="1" si="186"/>
        <v>Surgery</v>
      </c>
      <c r="H989">
        <f t="shared" ca="1" si="187"/>
        <v>12</v>
      </c>
      <c r="I989" t="str">
        <f t="shared" ca="1" si="188"/>
        <v>Yes</v>
      </c>
      <c r="J989">
        <f t="shared" ca="1" si="189"/>
        <v>2</v>
      </c>
      <c r="K989" t="str">
        <f t="shared" ca="1" si="190"/>
        <v>None</v>
      </c>
      <c r="L989" t="str">
        <f t="shared" ca="1" si="191"/>
        <v>General</v>
      </c>
    </row>
    <row r="990" spans="1:12" x14ac:dyDescent="0.25">
      <c r="A990">
        <f t="shared" si="180"/>
        <v>989</v>
      </c>
      <c r="B990">
        <f t="shared" ca="1" si="181"/>
        <v>57</v>
      </c>
      <c r="C990" t="str">
        <f t="shared" ca="1" si="182"/>
        <v>Male</v>
      </c>
      <c r="D990" s="1">
        <f t="shared" ca="1" si="183"/>
        <v>45453</v>
      </c>
      <c r="E990" s="1">
        <f t="shared" ca="1" si="184"/>
        <v>45461</v>
      </c>
      <c r="F990" t="str">
        <f t="shared" ca="1" si="185"/>
        <v>Pneumonia</v>
      </c>
      <c r="G990" t="str">
        <f t="shared" ca="1" si="186"/>
        <v>Surgery</v>
      </c>
      <c r="H990">
        <f t="shared" ca="1" si="187"/>
        <v>8</v>
      </c>
      <c r="I990" t="str">
        <f t="shared" ca="1" si="188"/>
        <v>Yes</v>
      </c>
      <c r="J990">
        <f t="shared" ca="1" si="189"/>
        <v>3</v>
      </c>
      <c r="K990" t="str">
        <f t="shared" ca="1" si="190"/>
        <v>Public</v>
      </c>
      <c r="L990" t="str">
        <f t="shared" ca="1" si="191"/>
        <v>ER</v>
      </c>
    </row>
    <row r="991" spans="1:12" x14ac:dyDescent="0.25">
      <c r="A991">
        <f t="shared" si="180"/>
        <v>990</v>
      </c>
      <c r="B991">
        <f t="shared" ca="1" si="181"/>
        <v>20</v>
      </c>
      <c r="C991" t="str">
        <f t="shared" ca="1" si="182"/>
        <v>Female</v>
      </c>
      <c r="D991" s="1">
        <f t="shared" ca="1" si="183"/>
        <v>45591</v>
      </c>
      <c r="E991" s="1">
        <f t="shared" ca="1" si="184"/>
        <v>45600</v>
      </c>
      <c r="F991" t="str">
        <f t="shared" ca="1" si="185"/>
        <v>Heart Failure</v>
      </c>
      <c r="G991" t="str">
        <f t="shared" ca="1" si="186"/>
        <v>Medication</v>
      </c>
      <c r="H991">
        <f t="shared" ca="1" si="187"/>
        <v>9</v>
      </c>
      <c r="I991" t="str">
        <f t="shared" ca="1" si="188"/>
        <v>No</v>
      </c>
      <c r="J991">
        <f t="shared" ca="1" si="189"/>
        <v>3</v>
      </c>
      <c r="K991" t="str">
        <f t="shared" ca="1" si="190"/>
        <v>None</v>
      </c>
      <c r="L991" t="str">
        <f t="shared" ca="1" si="191"/>
        <v>ER</v>
      </c>
    </row>
    <row r="992" spans="1:12" x14ac:dyDescent="0.25">
      <c r="A992">
        <f t="shared" si="180"/>
        <v>991</v>
      </c>
      <c r="B992">
        <f t="shared" ca="1" si="181"/>
        <v>58</v>
      </c>
      <c r="C992" t="str">
        <f t="shared" ca="1" si="182"/>
        <v>Male</v>
      </c>
      <c r="D992" s="1">
        <f t="shared" ca="1" si="183"/>
        <v>45589</v>
      </c>
      <c r="E992" s="1">
        <f t="shared" ca="1" si="184"/>
        <v>45592</v>
      </c>
      <c r="F992" t="str">
        <f t="shared" ca="1" si="185"/>
        <v>Heart Failure</v>
      </c>
      <c r="G992" t="str">
        <f t="shared" ca="1" si="186"/>
        <v>Medication</v>
      </c>
      <c r="H992">
        <f t="shared" ca="1" si="187"/>
        <v>3</v>
      </c>
      <c r="I992" t="str">
        <f t="shared" ca="1" si="188"/>
        <v>No</v>
      </c>
      <c r="J992">
        <f t="shared" ca="1" si="189"/>
        <v>2</v>
      </c>
      <c r="K992" t="str">
        <f t="shared" ca="1" si="190"/>
        <v>Private</v>
      </c>
      <c r="L992" t="str">
        <f t="shared" ca="1" si="191"/>
        <v>Cardiology</v>
      </c>
    </row>
    <row r="993" spans="1:12" x14ac:dyDescent="0.25">
      <c r="A993">
        <f t="shared" si="180"/>
        <v>992</v>
      </c>
      <c r="B993">
        <f t="shared" ca="1" si="181"/>
        <v>39</v>
      </c>
      <c r="C993" t="str">
        <f t="shared" ca="1" si="182"/>
        <v>Male</v>
      </c>
      <c r="D993" s="1">
        <f t="shared" ca="1" si="183"/>
        <v>45323</v>
      </c>
      <c r="E993" s="1">
        <f t="shared" ca="1" si="184"/>
        <v>45328</v>
      </c>
      <c r="F993" t="str">
        <f t="shared" ca="1" si="185"/>
        <v>Hypertension</v>
      </c>
      <c r="G993" t="str">
        <f t="shared" ca="1" si="186"/>
        <v>Medication</v>
      </c>
      <c r="H993">
        <f t="shared" ca="1" si="187"/>
        <v>5</v>
      </c>
      <c r="I993" t="str">
        <f t="shared" ca="1" si="188"/>
        <v>No</v>
      </c>
      <c r="J993">
        <f t="shared" ca="1" si="189"/>
        <v>2</v>
      </c>
      <c r="K993" t="str">
        <f t="shared" ca="1" si="190"/>
        <v>Private</v>
      </c>
      <c r="L993" t="str">
        <f t="shared" ca="1" si="191"/>
        <v>General</v>
      </c>
    </row>
    <row r="994" spans="1:12" x14ac:dyDescent="0.25">
      <c r="A994">
        <f t="shared" si="180"/>
        <v>993</v>
      </c>
      <c r="B994">
        <f t="shared" ca="1" si="181"/>
        <v>23</v>
      </c>
      <c r="C994" t="str">
        <f t="shared" ca="1" si="182"/>
        <v>Female</v>
      </c>
      <c r="D994" s="1">
        <f t="shared" ca="1" si="183"/>
        <v>45327</v>
      </c>
      <c r="E994" s="1">
        <f t="shared" ca="1" si="184"/>
        <v>45338</v>
      </c>
      <c r="F994" t="str">
        <f t="shared" ca="1" si="185"/>
        <v>Heart Failure</v>
      </c>
      <c r="G994" t="str">
        <f t="shared" ca="1" si="186"/>
        <v>Surgery</v>
      </c>
      <c r="H994">
        <f t="shared" ca="1" si="187"/>
        <v>11</v>
      </c>
      <c r="I994" t="str">
        <f t="shared" ca="1" si="188"/>
        <v>Yes</v>
      </c>
      <c r="J994">
        <f t="shared" ca="1" si="189"/>
        <v>4</v>
      </c>
      <c r="K994" t="str">
        <f t="shared" ca="1" si="190"/>
        <v>Public</v>
      </c>
      <c r="L994" t="str">
        <f t="shared" ca="1" si="191"/>
        <v>Cardiology</v>
      </c>
    </row>
    <row r="995" spans="1:12" x14ac:dyDescent="0.25">
      <c r="A995">
        <f t="shared" si="180"/>
        <v>994</v>
      </c>
      <c r="B995">
        <f t="shared" ca="1" si="181"/>
        <v>46</v>
      </c>
      <c r="C995" t="str">
        <f t="shared" ca="1" si="182"/>
        <v>Male</v>
      </c>
      <c r="D995" s="1">
        <f t="shared" ca="1" si="183"/>
        <v>45377</v>
      </c>
      <c r="E995" s="1">
        <f t="shared" ca="1" si="184"/>
        <v>45388</v>
      </c>
      <c r="F995" t="str">
        <f t="shared" ca="1" si="185"/>
        <v>Hypertension</v>
      </c>
      <c r="G995" t="str">
        <f t="shared" ca="1" si="186"/>
        <v>Medication</v>
      </c>
      <c r="H995">
        <f t="shared" ca="1" si="187"/>
        <v>11</v>
      </c>
      <c r="I995" t="str">
        <f t="shared" ca="1" si="188"/>
        <v>No</v>
      </c>
      <c r="J995">
        <f t="shared" ca="1" si="189"/>
        <v>2</v>
      </c>
      <c r="K995" t="str">
        <f t="shared" ca="1" si="190"/>
        <v>Private</v>
      </c>
      <c r="L995" t="str">
        <f t="shared" ca="1" si="191"/>
        <v>Cardiology</v>
      </c>
    </row>
    <row r="996" spans="1:12" x14ac:dyDescent="0.25">
      <c r="A996">
        <f t="shared" si="180"/>
        <v>995</v>
      </c>
      <c r="B996">
        <f t="shared" ca="1" si="181"/>
        <v>72</v>
      </c>
      <c r="C996" t="str">
        <f t="shared" ca="1" si="182"/>
        <v>Male</v>
      </c>
      <c r="D996" s="1">
        <f t="shared" ca="1" si="183"/>
        <v>45411</v>
      </c>
      <c r="E996" s="1">
        <f t="shared" ca="1" si="184"/>
        <v>45424</v>
      </c>
      <c r="F996" t="str">
        <f t="shared" ca="1" si="185"/>
        <v>Diabetes</v>
      </c>
      <c r="G996" t="str">
        <f t="shared" ca="1" si="186"/>
        <v>Surgery</v>
      </c>
      <c r="H996">
        <f t="shared" ca="1" si="187"/>
        <v>13</v>
      </c>
      <c r="I996" t="str">
        <f t="shared" ca="1" si="188"/>
        <v>Yes</v>
      </c>
      <c r="J996">
        <f t="shared" ca="1" si="189"/>
        <v>0</v>
      </c>
      <c r="K996" t="str">
        <f t="shared" ca="1" si="190"/>
        <v>Public</v>
      </c>
      <c r="L996" t="str">
        <f t="shared" ca="1" si="191"/>
        <v>ER</v>
      </c>
    </row>
    <row r="997" spans="1:12" x14ac:dyDescent="0.25">
      <c r="A997">
        <f t="shared" si="180"/>
        <v>996</v>
      </c>
      <c r="B997">
        <f t="shared" ca="1" si="181"/>
        <v>74</v>
      </c>
      <c r="C997" t="str">
        <f t="shared" ca="1" si="182"/>
        <v>Male</v>
      </c>
      <c r="D997" s="1">
        <f t="shared" ca="1" si="183"/>
        <v>45416</v>
      </c>
      <c r="E997" s="1">
        <f t="shared" ca="1" si="184"/>
        <v>45425</v>
      </c>
      <c r="F997" t="str">
        <f t="shared" ca="1" si="185"/>
        <v>Diabetes</v>
      </c>
      <c r="G997" t="str">
        <f t="shared" ca="1" si="186"/>
        <v>Therapy</v>
      </c>
      <c r="H997">
        <f t="shared" ca="1" si="187"/>
        <v>9</v>
      </c>
      <c r="I997" t="str">
        <f t="shared" ca="1" si="188"/>
        <v>No</v>
      </c>
      <c r="J997">
        <f t="shared" ca="1" si="189"/>
        <v>3</v>
      </c>
      <c r="K997" t="str">
        <f t="shared" ca="1" si="190"/>
        <v>Private</v>
      </c>
      <c r="L997" t="str">
        <f t="shared" ca="1" si="191"/>
        <v>ICU</v>
      </c>
    </row>
    <row r="998" spans="1:12" x14ac:dyDescent="0.25">
      <c r="A998">
        <f t="shared" si="180"/>
        <v>997</v>
      </c>
      <c r="B998">
        <f t="shared" ca="1" si="181"/>
        <v>59</v>
      </c>
      <c r="C998" t="str">
        <f t="shared" ca="1" si="182"/>
        <v>Male</v>
      </c>
      <c r="D998" s="1">
        <f t="shared" ca="1" si="183"/>
        <v>45505</v>
      </c>
      <c r="E998" s="1">
        <f t="shared" ca="1" si="184"/>
        <v>45512</v>
      </c>
      <c r="F998" t="str">
        <f t="shared" ca="1" si="185"/>
        <v>Hypertension</v>
      </c>
      <c r="G998" t="str">
        <f t="shared" ca="1" si="186"/>
        <v>Therapy</v>
      </c>
      <c r="H998">
        <f t="shared" ca="1" si="187"/>
        <v>7</v>
      </c>
      <c r="I998" t="str">
        <f t="shared" ca="1" si="188"/>
        <v>Yes</v>
      </c>
      <c r="J998">
        <f t="shared" ca="1" si="189"/>
        <v>1</v>
      </c>
      <c r="K998" t="str">
        <f t="shared" ca="1" si="190"/>
        <v>None</v>
      </c>
      <c r="L998" t="str">
        <f t="shared" ca="1" si="191"/>
        <v>Cardiology</v>
      </c>
    </row>
    <row r="999" spans="1:12" x14ac:dyDescent="0.25">
      <c r="A999">
        <f t="shared" si="180"/>
        <v>998</v>
      </c>
      <c r="B999">
        <f t="shared" ca="1" si="181"/>
        <v>48</v>
      </c>
      <c r="C999" t="str">
        <f t="shared" ca="1" si="182"/>
        <v>Female</v>
      </c>
      <c r="D999" s="1">
        <f t="shared" ca="1" si="183"/>
        <v>45337</v>
      </c>
      <c r="E999" s="1">
        <f t="shared" ca="1" si="184"/>
        <v>45351</v>
      </c>
      <c r="F999" t="str">
        <f t="shared" ca="1" si="185"/>
        <v>Pneumonia</v>
      </c>
      <c r="G999" t="str">
        <f t="shared" ca="1" si="186"/>
        <v>Surgery</v>
      </c>
      <c r="H999">
        <f t="shared" ca="1" si="187"/>
        <v>14</v>
      </c>
      <c r="I999" t="str">
        <f t="shared" ca="1" si="188"/>
        <v>No</v>
      </c>
      <c r="J999">
        <f t="shared" ca="1" si="189"/>
        <v>2</v>
      </c>
      <c r="K999" t="str">
        <f t="shared" ca="1" si="190"/>
        <v>Private</v>
      </c>
      <c r="L999" t="str">
        <f t="shared" ca="1" si="191"/>
        <v>Neurology</v>
      </c>
    </row>
    <row r="1000" spans="1:12" x14ac:dyDescent="0.25">
      <c r="A1000">
        <f t="shared" si="180"/>
        <v>999</v>
      </c>
      <c r="B1000">
        <f t="shared" ca="1" si="181"/>
        <v>86</v>
      </c>
      <c r="C1000" t="str">
        <f t="shared" ca="1" si="182"/>
        <v>Male</v>
      </c>
      <c r="D1000" s="1">
        <f t="shared" ca="1" si="183"/>
        <v>45596</v>
      </c>
      <c r="E1000" s="1">
        <f t="shared" ca="1" si="184"/>
        <v>45597</v>
      </c>
      <c r="F1000" t="str">
        <f t="shared" ca="1" si="185"/>
        <v>Diabetes</v>
      </c>
      <c r="G1000" t="str">
        <f t="shared" ca="1" si="186"/>
        <v>Medication</v>
      </c>
      <c r="H1000">
        <f t="shared" ca="1" si="187"/>
        <v>1</v>
      </c>
      <c r="I1000" t="str">
        <f t="shared" ca="1" si="188"/>
        <v>No</v>
      </c>
      <c r="J1000">
        <f t="shared" ca="1" si="189"/>
        <v>0</v>
      </c>
      <c r="K1000" t="str">
        <f t="shared" ca="1" si="190"/>
        <v>Private</v>
      </c>
      <c r="L1000" t="str">
        <f t="shared" ca="1" si="191"/>
        <v>Cardiology</v>
      </c>
    </row>
    <row r="1001" spans="1:12" x14ac:dyDescent="0.25">
      <c r="A1001">
        <f t="shared" si="180"/>
        <v>1000</v>
      </c>
      <c r="B1001">
        <f t="shared" ca="1" si="181"/>
        <v>29</v>
      </c>
      <c r="C1001" t="str">
        <f t="shared" ca="1" si="182"/>
        <v>Male</v>
      </c>
      <c r="D1001" s="1">
        <f t="shared" ca="1" si="183"/>
        <v>45553</v>
      </c>
      <c r="E1001" s="1">
        <f t="shared" ca="1" si="184"/>
        <v>45557</v>
      </c>
      <c r="F1001" t="str">
        <f t="shared" ca="1" si="185"/>
        <v>Diabetes</v>
      </c>
      <c r="G1001" t="str">
        <f t="shared" ca="1" si="186"/>
        <v>Surgery</v>
      </c>
      <c r="H1001">
        <f t="shared" ca="1" si="187"/>
        <v>4</v>
      </c>
      <c r="I1001" t="str">
        <f t="shared" ca="1" si="188"/>
        <v>No</v>
      </c>
      <c r="J1001">
        <f t="shared" ca="1" si="189"/>
        <v>2</v>
      </c>
      <c r="K1001" t="str">
        <f t="shared" ca="1" si="190"/>
        <v>Private</v>
      </c>
      <c r="L1001" t="str">
        <f t="shared" ca="1" si="191"/>
        <v>Neurology</v>
      </c>
    </row>
    <row r="1002" spans="1:12" x14ac:dyDescent="0.25">
      <c r="A1002">
        <f t="shared" si="180"/>
        <v>1001</v>
      </c>
      <c r="B1002">
        <f t="shared" ca="1" si="181"/>
        <v>51</v>
      </c>
      <c r="C1002" t="str">
        <f t="shared" ca="1" si="182"/>
        <v>Male</v>
      </c>
      <c r="D1002" s="1">
        <f t="shared" ca="1" si="183"/>
        <v>45399</v>
      </c>
      <c r="E1002" s="1">
        <f t="shared" ca="1" si="184"/>
        <v>45402</v>
      </c>
      <c r="F1002" t="str">
        <f t="shared" ca="1" si="185"/>
        <v>Stroke</v>
      </c>
      <c r="G1002" t="str">
        <f t="shared" ca="1" si="186"/>
        <v>Therapy</v>
      </c>
      <c r="H1002">
        <f t="shared" ca="1" si="187"/>
        <v>3</v>
      </c>
      <c r="I1002" t="str">
        <f t="shared" ca="1" si="188"/>
        <v>No</v>
      </c>
      <c r="J1002">
        <f t="shared" ca="1" si="189"/>
        <v>4</v>
      </c>
      <c r="K1002" t="str">
        <f t="shared" ca="1" si="190"/>
        <v>Private</v>
      </c>
      <c r="L1002" t="str">
        <f t="shared" ca="1" si="191"/>
        <v>Cardiology</v>
      </c>
    </row>
    <row r="1003" spans="1:12" x14ac:dyDescent="0.25">
      <c r="A1003">
        <f t="shared" si="180"/>
        <v>1002</v>
      </c>
      <c r="B1003">
        <f t="shared" ca="1" si="181"/>
        <v>38</v>
      </c>
      <c r="C1003" t="str">
        <f t="shared" ca="1" si="182"/>
        <v>Female</v>
      </c>
      <c r="D1003" s="1">
        <f t="shared" ca="1" si="183"/>
        <v>45480</v>
      </c>
      <c r="E1003" s="1">
        <f t="shared" ca="1" si="184"/>
        <v>45483</v>
      </c>
      <c r="F1003" t="str">
        <f t="shared" ca="1" si="185"/>
        <v>Stroke</v>
      </c>
      <c r="G1003" t="str">
        <f t="shared" ca="1" si="186"/>
        <v>Therapy</v>
      </c>
      <c r="H1003">
        <f t="shared" ca="1" si="187"/>
        <v>3</v>
      </c>
      <c r="I1003" t="str">
        <f t="shared" ca="1" si="188"/>
        <v>Yes</v>
      </c>
      <c r="J1003">
        <f t="shared" ca="1" si="189"/>
        <v>3</v>
      </c>
      <c r="K1003" t="str">
        <f t="shared" ca="1" si="190"/>
        <v>Public</v>
      </c>
      <c r="L1003" t="str">
        <f t="shared" ca="1" si="191"/>
        <v>General</v>
      </c>
    </row>
    <row r="1004" spans="1:12" x14ac:dyDescent="0.25">
      <c r="A1004">
        <f t="shared" si="180"/>
        <v>1003</v>
      </c>
      <c r="B1004">
        <f t="shared" ca="1" si="181"/>
        <v>56</v>
      </c>
      <c r="C1004" t="str">
        <f t="shared" ca="1" si="182"/>
        <v>Female</v>
      </c>
      <c r="D1004" s="1">
        <f t="shared" ca="1" si="183"/>
        <v>45507</v>
      </c>
      <c r="E1004" s="1">
        <f t="shared" ca="1" si="184"/>
        <v>45512</v>
      </c>
      <c r="F1004" t="str">
        <f t="shared" ca="1" si="185"/>
        <v>Diabetes</v>
      </c>
      <c r="G1004" t="str">
        <f t="shared" ca="1" si="186"/>
        <v>Surgery</v>
      </c>
      <c r="H1004">
        <f t="shared" ca="1" si="187"/>
        <v>5</v>
      </c>
      <c r="I1004" t="str">
        <f t="shared" ca="1" si="188"/>
        <v>No</v>
      </c>
      <c r="J1004">
        <f t="shared" ca="1" si="189"/>
        <v>2</v>
      </c>
      <c r="K1004" t="str">
        <f t="shared" ca="1" si="190"/>
        <v>Public</v>
      </c>
      <c r="L1004" t="str">
        <f t="shared" ca="1" si="191"/>
        <v>Cardiology</v>
      </c>
    </row>
    <row r="1005" spans="1:12" x14ac:dyDescent="0.25">
      <c r="A1005">
        <f t="shared" si="180"/>
        <v>1004</v>
      </c>
      <c r="B1005">
        <f t="shared" ca="1" si="181"/>
        <v>66</v>
      </c>
      <c r="C1005" t="str">
        <f t="shared" ca="1" si="182"/>
        <v>Male</v>
      </c>
      <c r="D1005" s="1">
        <f t="shared" ca="1" si="183"/>
        <v>45647</v>
      </c>
      <c r="E1005" s="1">
        <f t="shared" ca="1" si="184"/>
        <v>45661</v>
      </c>
      <c r="F1005" t="str">
        <f t="shared" ca="1" si="185"/>
        <v>Stroke</v>
      </c>
      <c r="G1005" t="str">
        <f t="shared" ca="1" si="186"/>
        <v>Medication</v>
      </c>
      <c r="H1005">
        <f t="shared" ca="1" si="187"/>
        <v>14</v>
      </c>
      <c r="I1005" t="str">
        <f t="shared" ca="1" si="188"/>
        <v>No</v>
      </c>
      <c r="J1005">
        <f t="shared" ca="1" si="189"/>
        <v>1</v>
      </c>
      <c r="K1005" t="str">
        <f t="shared" ca="1" si="190"/>
        <v>Private</v>
      </c>
      <c r="L1005" t="str">
        <f t="shared" ca="1" si="191"/>
        <v>ICU</v>
      </c>
    </row>
    <row r="1006" spans="1:12" x14ac:dyDescent="0.25">
      <c r="A1006">
        <f t="shared" si="180"/>
        <v>1005</v>
      </c>
      <c r="B1006">
        <f t="shared" ca="1" si="181"/>
        <v>65</v>
      </c>
      <c r="C1006" t="str">
        <f t="shared" ca="1" si="182"/>
        <v>Female</v>
      </c>
      <c r="D1006" s="1">
        <f t="shared" ca="1" si="183"/>
        <v>45355</v>
      </c>
      <c r="E1006" s="1">
        <f t="shared" ca="1" si="184"/>
        <v>45365</v>
      </c>
      <c r="F1006" t="str">
        <f t="shared" ca="1" si="185"/>
        <v>Heart Failure</v>
      </c>
      <c r="G1006" t="str">
        <f t="shared" ca="1" si="186"/>
        <v>Therapy</v>
      </c>
      <c r="H1006">
        <f t="shared" ca="1" si="187"/>
        <v>10</v>
      </c>
      <c r="I1006" t="str">
        <f t="shared" ca="1" si="188"/>
        <v>No</v>
      </c>
      <c r="J1006">
        <f t="shared" ca="1" si="189"/>
        <v>4</v>
      </c>
      <c r="K1006" t="str">
        <f t="shared" ca="1" si="190"/>
        <v>Public</v>
      </c>
      <c r="L1006" t="str">
        <f t="shared" ca="1" si="191"/>
        <v>Cardiology</v>
      </c>
    </row>
    <row r="1007" spans="1:12" x14ac:dyDescent="0.25">
      <c r="A1007">
        <f t="shared" si="180"/>
        <v>1006</v>
      </c>
      <c r="B1007">
        <f t="shared" ca="1" si="181"/>
        <v>85</v>
      </c>
      <c r="C1007" t="str">
        <f t="shared" ca="1" si="182"/>
        <v>Male</v>
      </c>
      <c r="D1007" s="1">
        <f t="shared" ca="1" si="183"/>
        <v>45480</v>
      </c>
      <c r="E1007" s="1">
        <f t="shared" ca="1" si="184"/>
        <v>45495</v>
      </c>
      <c r="F1007" t="str">
        <f t="shared" ca="1" si="185"/>
        <v>Heart Failure</v>
      </c>
      <c r="G1007" t="str">
        <f t="shared" ca="1" si="186"/>
        <v>Medication</v>
      </c>
      <c r="H1007">
        <f t="shared" ca="1" si="187"/>
        <v>15</v>
      </c>
      <c r="I1007" t="str">
        <f t="shared" ca="1" si="188"/>
        <v>No</v>
      </c>
      <c r="J1007">
        <f t="shared" ca="1" si="189"/>
        <v>2</v>
      </c>
      <c r="K1007" t="str">
        <f t="shared" ca="1" si="190"/>
        <v>None</v>
      </c>
      <c r="L1007" t="str">
        <f t="shared" ca="1" si="191"/>
        <v>ICU</v>
      </c>
    </row>
    <row r="1008" spans="1:12" x14ac:dyDescent="0.25">
      <c r="A1008">
        <f t="shared" si="180"/>
        <v>1007</v>
      </c>
      <c r="B1008">
        <f t="shared" ca="1" si="181"/>
        <v>27</v>
      </c>
      <c r="C1008" t="str">
        <f t="shared" ca="1" si="182"/>
        <v>Female</v>
      </c>
      <c r="D1008" s="1">
        <f t="shared" ca="1" si="183"/>
        <v>45615</v>
      </c>
      <c r="E1008" s="1">
        <f t="shared" ca="1" si="184"/>
        <v>45622</v>
      </c>
      <c r="F1008" t="str">
        <f t="shared" ca="1" si="185"/>
        <v>Heart Failure</v>
      </c>
      <c r="G1008" t="str">
        <f t="shared" ca="1" si="186"/>
        <v>Medication</v>
      </c>
      <c r="H1008">
        <f t="shared" ca="1" si="187"/>
        <v>7</v>
      </c>
      <c r="I1008" t="str">
        <f t="shared" ca="1" si="188"/>
        <v>No</v>
      </c>
      <c r="J1008">
        <f t="shared" ca="1" si="189"/>
        <v>2</v>
      </c>
      <c r="K1008" t="str">
        <f t="shared" ca="1" si="190"/>
        <v>None</v>
      </c>
      <c r="L1008" t="str">
        <f t="shared" ca="1" si="191"/>
        <v>ER</v>
      </c>
    </row>
    <row r="1009" spans="1:12" x14ac:dyDescent="0.25">
      <c r="A1009">
        <f t="shared" si="180"/>
        <v>1008</v>
      </c>
      <c r="B1009">
        <f t="shared" ca="1" si="181"/>
        <v>47</v>
      </c>
      <c r="C1009" t="str">
        <f t="shared" ca="1" si="182"/>
        <v>Female</v>
      </c>
      <c r="D1009" s="1">
        <f t="shared" ca="1" si="183"/>
        <v>45455</v>
      </c>
      <c r="E1009" s="1">
        <f t="shared" ca="1" si="184"/>
        <v>45460</v>
      </c>
      <c r="F1009" t="str">
        <f t="shared" ca="1" si="185"/>
        <v>Pneumonia</v>
      </c>
      <c r="G1009" t="str">
        <f t="shared" ca="1" si="186"/>
        <v>Surgery</v>
      </c>
      <c r="H1009">
        <f t="shared" ca="1" si="187"/>
        <v>5</v>
      </c>
      <c r="I1009" t="str">
        <f t="shared" ca="1" si="188"/>
        <v>No</v>
      </c>
      <c r="J1009">
        <f t="shared" ca="1" si="189"/>
        <v>0</v>
      </c>
      <c r="K1009" t="str">
        <f t="shared" ca="1" si="190"/>
        <v>None</v>
      </c>
      <c r="L1009" t="str">
        <f t="shared" ca="1" si="191"/>
        <v>General</v>
      </c>
    </row>
    <row r="1010" spans="1:12" x14ac:dyDescent="0.25">
      <c r="A1010">
        <f t="shared" si="180"/>
        <v>1009</v>
      </c>
      <c r="B1010">
        <f t="shared" ca="1" si="181"/>
        <v>35</v>
      </c>
      <c r="C1010" t="str">
        <f t="shared" ca="1" si="182"/>
        <v>Female</v>
      </c>
      <c r="D1010" s="1">
        <f t="shared" ca="1" si="183"/>
        <v>45569</v>
      </c>
      <c r="E1010" s="1">
        <f t="shared" ca="1" si="184"/>
        <v>45582</v>
      </c>
      <c r="F1010" t="str">
        <f t="shared" ca="1" si="185"/>
        <v>Stroke</v>
      </c>
      <c r="G1010" t="str">
        <f t="shared" ca="1" si="186"/>
        <v>Medication</v>
      </c>
      <c r="H1010">
        <f t="shared" ca="1" si="187"/>
        <v>13</v>
      </c>
      <c r="I1010" t="str">
        <f t="shared" ca="1" si="188"/>
        <v>No</v>
      </c>
      <c r="J1010">
        <f t="shared" ca="1" si="189"/>
        <v>3</v>
      </c>
      <c r="K1010" t="str">
        <f t="shared" ca="1" si="190"/>
        <v>Public</v>
      </c>
      <c r="L1010" t="str">
        <f t="shared" ca="1" si="191"/>
        <v>Neurology</v>
      </c>
    </row>
    <row r="1011" spans="1:12" x14ac:dyDescent="0.25">
      <c r="A1011">
        <f t="shared" si="180"/>
        <v>1010</v>
      </c>
      <c r="B1011">
        <f t="shared" ca="1" si="181"/>
        <v>26</v>
      </c>
      <c r="C1011" t="str">
        <f t="shared" ca="1" si="182"/>
        <v>Female</v>
      </c>
      <c r="D1011" s="1">
        <f t="shared" ca="1" si="183"/>
        <v>45400</v>
      </c>
      <c r="E1011" s="1">
        <f t="shared" ca="1" si="184"/>
        <v>45410</v>
      </c>
      <c r="F1011" t="str">
        <f t="shared" ca="1" si="185"/>
        <v>Hypertension</v>
      </c>
      <c r="G1011" t="str">
        <f t="shared" ca="1" si="186"/>
        <v>Therapy</v>
      </c>
      <c r="H1011">
        <f t="shared" ca="1" si="187"/>
        <v>10</v>
      </c>
      <c r="I1011" t="str">
        <f t="shared" ca="1" si="188"/>
        <v>No</v>
      </c>
      <c r="J1011">
        <f t="shared" ca="1" si="189"/>
        <v>2</v>
      </c>
      <c r="K1011" t="str">
        <f t="shared" ca="1" si="190"/>
        <v>Private</v>
      </c>
      <c r="L1011" t="str">
        <f t="shared" ca="1" si="191"/>
        <v>ER</v>
      </c>
    </row>
    <row r="1012" spans="1:12" x14ac:dyDescent="0.25">
      <c r="A1012">
        <f t="shared" si="180"/>
        <v>1011</v>
      </c>
      <c r="B1012">
        <f t="shared" ca="1" si="181"/>
        <v>33</v>
      </c>
      <c r="C1012" t="str">
        <f t="shared" ca="1" si="182"/>
        <v>Male</v>
      </c>
      <c r="D1012" s="1">
        <f t="shared" ca="1" si="183"/>
        <v>45301</v>
      </c>
      <c r="E1012" s="1">
        <f t="shared" ca="1" si="184"/>
        <v>45311</v>
      </c>
      <c r="F1012" t="str">
        <f t="shared" ca="1" si="185"/>
        <v>Pneumonia</v>
      </c>
      <c r="G1012" t="str">
        <f t="shared" ca="1" si="186"/>
        <v>Medication</v>
      </c>
      <c r="H1012">
        <f t="shared" ca="1" si="187"/>
        <v>10</v>
      </c>
      <c r="I1012" t="str">
        <f t="shared" ca="1" si="188"/>
        <v>No</v>
      </c>
      <c r="J1012">
        <f t="shared" ca="1" si="189"/>
        <v>0</v>
      </c>
      <c r="K1012" t="str">
        <f t="shared" ca="1" si="190"/>
        <v>None</v>
      </c>
      <c r="L1012" t="str">
        <f t="shared" ca="1" si="191"/>
        <v>General</v>
      </c>
    </row>
    <row r="1013" spans="1:12" x14ac:dyDescent="0.25">
      <c r="A1013">
        <f t="shared" si="180"/>
        <v>1012</v>
      </c>
      <c r="B1013">
        <f t="shared" ca="1" si="181"/>
        <v>29</v>
      </c>
      <c r="C1013" t="str">
        <f t="shared" ca="1" si="182"/>
        <v>Male</v>
      </c>
      <c r="D1013" s="1">
        <f t="shared" ca="1" si="183"/>
        <v>45331</v>
      </c>
      <c r="E1013" s="1">
        <f t="shared" ca="1" si="184"/>
        <v>45344</v>
      </c>
      <c r="F1013" t="str">
        <f t="shared" ca="1" si="185"/>
        <v>Pneumonia</v>
      </c>
      <c r="G1013" t="str">
        <f t="shared" ca="1" si="186"/>
        <v>Medication</v>
      </c>
      <c r="H1013">
        <f t="shared" ca="1" si="187"/>
        <v>13</v>
      </c>
      <c r="I1013" t="str">
        <f t="shared" ca="1" si="188"/>
        <v>No</v>
      </c>
      <c r="J1013">
        <f t="shared" ca="1" si="189"/>
        <v>2</v>
      </c>
      <c r="K1013" t="str">
        <f t="shared" ca="1" si="190"/>
        <v>Public</v>
      </c>
      <c r="L1013" t="str">
        <f t="shared" ca="1" si="191"/>
        <v>ER</v>
      </c>
    </row>
    <row r="1014" spans="1:12" x14ac:dyDescent="0.25">
      <c r="A1014">
        <f t="shared" si="180"/>
        <v>1013</v>
      </c>
      <c r="B1014">
        <f t="shared" ca="1" si="181"/>
        <v>36</v>
      </c>
      <c r="C1014" t="str">
        <f t="shared" ca="1" si="182"/>
        <v>Male</v>
      </c>
      <c r="D1014" s="1">
        <f t="shared" ca="1" si="183"/>
        <v>45305</v>
      </c>
      <c r="E1014" s="1">
        <f t="shared" ca="1" si="184"/>
        <v>45311</v>
      </c>
      <c r="F1014" t="str">
        <f t="shared" ca="1" si="185"/>
        <v>Pneumonia</v>
      </c>
      <c r="G1014" t="str">
        <f t="shared" ca="1" si="186"/>
        <v>Medication</v>
      </c>
      <c r="H1014">
        <f t="shared" ca="1" si="187"/>
        <v>6</v>
      </c>
      <c r="I1014" t="str">
        <f t="shared" ca="1" si="188"/>
        <v>No</v>
      </c>
      <c r="J1014">
        <f t="shared" ca="1" si="189"/>
        <v>0</v>
      </c>
      <c r="K1014" t="str">
        <f t="shared" ca="1" si="190"/>
        <v>Private</v>
      </c>
      <c r="L1014" t="str">
        <f t="shared" ca="1" si="191"/>
        <v>General</v>
      </c>
    </row>
    <row r="1015" spans="1:12" x14ac:dyDescent="0.25">
      <c r="A1015">
        <f t="shared" si="180"/>
        <v>1014</v>
      </c>
      <c r="B1015">
        <f t="shared" ca="1" si="181"/>
        <v>34</v>
      </c>
      <c r="C1015" t="str">
        <f t="shared" ca="1" si="182"/>
        <v>Male</v>
      </c>
      <c r="D1015" s="1">
        <f t="shared" ca="1" si="183"/>
        <v>45557</v>
      </c>
      <c r="E1015" s="1">
        <f t="shared" ca="1" si="184"/>
        <v>45560</v>
      </c>
      <c r="F1015" t="str">
        <f t="shared" ca="1" si="185"/>
        <v>Diabetes</v>
      </c>
      <c r="G1015" t="str">
        <f t="shared" ca="1" si="186"/>
        <v>Therapy</v>
      </c>
      <c r="H1015">
        <f t="shared" ca="1" si="187"/>
        <v>3</v>
      </c>
      <c r="I1015" t="str">
        <f t="shared" ca="1" si="188"/>
        <v>No</v>
      </c>
      <c r="J1015">
        <f t="shared" ca="1" si="189"/>
        <v>0</v>
      </c>
      <c r="K1015" t="str">
        <f t="shared" ca="1" si="190"/>
        <v>Private</v>
      </c>
      <c r="L1015" t="str">
        <f t="shared" ca="1" si="191"/>
        <v>Neurology</v>
      </c>
    </row>
    <row r="1016" spans="1:12" x14ac:dyDescent="0.25">
      <c r="A1016">
        <f t="shared" si="180"/>
        <v>1015</v>
      </c>
      <c r="B1016">
        <f t="shared" ca="1" si="181"/>
        <v>72</v>
      </c>
      <c r="C1016" t="str">
        <f t="shared" ca="1" si="182"/>
        <v>Male</v>
      </c>
      <c r="D1016" s="1">
        <f t="shared" ca="1" si="183"/>
        <v>45653</v>
      </c>
      <c r="E1016" s="1">
        <f t="shared" ca="1" si="184"/>
        <v>45666</v>
      </c>
      <c r="F1016" t="str">
        <f t="shared" ca="1" si="185"/>
        <v>Heart Failure</v>
      </c>
      <c r="G1016" t="str">
        <f t="shared" ca="1" si="186"/>
        <v>Surgery</v>
      </c>
      <c r="H1016">
        <f t="shared" ca="1" si="187"/>
        <v>13</v>
      </c>
      <c r="I1016" t="str">
        <f t="shared" ca="1" si="188"/>
        <v>No</v>
      </c>
      <c r="J1016">
        <f t="shared" ca="1" si="189"/>
        <v>3</v>
      </c>
      <c r="K1016" t="str">
        <f t="shared" ca="1" si="190"/>
        <v>None</v>
      </c>
      <c r="L1016" t="str">
        <f t="shared" ca="1" si="191"/>
        <v>Cardiology</v>
      </c>
    </row>
    <row r="1017" spans="1:12" x14ac:dyDescent="0.25">
      <c r="A1017">
        <f t="shared" si="180"/>
        <v>1016</v>
      </c>
      <c r="B1017">
        <f t="shared" ca="1" si="181"/>
        <v>36</v>
      </c>
      <c r="C1017" t="str">
        <f t="shared" ca="1" si="182"/>
        <v>Male</v>
      </c>
      <c r="D1017" s="1">
        <f t="shared" ca="1" si="183"/>
        <v>45653</v>
      </c>
      <c r="E1017" s="1">
        <f t="shared" ca="1" si="184"/>
        <v>45664</v>
      </c>
      <c r="F1017" t="str">
        <f t="shared" ca="1" si="185"/>
        <v>Diabetes</v>
      </c>
      <c r="G1017" t="str">
        <f t="shared" ca="1" si="186"/>
        <v>Therapy</v>
      </c>
      <c r="H1017">
        <f t="shared" ca="1" si="187"/>
        <v>11</v>
      </c>
      <c r="I1017" t="str">
        <f t="shared" ca="1" si="188"/>
        <v>No</v>
      </c>
      <c r="J1017">
        <f t="shared" ca="1" si="189"/>
        <v>3</v>
      </c>
      <c r="K1017" t="str">
        <f t="shared" ca="1" si="190"/>
        <v>Public</v>
      </c>
      <c r="L1017" t="str">
        <f t="shared" ca="1" si="191"/>
        <v>Cardiology</v>
      </c>
    </row>
    <row r="1018" spans="1:12" x14ac:dyDescent="0.25">
      <c r="A1018">
        <f t="shared" si="180"/>
        <v>1017</v>
      </c>
      <c r="B1018">
        <f t="shared" ca="1" si="181"/>
        <v>50</v>
      </c>
      <c r="C1018" t="str">
        <f t="shared" ca="1" si="182"/>
        <v>Female</v>
      </c>
      <c r="D1018" s="1">
        <f t="shared" ca="1" si="183"/>
        <v>45325</v>
      </c>
      <c r="E1018" s="1">
        <f t="shared" ca="1" si="184"/>
        <v>45333</v>
      </c>
      <c r="F1018" t="str">
        <f t="shared" ca="1" si="185"/>
        <v>Heart Failure</v>
      </c>
      <c r="G1018" t="str">
        <f t="shared" ca="1" si="186"/>
        <v>Surgery</v>
      </c>
      <c r="H1018">
        <f t="shared" ca="1" si="187"/>
        <v>8</v>
      </c>
      <c r="I1018" t="str">
        <f t="shared" ca="1" si="188"/>
        <v>No</v>
      </c>
      <c r="J1018">
        <f t="shared" ca="1" si="189"/>
        <v>2</v>
      </c>
      <c r="K1018" t="str">
        <f t="shared" ca="1" si="190"/>
        <v>None</v>
      </c>
      <c r="L1018" t="str">
        <f t="shared" ca="1" si="191"/>
        <v>General</v>
      </c>
    </row>
    <row r="1019" spans="1:12" x14ac:dyDescent="0.25">
      <c r="A1019">
        <f t="shared" si="180"/>
        <v>1018</v>
      </c>
      <c r="B1019">
        <f t="shared" ca="1" si="181"/>
        <v>57</v>
      </c>
      <c r="C1019" t="str">
        <f t="shared" ca="1" si="182"/>
        <v>Male</v>
      </c>
      <c r="D1019" s="1">
        <f t="shared" ca="1" si="183"/>
        <v>45563</v>
      </c>
      <c r="E1019" s="1">
        <f t="shared" ca="1" si="184"/>
        <v>45569</v>
      </c>
      <c r="F1019" t="str">
        <f t="shared" ca="1" si="185"/>
        <v>Diabetes</v>
      </c>
      <c r="G1019" t="str">
        <f t="shared" ca="1" si="186"/>
        <v>Surgery</v>
      </c>
      <c r="H1019">
        <f t="shared" ca="1" si="187"/>
        <v>6</v>
      </c>
      <c r="I1019" t="str">
        <f t="shared" ca="1" si="188"/>
        <v>Yes</v>
      </c>
      <c r="J1019">
        <f t="shared" ca="1" si="189"/>
        <v>0</v>
      </c>
      <c r="K1019" t="str">
        <f t="shared" ca="1" si="190"/>
        <v>Private</v>
      </c>
      <c r="L1019" t="str">
        <f t="shared" ca="1" si="191"/>
        <v>Neurology</v>
      </c>
    </row>
    <row r="1020" spans="1:12" x14ac:dyDescent="0.25">
      <c r="A1020">
        <f t="shared" si="180"/>
        <v>1019</v>
      </c>
      <c r="B1020">
        <f t="shared" ca="1" si="181"/>
        <v>59</v>
      </c>
      <c r="C1020" t="str">
        <f t="shared" ca="1" si="182"/>
        <v>Female</v>
      </c>
      <c r="D1020" s="1">
        <f t="shared" ca="1" si="183"/>
        <v>45348</v>
      </c>
      <c r="E1020" s="1">
        <f t="shared" ca="1" si="184"/>
        <v>45356</v>
      </c>
      <c r="F1020" t="str">
        <f t="shared" ca="1" si="185"/>
        <v>Hypertension</v>
      </c>
      <c r="G1020" t="str">
        <f t="shared" ca="1" si="186"/>
        <v>Medication</v>
      </c>
      <c r="H1020">
        <f t="shared" ca="1" si="187"/>
        <v>8</v>
      </c>
      <c r="I1020" t="str">
        <f t="shared" ca="1" si="188"/>
        <v>No</v>
      </c>
      <c r="J1020">
        <f t="shared" ca="1" si="189"/>
        <v>1</v>
      </c>
      <c r="K1020" t="str">
        <f t="shared" ca="1" si="190"/>
        <v>Private</v>
      </c>
      <c r="L1020" t="str">
        <f t="shared" ca="1" si="191"/>
        <v>Neurology</v>
      </c>
    </row>
    <row r="1021" spans="1:12" x14ac:dyDescent="0.25">
      <c r="A1021">
        <f t="shared" si="180"/>
        <v>1020</v>
      </c>
      <c r="B1021">
        <f t="shared" ca="1" si="181"/>
        <v>71</v>
      </c>
      <c r="C1021" t="str">
        <f t="shared" ca="1" si="182"/>
        <v>Male</v>
      </c>
      <c r="D1021" s="1">
        <f t="shared" ca="1" si="183"/>
        <v>45353</v>
      </c>
      <c r="E1021" s="1">
        <f t="shared" ca="1" si="184"/>
        <v>45354</v>
      </c>
      <c r="F1021" t="str">
        <f t="shared" ca="1" si="185"/>
        <v>Stroke</v>
      </c>
      <c r="G1021" t="str">
        <f t="shared" ca="1" si="186"/>
        <v>Medication</v>
      </c>
      <c r="H1021">
        <f t="shared" ca="1" si="187"/>
        <v>1</v>
      </c>
      <c r="I1021" t="str">
        <f t="shared" ca="1" si="188"/>
        <v>Yes</v>
      </c>
      <c r="J1021">
        <f t="shared" ca="1" si="189"/>
        <v>4</v>
      </c>
      <c r="K1021" t="str">
        <f t="shared" ca="1" si="190"/>
        <v>None</v>
      </c>
      <c r="L1021" t="str">
        <f t="shared" ca="1" si="191"/>
        <v>ER</v>
      </c>
    </row>
    <row r="1022" spans="1:12" x14ac:dyDescent="0.25">
      <c r="A1022">
        <f t="shared" si="180"/>
        <v>1021</v>
      </c>
      <c r="B1022">
        <f t="shared" ca="1" si="181"/>
        <v>89</v>
      </c>
      <c r="C1022" t="str">
        <f t="shared" ca="1" si="182"/>
        <v>Female</v>
      </c>
      <c r="D1022" s="1">
        <f t="shared" ca="1" si="183"/>
        <v>45311</v>
      </c>
      <c r="E1022" s="1">
        <f t="shared" ca="1" si="184"/>
        <v>45323</v>
      </c>
      <c r="F1022" t="str">
        <f t="shared" ca="1" si="185"/>
        <v>Pneumonia</v>
      </c>
      <c r="G1022" t="str">
        <f t="shared" ca="1" si="186"/>
        <v>Surgery</v>
      </c>
      <c r="H1022">
        <f t="shared" ca="1" si="187"/>
        <v>12</v>
      </c>
      <c r="I1022" t="str">
        <f t="shared" ca="1" si="188"/>
        <v>No</v>
      </c>
      <c r="J1022">
        <f t="shared" ca="1" si="189"/>
        <v>0</v>
      </c>
      <c r="K1022" t="str">
        <f t="shared" ca="1" si="190"/>
        <v>None</v>
      </c>
      <c r="L1022" t="str">
        <f t="shared" ca="1" si="191"/>
        <v>ER</v>
      </c>
    </row>
    <row r="1023" spans="1:12" x14ac:dyDescent="0.25">
      <c r="A1023">
        <f t="shared" si="180"/>
        <v>1022</v>
      </c>
      <c r="B1023">
        <f t="shared" ca="1" si="181"/>
        <v>90</v>
      </c>
      <c r="C1023" t="str">
        <f t="shared" ca="1" si="182"/>
        <v>Male</v>
      </c>
      <c r="D1023" s="1">
        <f t="shared" ca="1" si="183"/>
        <v>45542</v>
      </c>
      <c r="E1023" s="1">
        <f t="shared" ca="1" si="184"/>
        <v>45552</v>
      </c>
      <c r="F1023" t="str">
        <f t="shared" ca="1" si="185"/>
        <v>Stroke</v>
      </c>
      <c r="G1023" t="str">
        <f t="shared" ca="1" si="186"/>
        <v>Medication</v>
      </c>
      <c r="H1023">
        <f t="shared" ca="1" si="187"/>
        <v>10</v>
      </c>
      <c r="I1023" t="str">
        <f t="shared" ca="1" si="188"/>
        <v>No</v>
      </c>
      <c r="J1023">
        <f t="shared" ca="1" si="189"/>
        <v>2</v>
      </c>
      <c r="K1023" t="str">
        <f t="shared" ca="1" si="190"/>
        <v>Public</v>
      </c>
      <c r="L1023" t="str">
        <f t="shared" ca="1" si="191"/>
        <v>ER</v>
      </c>
    </row>
    <row r="1024" spans="1:12" x14ac:dyDescent="0.25">
      <c r="A1024">
        <f t="shared" si="180"/>
        <v>1023</v>
      </c>
      <c r="B1024">
        <f t="shared" ca="1" si="181"/>
        <v>34</v>
      </c>
      <c r="C1024" t="str">
        <f t="shared" ca="1" si="182"/>
        <v>Male</v>
      </c>
      <c r="D1024" s="1">
        <f t="shared" ca="1" si="183"/>
        <v>45494</v>
      </c>
      <c r="E1024" s="1">
        <f t="shared" ca="1" si="184"/>
        <v>45497</v>
      </c>
      <c r="F1024" t="str">
        <f t="shared" ca="1" si="185"/>
        <v>Heart Failure</v>
      </c>
      <c r="G1024" t="str">
        <f t="shared" ca="1" si="186"/>
        <v>Surgery</v>
      </c>
      <c r="H1024">
        <f t="shared" ca="1" si="187"/>
        <v>3</v>
      </c>
      <c r="I1024" t="str">
        <f t="shared" ca="1" si="188"/>
        <v>Yes</v>
      </c>
      <c r="J1024">
        <f t="shared" ca="1" si="189"/>
        <v>1</v>
      </c>
      <c r="K1024" t="str">
        <f t="shared" ca="1" si="190"/>
        <v>Public</v>
      </c>
      <c r="L1024" t="str">
        <f t="shared" ca="1" si="191"/>
        <v>General</v>
      </c>
    </row>
    <row r="1025" spans="1:12" x14ac:dyDescent="0.25">
      <c r="A1025">
        <f t="shared" si="180"/>
        <v>1024</v>
      </c>
      <c r="B1025">
        <f t="shared" ca="1" si="181"/>
        <v>53</v>
      </c>
      <c r="C1025" t="str">
        <f t="shared" ca="1" si="182"/>
        <v>Female</v>
      </c>
      <c r="D1025" s="1">
        <f t="shared" ca="1" si="183"/>
        <v>45538</v>
      </c>
      <c r="E1025" s="1">
        <f t="shared" ca="1" si="184"/>
        <v>45542</v>
      </c>
      <c r="F1025" t="str">
        <f t="shared" ca="1" si="185"/>
        <v>Hypertension</v>
      </c>
      <c r="G1025" t="str">
        <f t="shared" ca="1" si="186"/>
        <v>Therapy</v>
      </c>
      <c r="H1025">
        <f t="shared" ca="1" si="187"/>
        <v>4</v>
      </c>
      <c r="I1025" t="str">
        <f t="shared" ca="1" si="188"/>
        <v>Yes</v>
      </c>
      <c r="J1025">
        <f t="shared" ca="1" si="189"/>
        <v>1</v>
      </c>
      <c r="K1025" t="str">
        <f t="shared" ca="1" si="190"/>
        <v>None</v>
      </c>
      <c r="L1025" t="str">
        <f t="shared" ca="1" si="191"/>
        <v>ICU</v>
      </c>
    </row>
    <row r="1026" spans="1:12" x14ac:dyDescent="0.25">
      <c r="A1026">
        <f t="shared" si="180"/>
        <v>1025</v>
      </c>
      <c r="B1026">
        <f t="shared" ca="1" si="181"/>
        <v>37</v>
      </c>
      <c r="C1026" t="str">
        <f t="shared" ca="1" si="182"/>
        <v>Female</v>
      </c>
      <c r="D1026" s="1">
        <f t="shared" ca="1" si="183"/>
        <v>45431</v>
      </c>
      <c r="E1026" s="1">
        <f t="shared" ca="1" si="184"/>
        <v>45433</v>
      </c>
      <c r="F1026" t="str">
        <f t="shared" ca="1" si="185"/>
        <v>Diabetes</v>
      </c>
      <c r="G1026" t="str">
        <f t="shared" ca="1" si="186"/>
        <v>Therapy</v>
      </c>
      <c r="H1026">
        <f t="shared" ca="1" si="187"/>
        <v>2</v>
      </c>
      <c r="I1026" t="str">
        <f t="shared" ca="1" si="188"/>
        <v>No</v>
      </c>
      <c r="J1026">
        <f t="shared" ca="1" si="189"/>
        <v>4</v>
      </c>
      <c r="K1026" t="str">
        <f t="shared" ca="1" si="190"/>
        <v>Public</v>
      </c>
      <c r="L1026" t="str">
        <f t="shared" ca="1" si="191"/>
        <v>ICU</v>
      </c>
    </row>
    <row r="1027" spans="1:12" x14ac:dyDescent="0.25">
      <c r="A1027">
        <f t="shared" ref="A1027:A1090" si="192">ROW() -1</f>
        <v>1026</v>
      </c>
      <c r="B1027">
        <f t="shared" ref="B1027:B1090" ca="1" si="193">RANDBETWEEN(20,90)</f>
        <v>81</v>
      </c>
      <c r="C1027" t="str">
        <f t="shared" ref="C1027:C1090" ca="1" si="194">IF(RAND()&lt;0.5,"Male","Female")</f>
        <v>Female</v>
      </c>
      <c r="D1027" s="1">
        <f t="shared" ref="D1027:D1090" ca="1" si="195">DATE(2024,1,1)+RANDBETWEEN(0,364)</f>
        <v>45415</v>
      </c>
      <c r="E1027" s="1">
        <f t="shared" ref="E1027:E1090" ca="1" si="196">D1027+RANDBETWEEN(1,15)</f>
        <v>45418</v>
      </c>
      <c r="F1027" t="str">
        <f t="shared" ref="F1027:F1090" ca="1" si="197">CHOOSE(RANDBETWEEN(1,5),"Diabetes","Heart Failure","Pneumonia","Stroke","Hypertension")</f>
        <v>Heart Failure</v>
      </c>
      <c r="G1027" t="str">
        <f t="shared" ref="G1027:G1090" ca="1" si="198">CHOOSE(RANDBETWEEN(1,3),"Medication","Surgery","Therapy")</f>
        <v>Medication</v>
      </c>
      <c r="H1027">
        <f t="shared" ref="H1027:H1090" ca="1" si="199">DATEDIF(D1027,E1027,"D")</f>
        <v>3</v>
      </c>
      <c r="I1027" t="str">
        <f t="shared" ref="I1027:I1090" ca="1" si="200">IF(RAND()&lt;0.3,"Yes","No")</f>
        <v>No</v>
      </c>
      <c r="J1027">
        <f t="shared" ref="J1027:J1090" ca="1" si="201">RANDBETWEEN(0,4)</f>
        <v>1</v>
      </c>
      <c r="K1027" t="str">
        <f t="shared" ref="K1027:K1090" ca="1" si="202">CHOOSE(RANDBETWEEN(1,3),"Private","Public","None")</f>
        <v>Private</v>
      </c>
      <c r="L1027" t="str">
        <f t="shared" ref="L1027:L1090" ca="1" si="203">CHOOSE(RANDBETWEEN(1,5),"ER","Cardiology","Neurology","General","ICU")</f>
        <v>Neurology</v>
      </c>
    </row>
    <row r="1028" spans="1:12" x14ac:dyDescent="0.25">
      <c r="A1028">
        <f t="shared" si="192"/>
        <v>1027</v>
      </c>
      <c r="B1028">
        <f t="shared" ca="1" si="193"/>
        <v>72</v>
      </c>
      <c r="C1028" t="str">
        <f t="shared" ca="1" si="194"/>
        <v>Female</v>
      </c>
      <c r="D1028" s="1">
        <f t="shared" ca="1" si="195"/>
        <v>45597</v>
      </c>
      <c r="E1028" s="1">
        <f t="shared" ca="1" si="196"/>
        <v>45603</v>
      </c>
      <c r="F1028" t="str">
        <f t="shared" ca="1" si="197"/>
        <v>Pneumonia</v>
      </c>
      <c r="G1028" t="str">
        <f t="shared" ca="1" si="198"/>
        <v>Surgery</v>
      </c>
      <c r="H1028">
        <f t="shared" ca="1" si="199"/>
        <v>6</v>
      </c>
      <c r="I1028" t="str">
        <f t="shared" ca="1" si="200"/>
        <v>No</v>
      </c>
      <c r="J1028">
        <f t="shared" ca="1" si="201"/>
        <v>0</v>
      </c>
      <c r="K1028" t="str">
        <f t="shared" ca="1" si="202"/>
        <v>Private</v>
      </c>
      <c r="L1028" t="str">
        <f t="shared" ca="1" si="203"/>
        <v>Neurology</v>
      </c>
    </row>
    <row r="1029" spans="1:12" x14ac:dyDescent="0.25">
      <c r="A1029">
        <f t="shared" si="192"/>
        <v>1028</v>
      </c>
      <c r="B1029">
        <f t="shared" ca="1" si="193"/>
        <v>55</v>
      </c>
      <c r="C1029" t="str">
        <f t="shared" ca="1" si="194"/>
        <v>Male</v>
      </c>
      <c r="D1029" s="1">
        <f t="shared" ca="1" si="195"/>
        <v>45318</v>
      </c>
      <c r="E1029" s="1">
        <f t="shared" ca="1" si="196"/>
        <v>45319</v>
      </c>
      <c r="F1029" t="str">
        <f t="shared" ca="1" si="197"/>
        <v>Stroke</v>
      </c>
      <c r="G1029" t="str">
        <f t="shared" ca="1" si="198"/>
        <v>Therapy</v>
      </c>
      <c r="H1029">
        <f t="shared" ca="1" si="199"/>
        <v>1</v>
      </c>
      <c r="I1029" t="str">
        <f t="shared" ca="1" si="200"/>
        <v>Yes</v>
      </c>
      <c r="J1029">
        <f t="shared" ca="1" si="201"/>
        <v>1</v>
      </c>
      <c r="K1029" t="str">
        <f t="shared" ca="1" si="202"/>
        <v>Private</v>
      </c>
      <c r="L1029" t="str">
        <f t="shared" ca="1" si="203"/>
        <v>Cardiology</v>
      </c>
    </row>
    <row r="1030" spans="1:12" x14ac:dyDescent="0.25">
      <c r="A1030">
        <f t="shared" si="192"/>
        <v>1029</v>
      </c>
      <c r="B1030">
        <f t="shared" ca="1" si="193"/>
        <v>23</v>
      </c>
      <c r="C1030" t="str">
        <f t="shared" ca="1" si="194"/>
        <v>Male</v>
      </c>
      <c r="D1030" s="1">
        <f t="shared" ca="1" si="195"/>
        <v>45505</v>
      </c>
      <c r="E1030" s="1">
        <f t="shared" ca="1" si="196"/>
        <v>45518</v>
      </c>
      <c r="F1030" t="str">
        <f t="shared" ca="1" si="197"/>
        <v>Pneumonia</v>
      </c>
      <c r="G1030" t="str">
        <f t="shared" ca="1" si="198"/>
        <v>Medication</v>
      </c>
      <c r="H1030">
        <f t="shared" ca="1" si="199"/>
        <v>13</v>
      </c>
      <c r="I1030" t="str">
        <f t="shared" ca="1" si="200"/>
        <v>No</v>
      </c>
      <c r="J1030">
        <f t="shared" ca="1" si="201"/>
        <v>0</v>
      </c>
      <c r="K1030" t="str">
        <f t="shared" ca="1" si="202"/>
        <v>None</v>
      </c>
      <c r="L1030" t="str">
        <f t="shared" ca="1" si="203"/>
        <v>Neurology</v>
      </c>
    </row>
    <row r="1031" spans="1:12" x14ac:dyDescent="0.25">
      <c r="A1031">
        <f t="shared" si="192"/>
        <v>1030</v>
      </c>
      <c r="B1031">
        <f t="shared" ca="1" si="193"/>
        <v>21</v>
      </c>
      <c r="C1031" t="str">
        <f t="shared" ca="1" si="194"/>
        <v>Male</v>
      </c>
      <c r="D1031" s="1">
        <f t="shared" ca="1" si="195"/>
        <v>45384</v>
      </c>
      <c r="E1031" s="1">
        <f t="shared" ca="1" si="196"/>
        <v>45394</v>
      </c>
      <c r="F1031" t="str">
        <f t="shared" ca="1" si="197"/>
        <v>Hypertension</v>
      </c>
      <c r="G1031" t="str">
        <f t="shared" ca="1" si="198"/>
        <v>Medication</v>
      </c>
      <c r="H1031">
        <f t="shared" ca="1" si="199"/>
        <v>10</v>
      </c>
      <c r="I1031" t="str">
        <f t="shared" ca="1" si="200"/>
        <v>No</v>
      </c>
      <c r="J1031">
        <f t="shared" ca="1" si="201"/>
        <v>3</v>
      </c>
      <c r="K1031" t="str">
        <f t="shared" ca="1" si="202"/>
        <v>Private</v>
      </c>
      <c r="L1031" t="str">
        <f t="shared" ca="1" si="203"/>
        <v>ICU</v>
      </c>
    </row>
    <row r="1032" spans="1:12" x14ac:dyDescent="0.25">
      <c r="A1032">
        <f t="shared" si="192"/>
        <v>1031</v>
      </c>
      <c r="B1032">
        <f t="shared" ca="1" si="193"/>
        <v>68</v>
      </c>
      <c r="C1032" t="str">
        <f t="shared" ca="1" si="194"/>
        <v>Male</v>
      </c>
      <c r="D1032" s="1">
        <f t="shared" ca="1" si="195"/>
        <v>45546</v>
      </c>
      <c r="E1032" s="1">
        <f t="shared" ca="1" si="196"/>
        <v>45561</v>
      </c>
      <c r="F1032" t="str">
        <f t="shared" ca="1" si="197"/>
        <v>Heart Failure</v>
      </c>
      <c r="G1032" t="str">
        <f t="shared" ca="1" si="198"/>
        <v>Medication</v>
      </c>
      <c r="H1032">
        <f t="shared" ca="1" si="199"/>
        <v>15</v>
      </c>
      <c r="I1032" t="str">
        <f t="shared" ca="1" si="200"/>
        <v>No</v>
      </c>
      <c r="J1032">
        <f t="shared" ca="1" si="201"/>
        <v>2</v>
      </c>
      <c r="K1032" t="str">
        <f t="shared" ca="1" si="202"/>
        <v>Public</v>
      </c>
      <c r="L1032" t="str">
        <f t="shared" ca="1" si="203"/>
        <v>General</v>
      </c>
    </row>
    <row r="1033" spans="1:12" x14ac:dyDescent="0.25">
      <c r="A1033">
        <f t="shared" si="192"/>
        <v>1032</v>
      </c>
      <c r="B1033">
        <f t="shared" ca="1" si="193"/>
        <v>30</v>
      </c>
      <c r="C1033" t="str">
        <f t="shared" ca="1" si="194"/>
        <v>Female</v>
      </c>
      <c r="D1033" s="1">
        <f t="shared" ca="1" si="195"/>
        <v>45355</v>
      </c>
      <c r="E1033" s="1">
        <f t="shared" ca="1" si="196"/>
        <v>45359</v>
      </c>
      <c r="F1033" t="str">
        <f t="shared" ca="1" si="197"/>
        <v>Diabetes</v>
      </c>
      <c r="G1033" t="str">
        <f t="shared" ca="1" si="198"/>
        <v>Surgery</v>
      </c>
      <c r="H1033">
        <f t="shared" ca="1" si="199"/>
        <v>4</v>
      </c>
      <c r="I1033" t="str">
        <f t="shared" ca="1" si="200"/>
        <v>No</v>
      </c>
      <c r="J1033">
        <f t="shared" ca="1" si="201"/>
        <v>1</v>
      </c>
      <c r="K1033" t="str">
        <f t="shared" ca="1" si="202"/>
        <v>Public</v>
      </c>
      <c r="L1033" t="str">
        <f t="shared" ca="1" si="203"/>
        <v>ICU</v>
      </c>
    </row>
    <row r="1034" spans="1:12" x14ac:dyDescent="0.25">
      <c r="A1034">
        <f t="shared" si="192"/>
        <v>1033</v>
      </c>
      <c r="B1034">
        <f t="shared" ca="1" si="193"/>
        <v>37</v>
      </c>
      <c r="C1034" t="str">
        <f t="shared" ca="1" si="194"/>
        <v>Female</v>
      </c>
      <c r="D1034" s="1">
        <f t="shared" ca="1" si="195"/>
        <v>45331</v>
      </c>
      <c r="E1034" s="1">
        <f t="shared" ca="1" si="196"/>
        <v>45337</v>
      </c>
      <c r="F1034" t="str">
        <f t="shared" ca="1" si="197"/>
        <v>Stroke</v>
      </c>
      <c r="G1034" t="str">
        <f t="shared" ca="1" si="198"/>
        <v>Therapy</v>
      </c>
      <c r="H1034">
        <f t="shared" ca="1" si="199"/>
        <v>6</v>
      </c>
      <c r="I1034" t="str">
        <f t="shared" ca="1" si="200"/>
        <v>Yes</v>
      </c>
      <c r="J1034">
        <f t="shared" ca="1" si="201"/>
        <v>2</v>
      </c>
      <c r="K1034" t="str">
        <f t="shared" ca="1" si="202"/>
        <v>Private</v>
      </c>
      <c r="L1034" t="str">
        <f t="shared" ca="1" si="203"/>
        <v>Neurology</v>
      </c>
    </row>
    <row r="1035" spans="1:12" x14ac:dyDescent="0.25">
      <c r="A1035">
        <f t="shared" si="192"/>
        <v>1034</v>
      </c>
      <c r="B1035">
        <f t="shared" ca="1" si="193"/>
        <v>86</v>
      </c>
      <c r="C1035" t="str">
        <f t="shared" ca="1" si="194"/>
        <v>Female</v>
      </c>
      <c r="D1035" s="1">
        <f t="shared" ca="1" si="195"/>
        <v>45321</v>
      </c>
      <c r="E1035" s="1">
        <f t="shared" ca="1" si="196"/>
        <v>45335</v>
      </c>
      <c r="F1035" t="str">
        <f t="shared" ca="1" si="197"/>
        <v>Stroke</v>
      </c>
      <c r="G1035" t="str">
        <f t="shared" ca="1" si="198"/>
        <v>Therapy</v>
      </c>
      <c r="H1035">
        <f t="shared" ca="1" si="199"/>
        <v>14</v>
      </c>
      <c r="I1035" t="str">
        <f t="shared" ca="1" si="200"/>
        <v>No</v>
      </c>
      <c r="J1035">
        <f t="shared" ca="1" si="201"/>
        <v>4</v>
      </c>
      <c r="K1035" t="str">
        <f t="shared" ca="1" si="202"/>
        <v>None</v>
      </c>
      <c r="L1035" t="str">
        <f t="shared" ca="1" si="203"/>
        <v>ER</v>
      </c>
    </row>
    <row r="1036" spans="1:12" x14ac:dyDescent="0.25">
      <c r="A1036">
        <f t="shared" si="192"/>
        <v>1035</v>
      </c>
      <c r="B1036">
        <f t="shared" ca="1" si="193"/>
        <v>57</v>
      </c>
      <c r="C1036" t="str">
        <f t="shared" ca="1" si="194"/>
        <v>Female</v>
      </c>
      <c r="D1036" s="1">
        <f t="shared" ca="1" si="195"/>
        <v>45560</v>
      </c>
      <c r="E1036" s="1">
        <f t="shared" ca="1" si="196"/>
        <v>45561</v>
      </c>
      <c r="F1036" t="str">
        <f t="shared" ca="1" si="197"/>
        <v>Stroke</v>
      </c>
      <c r="G1036" t="str">
        <f t="shared" ca="1" si="198"/>
        <v>Surgery</v>
      </c>
      <c r="H1036">
        <f t="shared" ca="1" si="199"/>
        <v>1</v>
      </c>
      <c r="I1036" t="str">
        <f t="shared" ca="1" si="200"/>
        <v>No</v>
      </c>
      <c r="J1036">
        <f t="shared" ca="1" si="201"/>
        <v>2</v>
      </c>
      <c r="K1036" t="str">
        <f t="shared" ca="1" si="202"/>
        <v>None</v>
      </c>
      <c r="L1036" t="str">
        <f t="shared" ca="1" si="203"/>
        <v>ICU</v>
      </c>
    </row>
    <row r="1037" spans="1:12" x14ac:dyDescent="0.25">
      <c r="A1037">
        <f t="shared" si="192"/>
        <v>1036</v>
      </c>
      <c r="B1037">
        <f t="shared" ca="1" si="193"/>
        <v>63</v>
      </c>
      <c r="C1037" t="str">
        <f t="shared" ca="1" si="194"/>
        <v>Male</v>
      </c>
      <c r="D1037" s="1">
        <f t="shared" ca="1" si="195"/>
        <v>45385</v>
      </c>
      <c r="E1037" s="1">
        <f t="shared" ca="1" si="196"/>
        <v>45396</v>
      </c>
      <c r="F1037" t="str">
        <f t="shared" ca="1" si="197"/>
        <v>Pneumonia</v>
      </c>
      <c r="G1037" t="str">
        <f t="shared" ca="1" si="198"/>
        <v>Therapy</v>
      </c>
      <c r="H1037">
        <f t="shared" ca="1" si="199"/>
        <v>11</v>
      </c>
      <c r="I1037" t="str">
        <f t="shared" ca="1" si="200"/>
        <v>No</v>
      </c>
      <c r="J1037">
        <f t="shared" ca="1" si="201"/>
        <v>4</v>
      </c>
      <c r="K1037" t="str">
        <f t="shared" ca="1" si="202"/>
        <v>Private</v>
      </c>
      <c r="L1037" t="str">
        <f t="shared" ca="1" si="203"/>
        <v>Cardiology</v>
      </c>
    </row>
    <row r="1038" spans="1:12" x14ac:dyDescent="0.25">
      <c r="A1038">
        <f t="shared" si="192"/>
        <v>1037</v>
      </c>
      <c r="B1038">
        <f t="shared" ca="1" si="193"/>
        <v>74</v>
      </c>
      <c r="C1038" t="str">
        <f t="shared" ca="1" si="194"/>
        <v>Male</v>
      </c>
      <c r="D1038" s="1">
        <f t="shared" ca="1" si="195"/>
        <v>45374</v>
      </c>
      <c r="E1038" s="1">
        <f t="shared" ca="1" si="196"/>
        <v>45389</v>
      </c>
      <c r="F1038" t="str">
        <f t="shared" ca="1" si="197"/>
        <v>Hypertension</v>
      </c>
      <c r="G1038" t="str">
        <f t="shared" ca="1" si="198"/>
        <v>Therapy</v>
      </c>
      <c r="H1038">
        <f t="shared" ca="1" si="199"/>
        <v>15</v>
      </c>
      <c r="I1038" t="str">
        <f t="shared" ca="1" si="200"/>
        <v>No</v>
      </c>
      <c r="J1038">
        <f t="shared" ca="1" si="201"/>
        <v>1</v>
      </c>
      <c r="K1038" t="str">
        <f t="shared" ca="1" si="202"/>
        <v>None</v>
      </c>
      <c r="L1038" t="str">
        <f t="shared" ca="1" si="203"/>
        <v>General</v>
      </c>
    </row>
    <row r="1039" spans="1:12" x14ac:dyDescent="0.25">
      <c r="A1039">
        <f t="shared" si="192"/>
        <v>1038</v>
      </c>
      <c r="B1039">
        <f t="shared" ca="1" si="193"/>
        <v>59</v>
      </c>
      <c r="C1039" t="str">
        <f t="shared" ca="1" si="194"/>
        <v>Male</v>
      </c>
      <c r="D1039" s="1">
        <f t="shared" ca="1" si="195"/>
        <v>45327</v>
      </c>
      <c r="E1039" s="1">
        <f t="shared" ca="1" si="196"/>
        <v>45340</v>
      </c>
      <c r="F1039" t="str">
        <f t="shared" ca="1" si="197"/>
        <v>Diabetes</v>
      </c>
      <c r="G1039" t="str">
        <f t="shared" ca="1" si="198"/>
        <v>Surgery</v>
      </c>
      <c r="H1039">
        <f t="shared" ca="1" si="199"/>
        <v>13</v>
      </c>
      <c r="I1039" t="str">
        <f t="shared" ca="1" si="200"/>
        <v>No</v>
      </c>
      <c r="J1039">
        <f t="shared" ca="1" si="201"/>
        <v>4</v>
      </c>
      <c r="K1039" t="str">
        <f t="shared" ca="1" si="202"/>
        <v>Public</v>
      </c>
      <c r="L1039" t="str">
        <f t="shared" ca="1" si="203"/>
        <v>ER</v>
      </c>
    </row>
    <row r="1040" spans="1:12" x14ac:dyDescent="0.25">
      <c r="A1040">
        <f t="shared" si="192"/>
        <v>1039</v>
      </c>
      <c r="B1040">
        <f t="shared" ca="1" si="193"/>
        <v>34</v>
      </c>
      <c r="C1040" t="str">
        <f t="shared" ca="1" si="194"/>
        <v>Male</v>
      </c>
      <c r="D1040" s="1">
        <f t="shared" ca="1" si="195"/>
        <v>45350</v>
      </c>
      <c r="E1040" s="1">
        <f t="shared" ca="1" si="196"/>
        <v>45363</v>
      </c>
      <c r="F1040" t="str">
        <f t="shared" ca="1" si="197"/>
        <v>Pneumonia</v>
      </c>
      <c r="G1040" t="str">
        <f t="shared" ca="1" si="198"/>
        <v>Medication</v>
      </c>
      <c r="H1040">
        <f t="shared" ca="1" si="199"/>
        <v>13</v>
      </c>
      <c r="I1040" t="str">
        <f t="shared" ca="1" si="200"/>
        <v>No</v>
      </c>
      <c r="J1040">
        <f t="shared" ca="1" si="201"/>
        <v>2</v>
      </c>
      <c r="K1040" t="str">
        <f t="shared" ca="1" si="202"/>
        <v>None</v>
      </c>
      <c r="L1040" t="str">
        <f t="shared" ca="1" si="203"/>
        <v>Neurology</v>
      </c>
    </row>
    <row r="1041" spans="1:12" x14ac:dyDescent="0.25">
      <c r="A1041">
        <f t="shared" si="192"/>
        <v>1040</v>
      </c>
      <c r="B1041">
        <f t="shared" ca="1" si="193"/>
        <v>83</v>
      </c>
      <c r="C1041" t="str">
        <f t="shared" ca="1" si="194"/>
        <v>Female</v>
      </c>
      <c r="D1041" s="1">
        <f t="shared" ca="1" si="195"/>
        <v>45515</v>
      </c>
      <c r="E1041" s="1">
        <f t="shared" ca="1" si="196"/>
        <v>45518</v>
      </c>
      <c r="F1041" t="str">
        <f t="shared" ca="1" si="197"/>
        <v>Diabetes</v>
      </c>
      <c r="G1041" t="str">
        <f t="shared" ca="1" si="198"/>
        <v>Surgery</v>
      </c>
      <c r="H1041">
        <f t="shared" ca="1" si="199"/>
        <v>3</v>
      </c>
      <c r="I1041" t="str">
        <f t="shared" ca="1" si="200"/>
        <v>Yes</v>
      </c>
      <c r="J1041">
        <f t="shared" ca="1" si="201"/>
        <v>4</v>
      </c>
      <c r="K1041" t="str">
        <f t="shared" ca="1" si="202"/>
        <v>Public</v>
      </c>
      <c r="L1041" t="str">
        <f t="shared" ca="1" si="203"/>
        <v>Cardiology</v>
      </c>
    </row>
    <row r="1042" spans="1:12" x14ac:dyDescent="0.25">
      <c r="A1042">
        <f t="shared" si="192"/>
        <v>1041</v>
      </c>
      <c r="B1042">
        <f t="shared" ca="1" si="193"/>
        <v>36</v>
      </c>
      <c r="C1042" t="str">
        <f t="shared" ca="1" si="194"/>
        <v>Male</v>
      </c>
      <c r="D1042" s="1">
        <f t="shared" ca="1" si="195"/>
        <v>45624</v>
      </c>
      <c r="E1042" s="1">
        <f t="shared" ca="1" si="196"/>
        <v>45639</v>
      </c>
      <c r="F1042" t="str">
        <f t="shared" ca="1" si="197"/>
        <v>Heart Failure</v>
      </c>
      <c r="G1042" t="str">
        <f t="shared" ca="1" si="198"/>
        <v>Therapy</v>
      </c>
      <c r="H1042">
        <f t="shared" ca="1" si="199"/>
        <v>15</v>
      </c>
      <c r="I1042" t="str">
        <f t="shared" ca="1" si="200"/>
        <v>Yes</v>
      </c>
      <c r="J1042">
        <f t="shared" ca="1" si="201"/>
        <v>4</v>
      </c>
      <c r="K1042" t="str">
        <f t="shared" ca="1" si="202"/>
        <v>Public</v>
      </c>
      <c r="L1042" t="str">
        <f t="shared" ca="1" si="203"/>
        <v>ICU</v>
      </c>
    </row>
    <row r="1043" spans="1:12" x14ac:dyDescent="0.25">
      <c r="A1043">
        <f t="shared" si="192"/>
        <v>1042</v>
      </c>
      <c r="B1043">
        <f t="shared" ca="1" si="193"/>
        <v>42</v>
      </c>
      <c r="C1043" t="str">
        <f t="shared" ca="1" si="194"/>
        <v>Male</v>
      </c>
      <c r="D1043" s="1">
        <f t="shared" ca="1" si="195"/>
        <v>45344</v>
      </c>
      <c r="E1043" s="1">
        <f t="shared" ca="1" si="196"/>
        <v>45355</v>
      </c>
      <c r="F1043" t="str">
        <f t="shared" ca="1" si="197"/>
        <v>Diabetes</v>
      </c>
      <c r="G1043" t="str">
        <f t="shared" ca="1" si="198"/>
        <v>Therapy</v>
      </c>
      <c r="H1043">
        <f t="shared" ca="1" si="199"/>
        <v>11</v>
      </c>
      <c r="I1043" t="str">
        <f t="shared" ca="1" si="200"/>
        <v>No</v>
      </c>
      <c r="J1043">
        <f t="shared" ca="1" si="201"/>
        <v>2</v>
      </c>
      <c r="K1043" t="str">
        <f t="shared" ca="1" si="202"/>
        <v>Private</v>
      </c>
      <c r="L1043" t="str">
        <f t="shared" ca="1" si="203"/>
        <v>Cardiology</v>
      </c>
    </row>
    <row r="1044" spans="1:12" x14ac:dyDescent="0.25">
      <c r="A1044">
        <f t="shared" si="192"/>
        <v>1043</v>
      </c>
      <c r="B1044">
        <f t="shared" ca="1" si="193"/>
        <v>81</v>
      </c>
      <c r="C1044" t="str">
        <f t="shared" ca="1" si="194"/>
        <v>Male</v>
      </c>
      <c r="D1044" s="1">
        <f t="shared" ca="1" si="195"/>
        <v>45642</v>
      </c>
      <c r="E1044" s="1">
        <f t="shared" ca="1" si="196"/>
        <v>45645</v>
      </c>
      <c r="F1044" t="str">
        <f t="shared" ca="1" si="197"/>
        <v>Stroke</v>
      </c>
      <c r="G1044" t="str">
        <f t="shared" ca="1" si="198"/>
        <v>Therapy</v>
      </c>
      <c r="H1044">
        <f t="shared" ca="1" si="199"/>
        <v>3</v>
      </c>
      <c r="I1044" t="str">
        <f t="shared" ca="1" si="200"/>
        <v>No</v>
      </c>
      <c r="J1044">
        <f t="shared" ca="1" si="201"/>
        <v>3</v>
      </c>
      <c r="K1044" t="str">
        <f t="shared" ca="1" si="202"/>
        <v>Public</v>
      </c>
      <c r="L1044" t="str">
        <f t="shared" ca="1" si="203"/>
        <v>Neurology</v>
      </c>
    </row>
    <row r="1045" spans="1:12" x14ac:dyDescent="0.25">
      <c r="A1045">
        <f t="shared" si="192"/>
        <v>1044</v>
      </c>
      <c r="B1045">
        <f t="shared" ca="1" si="193"/>
        <v>28</v>
      </c>
      <c r="C1045" t="str">
        <f t="shared" ca="1" si="194"/>
        <v>Female</v>
      </c>
      <c r="D1045" s="1">
        <f t="shared" ca="1" si="195"/>
        <v>45438</v>
      </c>
      <c r="E1045" s="1">
        <f t="shared" ca="1" si="196"/>
        <v>45447</v>
      </c>
      <c r="F1045" t="str">
        <f t="shared" ca="1" si="197"/>
        <v>Pneumonia</v>
      </c>
      <c r="G1045" t="str">
        <f t="shared" ca="1" si="198"/>
        <v>Therapy</v>
      </c>
      <c r="H1045">
        <f t="shared" ca="1" si="199"/>
        <v>9</v>
      </c>
      <c r="I1045" t="str">
        <f t="shared" ca="1" si="200"/>
        <v>No</v>
      </c>
      <c r="J1045">
        <f t="shared" ca="1" si="201"/>
        <v>4</v>
      </c>
      <c r="K1045" t="str">
        <f t="shared" ca="1" si="202"/>
        <v>Public</v>
      </c>
      <c r="L1045" t="str">
        <f t="shared" ca="1" si="203"/>
        <v>General</v>
      </c>
    </row>
    <row r="1046" spans="1:12" x14ac:dyDescent="0.25">
      <c r="A1046">
        <f t="shared" si="192"/>
        <v>1045</v>
      </c>
      <c r="B1046">
        <f t="shared" ca="1" si="193"/>
        <v>89</v>
      </c>
      <c r="C1046" t="str">
        <f t="shared" ca="1" si="194"/>
        <v>Female</v>
      </c>
      <c r="D1046" s="1">
        <f t="shared" ca="1" si="195"/>
        <v>45378</v>
      </c>
      <c r="E1046" s="1">
        <f t="shared" ca="1" si="196"/>
        <v>45384</v>
      </c>
      <c r="F1046" t="str">
        <f t="shared" ca="1" si="197"/>
        <v>Diabetes</v>
      </c>
      <c r="G1046" t="str">
        <f t="shared" ca="1" si="198"/>
        <v>Therapy</v>
      </c>
      <c r="H1046">
        <f t="shared" ca="1" si="199"/>
        <v>6</v>
      </c>
      <c r="I1046" t="str">
        <f t="shared" ca="1" si="200"/>
        <v>Yes</v>
      </c>
      <c r="J1046">
        <f t="shared" ca="1" si="201"/>
        <v>0</v>
      </c>
      <c r="K1046" t="str">
        <f t="shared" ca="1" si="202"/>
        <v>None</v>
      </c>
      <c r="L1046" t="str">
        <f t="shared" ca="1" si="203"/>
        <v>ICU</v>
      </c>
    </row>
    <row r="1047" spans="1:12" x14ac:dyDescent="0.25">
      <c r="A1047">
        <f t="shared" si="192"/>
        <v>1046</v>
      </c>
      <c r="B1047">
        <f t="shared" ca="1" si="193"/>
        <v>68</v>
      </c>
      <c r="C1047" t="str">
        <f t="shared" ca="1" si="194"/>
        <v>Male</v>
      </c>
      <c r="D1047" s="1">
        <f t="shared" ca="1" si="195"/>
        <v>45396</v>
      </c>
      <c r="E1047" s="1">
        <f t="shared" ca="1" si="196"/>
        <v>45406</v>
      </c>
      <c r="F1047" t="str">
        <f t="shared" ca="1" si="197"/>
        <v>Pneumonia</v>
      </c>
      <c r="G1047" t="str">
        <f t="shared" ca="1" si="198"/>
        <v>Surgery</v>
      </c>
      <c r="H1047">
        <f t="shared" ca="1" si="199"/>
        <v>10</v>
      </c>
      <c r="I1047" t="str">
        <f t="shared" ca="1" si="200"/>
        <v>Yes</v>
      </c>
      <c r="J1047">
        <f t="shared" ca="1" si="201"/>
        <v>1</v>
      </c>
      <c r="K1047" t="str">
        <f t="shared" ca="1" si="202"/>
        <v>None</v>
      </c>
      <c r="L1047" t="str">
        <f t="shared" ca="1" si="203"/>
        <v>ICU</v>
      </c>
    </row>
    <row r="1048" spans="1:12" x14ac:dyDescent="0.25">
      <c r="A1048">
        <f t="shared" si="192"/>
        <v>1047</v>
      </c>
      <c r="B1048">
        <f t="shared" ca="1" si="193"/>
        <v>57</v>
      </c>
      <c r="C1048" t="str">
        <f t="shared" ca="1" si="194"/>
        <v>Female</v>
      </c>
      <c r="D1048" s="1">
        <f t="shared" ca="1" si="195"/>
        <v>45436</v>
      </c>
      <c r="E1048" s="1">
        <f t="shared" ca="1" si="196"/>
        <v>45449</v>
      </c>
      <c r="F1048" t="str">
        <f t="shared" ca="1" si="197"/>
        <v>Diabetes</v>
      </c>
      <c r="G1048" t="str">
        <f t="shared" ca="1" si="198"/>
        <v>Therapy</v>
      </c>
      <c r="H1048">
        <f t="shared" ca="1" si="199"/>
        <v>13</v>
      </c>
      <c r="I1048" t="str">
        <f t="shared" ca="1" si="200"/>
        <v>No</v>
      </c>
      <c r="J1048">
        <f t="shared" ca="1" si="201"/>
        <v>3</v>
      </c>
      <c r="K1048" t="str">
        <f t="shared" ca="1" si="202"/>
        <v>Private</v>
      </c>
      <c r="L1048" t="str">
        <f t="shared" ca="1" si="203"/>
        <v>General</v>
      </c>
    </row>
    <row r="1049" spans="1:12" x14ac:dyDescent="0.25">
      <c r="A1049">
        <f t="shared" si="192"/>
        <v>1048</v>
      </c>
      <c r="B1049">
        <f t="shared" ca="1" si="193"/>
        <v>25</v>
      </c>
      <c r="C1049" t="str">
        <f t="shared" ca="1" si="194"/>
        <v>Female</v>
      </c>
      <c r="D1049" s="1">
        <f t="shared" ca="1" si="195"/>
        <v>45609</v>
      </c>
      <c r="E1049" s="1">
        <f t="shared" ca="1" si="196"/>
        <v>45620</v>
      </c>
      <c r="F1049" t="str">
        <f t="shared" ca="1" si="197"/>
        <v>Pneumonia</v>
      </c>
      <c r="G1049" t="str">
        <f t="shared" ca="1" si="198"/>
        <v>Therapy</v>
      </c>
      <c r="H1049">
        <f t="shared" ca="1" si="199"/>
        <v>11</v>
      </c>
      <c r="I1049" t="str">
        <f t="shared" ca="1" si="200"/>
        <v>Yes</v>
      </c>
      <c r="J1049">
        <f t="shared" ca="1" si="201"/>
        <v>4</v>
      </c>
      <c r="K1049" t="str">
        <f t="shared" ca="1" si="202"/>
        <v>Private</v>
      </c>
      <c r="L1049" t="str">
        <f t="shared" ca="1" si="203"/>
        <v>Cardiology</v>
      </c>
    </row>
    <row r="1050" spans="1:12" x14ac:dyDescent="0.25">
      <c r="A1050">
        <f t="shared" si="192"/>
        <v>1049</v>
      </c>
      <c r="B1050">
        <f t="shared" ca="1" si="193"/>
        <v>47</v>
      </c>
      <c r="C1050" t="str">
        <f t="shared" ca="1" si="194"/>
        <v>Male</v>
      </c>
      <c r="D1050" s="1">
        <f t="shared" ca="1" si="195"/>
        <v>45336</v>
      </c>
      <c r="E1050" s="1">
        <f t="shared" ca="1" si="196"/>
        <v>45343</v>
      </c>
      <c r="F1050" t="str">
        <f t="shared" ca="1" si="197"/>
        <v>Stroke</v>
      </c>
      <c r="G1050" t="str">
        <f t="shared" ca="1" si="198"/>
        <v>Medication</v>
      </c>
      <c r="H1050">
        <f t="shared" ca="1" si="199"/>
        <v>7</v>
      </c>
      <c r="I1050" t="str">
        <f t="shared" ca="1" si="200"/>
        <v>No</v>
      </c>
      <c r="J1050">
        <f t="shared" ca="1" si="201"/>
        <v>1</v>
      </c>
      <c r="K1050" t="str">
        <f t="shared" ca="1" si="202"/>
        <v>None</v>
      </c>
      <c r="L1050" t="str">
        <f t="shared" ca="1" si="203"/>
        <v>ER</v>
      </c>
    </row>
    <row r="1051" spans="1:12" x14ac:dyDescent="0.25">
      <c r="A1051">
        <f t="shared" si="192"/>
        <v>1050</v>
      </c>
      <c r="B1051">
        <f t="shared" ca="1" si="193"/>
        <v>48</v>
      </c>
      <c r="C1051" t="str">
        <f t="shared" ca="1" si="194"/>
        <v>Male</v>
      </c>
      <c r="D1051" s="1">
        <f t="shared" ca="1" si="195"/>
        <v>45376</v>
      </c>
      <c r="E1051" s="1">
        <f t="shared" ca="1" si="196"/>
        <v>45380</v>
      </c>
      <c r="F1051" t="str">
        <f t="shared" ca="1" si="197"/>
        <v>Diabetes</v>
      </c>
      <c r="G1051" t="str">
        <f t="shared" ca="1" si="198"/>
        <v>Medication</v>
      </c>
      <c r="H1051">
        <f t="shared" ca="1" si="199"/>
        <v>4</v>
      </c>
      <c r="I1051" t="str">
        <f t="shared" ca="1" si="200"/>
        <v>No</v>
      </c>
      <c r="J1051">
        <f t="shared" ca="1" si="201"/>
        <v>4</v>
      </c>
      <c r="K1051" t="str">
        <f t="shared" ca="1" si="202"/>
        <v>Public</v>
      </c>
      <c r="L1051" t="str">
        <f t="shared" ca="1" si="203"/>
        <v>Neurology</v>
      </c>
    </row>
    <row r="1052" spans="1:12" x14ac:dyDescent="0.25">
      <c r="A1052">
        <f t="shared" si="192"/>
        <v>1051</v>
      </c>
      <c r="B1052">
        <f t="shared" ca="1" si="193"/>
        <v>45</v>
      </c>
      <c r="C1052" t="str">
        <f t="shared" ca="1" si="194"/>
        <v>Male</v>
      </c>
      <c r="D1052" s="1">
        <f t="shared" ca="1" si="195"/>
        <v>45634</v>
      </c>
      <c r="E1052" s="1">
        <f t="shared" ca="1" si="196"/>
        <v>45639</v>
      </c>
      <c r="F1052" t="str">
        <f t="shared" ca="1" si="197"/>
        <v>Diabetes</v>
      </c>
      <c r="G1052" t="str">
        <f t="shared" ca="1" si="198"/>
        <v>Medication</v>
      </c>
      <c r="H1052">
        <f t="shared" ca="1" si="199"/>
        <v>5</v>
      </c>
      <c r="I1052" t="str">
        <f t="shared" ca="1" si="200"/>
        <v>Yes</v>
      </c>
      <c r="J1052">
        <f t="shared" ca="1" si="201"/>
        <v>1</v>
      </c>
      <c r="K1052" t="str">
        <f t="shared" ca="1" si="202"/>
        <v>Private</v>
      </c>
      <c r="L1052" t="str">
        <f t="shared" ca="1" si="203"/>
        <v>ICU</v>
      </c>
    </row>
    <row r="1053" spans="1:12" x14ac:dyDescent="0.25">
      <c r="A1053">
        <f t="shared" si="192"/>
        <v>1052</v>
      </c>
      <c r="B1053">
        <f t="shared" ca="1" si="193"/>
        <v>44</v>
      </c>
      <c r="C1053" t="str">
        <f t="shared" ca="1" si="194"/>
        <v>Male</v>
      </c>
      <c r="D1053" s="1">
        <f t="shared" ca="1" si="195"/>
        <v>45424</v>
      </c>
      <c r="E1053" s="1">
        <f t="shared" ca="1" si="196"/>
        <v>45429</v>
      </c>
      <c r="F1053" t="str">
        <f t="shared" ca="1" si="197"/>
        <v>Heart Failure</v>
      </c>
      <c r="G1053" t="str">
        <f t="shared" ca="1" si="198"/>
        <v>Therapy</v>
      </c>
      <c r="H1053">
        <f t="shared" ca="1" si="199"/>
        <v>5</v>
      </c>
      <c r="I1053" t="str">
        <f t="shared" ca="1" si="200"/>
        <v>No</v>
      </c>
      <c r="J1053">
        <f t="shared" ca="1" si="201"/>
        <v>0</v>
      </c>
      <c r="K1053" t="str">
        <f t="shared" ca="1" si="202"/>
        <v>None</v>
      </c>
      <c r="L1053" t="str">
        <f t="shared" ca="1" si="203"/>
        <v>ICU</v>
      </c>
    </row>
    <row r="1054" spans="1:12" x14ac:dyDescent="0.25">
      <c r="A1054">
        <f t="shared" si="192"/>
        <v>1053</v>
      </c>
      <c r="B1054">
        <f t="shared" ca="1" si="193"/>
        <v>23</v>
      </c>
      <c r="C1054" t="str">
        <f t="shared" ca="1" si="194"/>
        <v>Male</v>
      </c>
      <c r="D1054" s="1">
        <f t="shared" ca="1" si="195"/>
        <v>45307</v>
      </c>
      <c r="E1054" s="1">
        <f t="shared" ca="1" si="196"/>
        <v>45314</v>
      </c>
      <c r="F1054" t="str">
        <f t="shared" ca="1" si="197"/>
        <v>Pneumonia</v>
      </c>
      <c r="G1054" t="str">
        <f t="shared" ca="1" si="198"/>
        <v>Therapy</v>
      </c>
      <c r="H1054">
        <f t="shared" ca="1" si="199"/>
        <v>7</v>
      </c>
      <c r="I1054" t="str">
        <f t="shared" ca="1" si="200"/>
        <v>No</v>
      </c>
      <c r="J1054">
        <f t="shared" ca="1" si="201"/>
        <v>4</v>
      </c>
      <c r="K1054" t="str">
        <f t="shared" ca="1" si="202"/>
        <v>Public</v>
      </c>
      <c r="L1054" t="str">
        <f t="shared" ca="1" si="203"/>
        <v>Cardiology</v>
      </c>
    </row>
    <row r="1055" spans="1:12" x14ac:dyDescent="0.25">
      <c r="A1055">
        <f t="shared" si="192"/>
        <v>1054</v>
      </c>
      <c r="B1055">
        <f t="shared" ca="1" si="193"/>
        <v>42</v>
      </c>
      <c r="C1055" t="str">
        <f t="shared" ca="1" si="194"/>
        <v>Male</v>
      </c>
      <c r="D1055" s="1">
        <f t="shared" ca="1" si="195"/>
        <v>45645</v>
      </c>
      <c r="E1055" s="1">
        <f t="shared" ca="1" si="196"/>
        <v>45646</v>
      </c>
      <c r="F1055" t="str">
        <f t="shared" ca="1" si="197"/>
        <v>Hypertension</v>
      </c>
      <c r="G1055" t="str">
        <f t="shared" ca="1" si="198"/>
        <v>Therapy</v>
      </c>
      <c r="H1055">
        <f t="shared" ca="1" si="199"/>
        <v>1</v>
      </c>
      <c r="I1055" t="str">
        <f t="shared" ca="1" si="200"/>
        <v>No</v>
      </c>
      <c r="J1055">
        <f t="shared" ca="1" si="201"/>
        <v>4</v>
      </c>
      <c r="K1055" t="str">
        <f t="shared" ca="1" si="202"/>
        <v>Public</v>
      </c>
      <c r="L1055" t="str">
        <f t="shared" ca="1" si="203"/>
        <v>Neurology</v>
      </c>
    </row>
    <row r="1056" spans="1:12" x14ac:dyDescent="0.25">
      <c r="A1056">
        <f t="shared" si="192"/>
        <v>1055</v>
      </c>
      <c r="B1056">
        <f t="shared" ca="1" si="193"/>
        <v>80</v>
      </c>
      <c r="C1056" t="str">
        <f t="shared" ca="1" si="194"/>
        <v>Female</v>
      </c>
      <c r="D1056" s="1">
        <f t="shared" ca="1" si="195"/>
        <v>45418</v>
      </c>
      <c r="E1056" s="1">
        <f t="shared" ca="1" si="196"/>
        <v>45423</v>
      </c>
      <c r="F1056" t="str">
        <f t="shared" ca="1" si="197"/>
        <v>Pneumonia</v>
      </c>
      <c r="G1056" t="str">
        <f t="shared" ca="1" si="198"/>
        <v>Medication</v>
      </c>
      <c r="H1056">
        <f t="shared" ca="1" si="199"/>
        <v>5</v>
      </c>
      <c r="I1056" t="str">
        <f t="shared" ca="1" si="200"/>
        <v>No</v>
      </c>
      <c r="J1056">
        <f t="shared" ca="1" si="201"/>
        <v>4</v>
      </c>
      <c r="K1056" t="str">
        <f t="shared" ca="1" si="202"/>
        <v>None</v>
      </c>
      <c r="L1056" t="str">
        <f t="shared" ca="1" si="203"/>
        <v>ICU</v>
      </c>
    </row>
    <row r="1057" spans="1:12" x14ac:dyDescent="0.25">
      <c r="A1057">
        <f t="shared" si="192"/>
        <v>1056</v>
      </c>
      <c r="B1057">
        <f t="shared" ca="1" si="193"/>
        <v>75</v>
      </c>
      <c r="C1057" t="str">
        <f t="shared" ca="1" si="194"/>
        <v>Female</v>
      </c>
      <c r="D1057" s="1">
        <f t="shared" ca="1" si="195"/>
        <v>45329</v>
      </c>
      <c r="E1057" s="1">
        <f t="shared" ca="1" si="196"/>
        <v>45341</v>
      </c>
      <c r="F1057" t="str">
        <f t="shared" ca="1" si="197"/>
        <v>Pneumonia</v>
      </c>
      <c r="G1057" t="str">
        <f t="shared" ca="1" si="198"/>
        <v>Surgery</v>
      </c>
      <c r="H1057">
        <f t="shared" ca="1" si="199"/>
        <v>12</v>
      </c>
      <c r="I1057" t="str">
        <f t="shared" ca="1" si="200"/>
        <v>No</v>
      </c>
      <c r="J1057">
        <f t="shared" ca="1" si="201"/>
        <v>2</v>
      </c>
      <c r="K1057" t="str">
        <f t="shared" ca="1" si="202"/>
        <v>None</v>
      </c>
      <c r="L1057" t="str">
        <f t="shared" ca="1" si="203"/>
        <v>ER</v>
      </c>
    </row>
    <row r="1058" spans="1:12" x14ac:dyDescent="0.25">
      <c r="A1058">
        <f t="shared" si="192"/>
        <v>1057</v>
      </c>
      <c r="B1058">
        <f t="shared" ca="1" si="193"/>
        <v>31</v>
      </c>
      <c r="C1058" t="str">
        <f t="shared" ca="1" si="194"/>
        <v>Male</v>
      </c>
      <c r="D1058" s="1">
        <f t="shared" ca="1" si="195"/>
        <v>45656</v>
      </c>
      <c r="E1058" s="1">
        <f t="shared" ca="1" si="196"/>
        <v>45660</v>
      </c>
      <c r="F1058" t="str">
        <f t="shared" ca="1" si="197"/>
        <v>Stroke</v>
      </c>
      <c r="G1058" t="str">
        <f t="shared" ca="1" si="198"/>
        <v>Medication</v>
      </c>
      <c r="H1058">
        <f t="shared" ca="1" si="199"/>
        <v>4</v>
      </c>
      <c r="I1058" t="str">
        <f t="shared" ca="1" si="200"/>
        <v>No</v>
      </c>
      <c r="J1058">
        <f t="shared" ca="1" si="201"/>
        <v>0</v>
      </c>
      <c r="K1058" t="str">
        <f t="shared" ca="1" si="202"/>
        <v>Public</v>
      </c>
      <c r="L1058" t="str">
        <f t="shared" ca="1" si="203"/>
        <v>Neurology</v>
      </c>
    </row>
    <row r="1059" spans="1:12" x14ac:dyDescent="0.25">
      <c r="A1059">
        <f t="shared" si="192"/>
        <v>1058</v>
      </c>
      <c r="B1059">
        <f t="shared" ca="1" si="193"/>
        <v>72</v>
      </c>
      <c r="C1059" t="str">
        <f t="shared" ca="1" si="194"/>
        <v>Female</v>
      </c>
      <c r="D1059" s="1">
        <f t="shared" ca="1" si="195"/>
        <v>45578</v>
      </c>
      <c r="E1059" s="1">
        <f t="shared" ca="1" si="196"/>
        <v>45591</v>
      </c>
      <c r="F1059" t="str">
        <f t="shared" ca="1" si="197"/>
        <v>Diabetes</v>
      </c>
      <c r="G1059" t="str">
        <f t="shared" ca="1" si="198"/>
        <v>Surgery</v>
      </c>
      <c r="H1059">
        <f t="shared" ca="1" si="199"/>
        <v>13</v>
      </c>
      <c r="I1059" t="str">
        <f t="shared" ca="1" si="200"/>
        <v>No</v>
      </c>
      <c r="J1059">
        <f t="shared" ca="1" si="201"/>
        <v>0</v>
      </c>
      <c r="K1059" t="str">
        <f t="shared" ca="1" si="202"/>
        <v>Private</v>
      </c>
      <c r="L1059" t="str">
        <f t="shared" ca="1" si="203"/>
        <v>Cardiology</v>
      </c>
    </row>
    <row r="1060" spans="1:12" x14ac:dyDescent="0.25">
      <c r="A1060">
        <f t="shared" si="192"/>
        <v>1059</v>
      </c>
      <c r="B1060">
        <f t="shared" ca="1" si="193"/>
        <v>22</v>
      </c>
      <c r="C1060" t="str">
        <f t="shared" ca="1" si="194"/>
        <v>Female</v>
      </c>
      <c r="D1060" s="1">
        <f t="shared" ca="1" si="195"/>
        <v>45482</v>
      </c>
      <c r="E1060" s="1">
        <f t="shared" ca="1" si="196"/>
        <v>45490</v>
      </c>
      <c r="F1060" t="str">
        <f t="shared" ca="1" si="197"/>
        <v>Pneumonia</v>
      </c>
      <c r="G1060" t="str">
        <f t="shared" ca="1" si="198"/>
        <v>Surgery</v>
      </c>
      <c r="H1060">
        <f t="shared" ca="1" si="199"/>
        <v>8</v>
      </c>
      <c r="I1060" t="str">
        <f t="shared" ca="1" si="200"/>
        <v>No</v>
      </c>
      <c r="J1060">
        <f t="shared" ca="1" si="201"/>
        <v>2</v>
      </c>
      <c r="K1060" t="str">
        <f t="shared" ca="1" si="202"/>
        <v>Public</v>
      </c>
      <c r="L1060" t="str">
        <f t="shared" ca="1" si="203"/>
        <v>Cardiology</v>
      </c>
    </row>
    <row r="1061" spans="1:12" x14ac:dyDescent="0.25">
      <c r="A1061">
        <f t="shared" si="192"/>
        <v>1060</v>
      </c>
      <c r="B1061">
        <f t="shared" ca="1" si="193"/>
        <v>21</v>
      </c>
      <c r="C1061" t="str">
        <f t="shared" ca="1" si="194"/>
        <v>Female</v>
      </c>
      <c r="D1061" s="1">
        <f t="shared" ca="1" si="195"/>
        <v>45473</v>
      </c>
      <c r="E1061" s="1">
        <f t="shared" ca="1" si="196"/>
        <v>45486</v>
      </c>
      <c r="F1061" t="str">
        <f t="shared" ca="1" si="197"/>
        <v>Stroke</v>
      </c>
      <c r="G1061" t="str">
        <f t="shared" ca="1" si="198"/>
        <v>Medication</v>
      </c>
      <c r="H1061">
        <f t="shared" ca="1" si="199"/>
        <v>13</v>
      </c>
      <c r="I1061" t="str">
        <f t="shared" ca="1" si="200"/>
        <v>Yes</v>
      </c>
      <c r="J1061">
        <f t="shared" ca="1" si="201"/>
        <v>0</v>
      </c>
      <c r="K1061" t="str">
        <f t="shared" ca="1" si="202"/>
        <v>Private</v>
      </c>
      <c r="L1061" t="str">
        <f t="shared" ca="1" si="203"/>
        <v>ER</v>
      </c>
    </row>
    <row r="1062" spans="1:12" x14ac:dyDescent="0.25">
      <c r="A1062">
        <f t="shared" si="192"/>
        <v>1061</v>
      </c>
      <c r="B1062">
        <f t="shared" ca="1" si="193"/>
        <v>77</v>
      </c>
      <c r="C1062" t="str">
        <f t="shared" ca="1" si="194"/>
        <v>Male</v>
      </c>
      <c r="D1062" s="1">
        <f t="shared" ca="1" si="195"/>
        <v>45607</v>
      </c>
      <c r="E1062" s="1">
        <f t="shared" ca="1" si="196"/>
        <v>45614</v>
      </c>
      <c r="F1062" t="str">
        <f t="shared" ca="1" si="197"/>
        <v>Diabetes</v>
      </c>
      <c r="G1062" t="str">
        <f t="shared" ca="1" si="198"/>
        <v>Medication</v>
      </c>
      <c r="H1062">
        <f t="shared" ca="1" si="199"/>
        <v>7</v>
      </c>
      <c r="I1062" t="str">
        <f t="shared" ca="1" si="200"/>
        <v>Yes</v>
      </c>
      <c r="J1062">
        <f t="shared" ca="1" si="201"/>
        <v>4</v>
      </c>
      <c r="K1062" t="str">
        <f t="shared" ca="1" si="202"/>
        <v>None</v>
      </c>
      <c r="L1062" t="str">
        <f t="shared" ca="1" si="203"/>
        <v>Neurology</v>
      </c>
    </row>
    <row r="1063" spans="1:12" x14ac:dyDescent="0.25">
      <c r="A1063">
        <f t="shared" si="192"/>
        <v>1062</v>
      </c>
      <c r="B1063">
        <f t="shared" ca="1" si="193"/>
        <v>33</v>
      </c>
      <c r="C1063" t="str">
        <f t="shared" ca="1" si="194"/>
        <v>Female</v>
      </c>
      <c r="D1063" s="1">
        <f t="shared" ca="1" si="195"/>
        <v>45550</v>
      </c>
      <c r="E1063" s="1">
        <f t="shared" ca="1" si="196"/>
        <v>45556</v>
      </c>
      <c r="F1063" t="str">
        <f t="shared" ca="1" si="197"/>
        <v>Heart Failure</v>
      </c>
      <c r="G1063" t="str">
        <f t="shared" ca="1" si="198"/>
        <v>Medication</v>
      </c>
      <c r="H1063">
        <f t="shared" ca="1" si="199"/>
        <v>6</v>
      </c>
      <c r="I1063" t="str">
        <f t="shared" ca="1" si="200"/>
        <v>No</v>
      </c>
      <c r="J1063">
        <f t="shared" ca="1" si="201"/>
        <v>2</v>
      </c>
      <c r="K1063" t="str">
        <f t="shared" ca="1" si="202"/>
        <v>Public</v>
      </c>
      <c r="L1063" t="str">
        <f t="shared" ca="1" si="203"/>
        <v>Neurology</v>
      </c>
    </row>
    <row r="1064" spans="1:12" x14ac:dyDescent="0.25">
      <c r="A1064">
        <f t="shared" si="192"/>
        <v>1063</v>
      </c>
      <c r="B1064">
        <f t="shared" ca="1" si="193"/>
        <v>85</v>
      </c>
      <c r="C1064" t="str">
        <f t="shared" ca="1" si="194"/>
        <v>Female</v>
      </c>
      <c r="D1064" s="1">
        <f t="shared" ca="1" si="195"/>
        <v>45343</v>
      </c>
      <c r="E1064" s="1">
        <f t="shared" ca="1" si="196"/>
        <v>45346</v>
      </c>
      <c r="F1064" t="str">
        <f t="shared" ca="1" si="197"/>
        <v>Stroke</v>
      </c>
      <c r="G1064" t="str">
        <f t="shared" ca="1" si="198"/>
        <v>Medication</v>
      </c>
      <c r="H1064">
        <f t="shared" ca="1" si="199"/>
        <v>3</v>
      </c>
      <c r="I1064" t="str">
        <f t="shared" ca="1" si="200"/>
        <v>No</v>
      </c>
      <c r="J1064">
        <f t="shared" ca="1" si="201"/>
        <v>1</v>
      </c>
      <c r="K1064" t="str">
        <f t="shared" ca="1" si="202"/>
        <v>Private</v>
      </c>
      <c r="L1064" t="str">
        <f t="shared" ca="1" si="203"/>
        <v>ER</v>
      </c>
    </row>
    <row r="1065" spans="1:12" x14ac:dyDescent="0.25">
      <c r="A1065">
        <f t="shared" si="192"/>
        <v>1064</v>
      </c>
      <c r="B1065">
        <f t="shared" ca="1" si="193"/>
        <v>45</v>
      </c>
      <c r="C1065" t="str">
        <f t="shared" ca="1" si="194"/>
        <v>Female</v>
      </c>
      <c r="D1065" s="1">
        <f t="shared" ca="1" si="195"/>
        <v>45466</v>
      </c>
      <c r="E1065" s="1">
        <f t="shared" ca="1" si="196"/>
        <v>45475</v>
      </c>
      <c r="F1065" t="str">
        <f t="shared" ca="1" si="197"/>
        <v>Diabetes</v>
      </c>
      <c r="G1065" t="str">
        <f t="shared" ca="1" si="198"/>
        <v>Medication</v>
      </c>
      <c r="H1065">
        <f t="shared" ca="1" si="199"/>
        <v>9</v>
      </c>
      <c r="I1065" t="str">
        <f t="shared" ca="1" si="200"/>
        <v>No</v>
      </c>
      <c r="J1065">
        <f t="shared" ca="1" si="201"/>
        <v>2</v>
      </c>
      <c r="K1065" t="str">
        <f t="shared" ca="1" si="202"/>
        <v>Public</v>
      </c>
      <c r="L1065" t="str">
        <f t="shared" ca="1" si="203"/>
        <v>General</v>
      </c>
    </row>
    <row r="1066" spans="1:12" x14ac:dyDescent="0.25">
      <c r="A1066">
        <f t="shared" si="192"/>
        <v>1065</v>
      </c>
      <c r="B1066">
        <f t="shared" ca="1" si="193"/>
        <v>28</v>
      </c>
      <c r="C1066" t="str">
        <f t="shared" ca="1" si="194"/>
        <v>Male</v>
      </c>
      <c r="D1066" s="1">
        <f t="shared" ca="1" si="195"/>
        <v>45449</v>
      </c>
      <c r="E1066" s="1">
        <f t="shared" ca="1" si="196"/>
        <v>45460</v>
      </c>
      <c r="F1066" t="str">
        <f t="shared" ca="1" si="197"/>
        <v>Heart Failure</v>
      </c>
      <c r="G1066" t="str">
        <f t="shared" ca="1" si="198"/>
        <v>Surgery</v>
      </c>
      <c r="H1066">
        <f t="shared" ca="1" si="199"/>
        <v>11</v>
      </c>
      <c r="I1066" t="str">
        <f t="shared" ca="1" si="200"/>
        <v>No</v>
      </c>
      <c r="J1066">
        <f t="shared" ca="1" si="201"/>
        <v>3</v>
      </c>
      <c r="K1066" t="str">
        <f t="shared" ca="1" si="202"/>
        <v>Public</v>
      </c>
      <c r="L1066" t="str">
        <f t="shared" ca="1" si="203"/>
        <v>ICU</v>
      </c>
    </row>
    <row r="1067" spans="1:12" x14ac:dyDescent="0.25">
      <c r="A1067">
        <f t="shared" si="192"/>
        <v>1066</v>
      </c>
      <c r="B1067">
        <f t="shared" ca="1" si="193"/>
        <v>69</v>
      </c>
      <c r="C1067" t="str">
        <f t="shared" ca="1" si="194"/>
        <v>Male</v>
      </c>
      <c r="D1067" s="1">
        <f t="shared" ca="1" si="195"/>
        <v>45504</v>
      </c>
      <c r="E1067" s="1">
        <f t="shared" ca="1" si="196"/>
        <v>45516</v>
      </c>
      <c r="F1067" t="str">
        <f t="shared" ca="1" si="197"/>
        <v>Heart Failure</v>
      </c>
      <c r="G1067" t="str">
        <f t="shared" ca="1" si="198"/>
        <v>Medication</v>
      </c>
      <c r="H1067">
        <f t="shared" ca="1" si="199"/>
        <v>12</v>
      </c>
      <c r="I1067" t="str">
        <f t="shared" ca="1" si="200"/>
        <v>No</v>
      </c>
      <c r="J1067">
        <f t="shared" ca="1" si="201"/>
        <v>1</v>
      </c>
      <c r="K1067" t="str">
        <f t="shared" ca="1" si="202"/>
        <v>Private</v>
      </c>
      <c r="L1067" t="str">
        <f t="shared" ca="1" si="203"/>
        <v>Neurology</v>
      </c>
    </row>
    <row r="1068" spans="1:12" x14ac:dyDescent="0.25">
      <c r="A1068">
        <f t="shared" si="192"/>
        <v>1067</v>
      </c>
      <c r="B1068">
        <f t="shared" ca="1" si="193"/>
        <v>75</v>
      </c>
      <c r="C1068" t="str">
        <f t="shared" ca="1" si="194"/>
        <v>Female</v>
      </c>
      <c r="D1068" s="1">
        <f t="shared" ca="1" si="195"/>
        <v>45488</v>
      </c>
      <c r="E1068" s="1">
        <f t="shared" ca="1" si="196"/>
        <v>45495</v>
      </c>
      <c r="F1068" t="str">
        <f t="shared" ca="1" si="197"/>
        <v>Diabetes</v>
      </c>
      <c r="G1068" t="str">
        <f t="shared" ca="1" si="198"/>
        <v>Therapy</v>
      </c>
      <c r="H1068">
        <f t="shared" ca="1" si="199"/>
        <v>7</v>
      </c>
      <c r="I1068" t="str">
        <f t="shared" ca="1" si="200"/>
        <v>No</v>
      </c>
      <c r="J1068">
        <f t="shared" ca="1" si="201"/>
        <v>2</v>
      </c>
      <c r="K1068" t="str">
        <f t="shared" ca="1" si="202"/>
        <v>Public</v>
      </c>
      <c r="L1068" t="str">
        <f t="shared" ca="1" si="203"/>
        <v>Neurology</v>
      </c>
    </row>
    <row r="1069" spans="1:12" x14ac:dyDescent="0.25">
      <c r="A1069">
        <f t="shared" si="192"/>
        <v>1068</v>
      </c>
      <c r="B1069">
        <f t="shared" ca="1" si="193"/>
        <v>64</v>
      </c>
      <c r="C1069" t="str">
        <f t="shared" ca="1" si="194"/>
        <v>Female</v>
      </c>
      <c r="D1069" s="1">
        <f t="shared" ca="1" si="195"/>
        <v>45338</v>
      </c>
      <c r="E1069" s="1">
        <f t="shared" ca="1" si="196"/>
        <v>45340</v>
      </c>
      <c r="F1069" t="str">
        <f t="shared" ca="1" si="197"/>
        <v>Stroke</v>
      </c>
      <c r="G1069" t="str">
        <f t="shared" ca="1" si="198"/>
        <v>Surgery</v>
      </c>
      <c r="H1069">
        <f t="shared" ca="1" si="199"/>
        <v>2</v>
      </c>
      <c r="I1069" t="str">
        <f t="shared" ca="1" si="200"/>
        <v>No</v>
      </c>
      <c r="J1069">
        <f t="shared" ca="1" si="201"/>
        <v>0</v>
      </c>
      <c r="K1069" t="str">
        <f t="shared" ca="1" si="202"/>
        <v>None</v>
      </c>
      <c r="L1069" t="str">
        <f t="shared" ca="1" si="203"/>
        <v>Neurology</v>
      </c>
    </row>
    <row r="1070" spans="1:12" x14ac:dyDescent="0.25">
      <c r="A1070">
        <f t="shared" si="192"/>
        <v>1069</v>
      </c>
      <c r="B1070">
        <f t="shared" ca="1" si="193"/>
        <v>26</v>
      </c>
      <c r="C1070" t="str">
        <f t="shared" ca="1" si="194"/>
        <v>Male</v>
      </c>
      <c r="D1070" s="1">
        <f t="shared" ca="1" si="195"/>
        <v>45386</v>
      </c>
      <c r="E1070" s="1">
        <f t="shared" ca="1" si="196"/>
        <v>45393</v>
      </c>
      <c r="F1070" t="str">
        <f t="shared" ca="1" si="197"/>
        <v>Diabetes</v>
      </c>
      <c r="G1070" t="str">
        <f t="shared" ca="1" si="198"/>
        <v>Therapy</v>
      </c>
      <c r="H1070">
        <f t="shared" ca="1" si="199"/>
        <v>7</v>
      </c>
      <c r="I1070" t="str">
        <f t="shared" ca="1" si="200"/>
        <v>No</v>
      </c>
      <c r="J1070">
        <f t="shared" ca="1" si="201"/>
        <v>3</v>
      </c>
      <c r="K1070" t="str">
        <f t="shared" ca="1" si="202"/>
        <v>Public</v>
      </c>
      <c r="L1070" t="str">
        <f t="shared" ca="1" si="203"/>
        <v>Cardiology</v>
      </c>
    </row>
    <row r="1071" spans="1:12" x14ac:dyDescent="0.25">
      <c r="A1071">
        <f t="shared" si="192"/>
        <v>1070</v>
      </c>
      <c r="B1071">
        <f t="shared" ca="1" si="193"/>
        <v>30</v>
      </c>
      <c r="C1071" t="str">
        <f t="shared" ca="1" si="194"/>
        <v>Female</v>
      </c>
      <c r="D1071" s="1">
        <f t="shared" ca="1" si="195"/>
        <v>45632</v>
      </c>
      <c r="E1071" s="1">
        <f t="shared" ca="1" si="196"/>
        <v>45647</v>
      </c>
      <c r="F1071" t="str">
        <f t="shared" ca="1" si="197"/>
        <v>Diabetes</v>
      </c>
      <c r="G1071" t="str">
        <f t="shared" ca="1" si="198"/>
        <v>Surgery</v>
      </c>
      <c r="H1071">
        <f t="shared" ca="1" si="199"/>
        <v>15</v>
      </c>
      <c r="I1071" t="str">
        <f t="shared" ca="1" si="200"/>
        <v>No</v>
      </c>
      <c r="J1071">
        <f t="shared" ca="1" si="201"/>
        <v>4</v>
      </c>
      <c r="K1071" t="str">
        <f t="shared" ca="1" si="202"/>
        <v>Private</v>
      </c>
      <c r="L1071" t="str">
        <f t="shared" ca="1" si="203"/>
        <v>ICU</v>
      </c>
    </row>
    <row r="1072" spans="1:12" x14ac:dyDescent="0.25">
      <c r="A1072">
        <f t="shared" si="192"/>
        <v>1071</v>
      </c>
      <c r="B1072">
        <f t="shared" ca="1" si="193"/>
        <v>32</v>
      </c>
      <c r="C1072" t="str">
        <f t="shared" ca="1" si="194"/>
        <v>Female</v>
      </c>
      <c r="D1072" s="1">
        <f t="shared" ca="1" si="195"/>
        <v>45338</v>
      </c>
      <c r="E1072" s="1">
        <f t="shared" ca="1" si="196"/>
        <v>45342</v>
      </c>
      <c r="F1072" t="str">
        <f t="shared" ca="1" si="197"/>
        <v>Hypertension</v>
      </c>
      <c r="G1072" t="str">
        <f t="shared" ca="1" si="198"/>
        <v>Surgery</v>
      </c>
      <c r="H1072">
        <f t="shared" ca="1" si="199"/>
        <v>4</v>
      </c>
      <c r="I1072" t="str">
        <f t="shared" ca="1" si="200"/>
        <v>No</v>
      </c>
      <c r="J1072">
        <f t="shared" ca="1" si="201"/>
        <v>1</v>
      </c>
      <c r="K1072" t="str">
        <f t="shared" ca="1" si="202"/>
        <v>Public</v>
      </c>
      <c r="L1072" t="str">
        <f t="shared" ca="1" si="203"/>
        <v>Neurology</v>
      </c>
    </row>
    <row r="1073" spans="1:12" x14ac:dyDescent="0.25">
      <c r="A1073">
        <f t="shared" si="192"/>
        <v>1072</v>
      </c>
      <c r="B1073">
        <f t="shared" ca="1" si="193"/>
        <v>66</v>
      </c>
      <c r="C1073" t="str">
        <f t="shared" ca="1" si="194"/>
        <v>Male</v>
      </c>
      <c r="D1073" s="1">
        <f t="shared" ca="1" si="195"/>
        <v>45488</v>
      </c>
      <c r="E1073" s="1">
        <f t="shared" ca="1" si="196"/>
        <v>45496</v>
      </c>
      <c r="F1073" t="str">
        <f t="shared" ca="1" si="197"/>
        <v>Diabetes</v>
      </c>
      <c r="G1073" t="str">
        <f t="shared" ca="1" si="198"/>
        <v>Medication</v>
      </c>
      <c r="H1073">
        <f t="shared" ca="1" si="199"/>
        <v>8</v>
      </c>
      <c r="I1073" t="str">
        <f t="shared" ca="1" si="200"/>
        <v>No</v>
      </c>
      <c r="J1073">
        <f t="shared" ca="1" si="201"/>
        <v>2</v>
      </c>
      <c r="K1073" t="str">
        <f t="shared" ca="1" si="202"/>
        <v>Private</v>
      </c>
      <c r="L1073" t="str">
        <f t="shared" ca="1" si="203"/>
        <v>General</v>
      </c>
    </row>
    <row r="1074" spans="1:12" x14ac:dyDescent="0.25">
      <c r="A1074">
        <f t="shared" si="192"/>
        <v>1073</v>
      </c>
      <c r="B1074">
        <f t="shared" ca="1" si="193"/>
        <v>29</v>
      </c>
      <c r="C1074" t="str">
        <f t="shared" ca="1" si="194"/>
        <v>Male</v>
      </c>
      <c r="D1074" s="1">
        <f t="shared" ca="1" si="195"/>
        <v>45310</v>
      </c>
      <c r="E1074" s="1">
        <f t="shared" ca="1" si="196"/>
        <v>45323</v>
      </c>
      <c r="F1074" t="str">
        <f t="shared" ca="1" si="197"/>
        <v>Heart Failure</v>
      </c>
      <c r="G1074" t="str">
        <f t="shared" ca="1" si="198"/>
        <v>Therapy</v>
      </c>
      <c r="H1074">
        <f t="shared" ca="1" si="199"/>
        <v>13</v>
      </c>
      <c r="I1074" t="str">
        <f t="shared" ca="1" si="200"/>
        <v>Yes</v>
      </c>
      <c r="J1074">
        <f t="shared" ca="1" si="201"/>
        <v>4</v>
      </c>
      <c r="K1074" t="str">
        <f t="shared" ca="1" si="202"/>
        <v>Public</v>
      </c>
      <c r="L1074" t="str">
        <f t="shared" ca="1" si="203"/>
        <v>Neurology</v>
      </c>
    </row>
    <row r="1075" spans="1:12" x14ac:dyDescent="0.25">
      <c r="A1075">
        <f t="shared" si="192"/>
        <v>1074</v>
      </c>
      <c r="B1075">
        <f t="shared" ca="1" si="193"/>
        <v>73</v>
      </c>
      <c r="C1075" t="str">
        <f t="shared" ca="1" si="194"/>
        <v>Female</v>
      </c>
      <c r="D1075" s="1">
        <f t="shared" ca="1" si="195"/>
        <v>45543</v>
      </c>
      <c r="E1075" s="1">
        <f t="shared" ca="1" si="196"/>
        <v>45558</v>
      </c>
      <c r="F1075" t="str">
        <f t="shared" ca="1" si="197"/>
        <v>Heart Failure</v>
      </c>
      <c r="G1075" t="str">
        <f t="shared" ca="1" si="198"/>
        <v>Surgery</v>
      </c>
      <c r="H1075">
        <f t="shared" ca="1" si="199"/>
        <v>15</v>
      </c>
      <c r="I1075" t="str">
        <f t="shared" ca="1" si="200"/>
        <v>Yes</v>
      </c>
      <c r="J1075">
        <f t="shared" ca="1" si="201"/>
        <v>0</v>
      </c>
      <c r="K1075" t="str">
        <f t="shared" ca="1" si="202"/>
        <v>Private</v>
      </c>
      <c r="L1075" t="str">
        <f t="shared" ca="1" si="203"/>
        <v>Cardiology</v>
      </c>
    </row>
    <row r="1076" spans="1:12" x14ac:dyDescent="0.25">
      <c r="A1076">
        <f t="shared" si="192"/>
        <v>1075</v>
      </c>
      <c r="B1076">
        <f t="shared" ca="1" si="193"/>
        <v>52</v>
      </c>
      <c r="C1076" t="str">
        <f t="shared" ca="1" si="194"/>
        <v>Female</v>
      </c>
      <c r="D1076" s="1">
        <f t="shared" ca="1" si="195"/>
        <v>45361</v>
      </c>
      <c r="E1076" s="1">
        <f t="shared" ca="1" si="196"/>
        <v>45366</v>
      </c>
      <c r="F1076" t="str">
        <f t="shared" ca="1" si="197"/>
        <v>Heart Failure</v>
      </c>
      <c r="G1076" t="str">
        <f t="shared" ca="1" si="198"/>
        <v>Therapy</v>
      </c>
      <c r="H1076">
        <f t="shared" ca="1" si="199"/>
        <v>5</v>
      </c>
      <c r="I1076" t="str">
        <f t="shared" ca="1" si="200"/>
        <v>No</v>
      </c>
      <c r="J1076">
        <f t="shared" ca="1" si="201"/>
        <v>2</v>
      </c>
      <c r="K1076" t="str">
        <f t="shared" ca="1" si="202"/>
        <v>Public</v>
      </c>
      <c r="L1076" t="str">
        <f t="shared" ca="1" si="203"/>
        <v>General</v>
      </c>
    </row>
    <row r="1077" spans="1:12" x14ac:dyDescent="0.25">
      <c r="A1077">
        <f t="shared" si="192"/>
        <v>1076</v>
      </c>
      <c r="B1077">
        <f t="shared" ca="1" si="193"/>
        <v>77</v>
      </c>
      <c r="C1077" t="str">
        <f t="shared" ca="1" si="194"/>
        <v>Male</v>
      </c>
      <c r="D1077" s="1">
        <f t="shared" ca="1" si="195"/>
        <v>45590</v>
      </c>
      <c r="E1077" s="1">
        <f t="shared" ca="1" si="196"/>
        <v>45601</v>
      </c>
      <c r="F1077" t="str">
        <f t="shared" ca="1" si="197"/>
        <v>Diabetes</v>
      </c>
      <c r="G1077" t="str">
        <f t="shared" ca="1" si="198"/>
        <v>Therapy</v>
      </c>
      <c r="H1077">
        <f t="shared" ca="1" si="199"/>
        <v>11</v>
      </c>
      <c r="I1077" t="str">
        <f t="shared" ca="1" si="200"/>
        <v>No</v>
      </c>
      <c r="J1077">
        <f t="shared" ca="1" si="201"/>
        <v>0</v>
      </c>
      <c r="K1077" t="str">
        <f t="shared" ca="1" si="202"/>
        <v>Private</v>
      </c>
      <c r="L1077" t="str">
        <f t="shared" ca="1" si="203"/>
        <v>Cardiology</v>
      </c>
    </row>
    <row r="1078" spans="1:12" x14ac:dyDescent="0.25">
      <c r="A1078">
        <f t="shared" si="192"/>
        <v>1077</v>
      </c>
      <c r="B1078">
        <f t="shared" ca="1" si="193"/>
        <v>80</v>
      </c>
      <c r="C1078" t="str">
        <f t="shared" ca="1" si="194"/>
        <v>Female</v>
      </c>
      <c r="D1078" s="1">
        <f t="shared" ca="1" si="195"/>
        <v>45609</v>
      </c>
      <c r="E1078" s="1">
        <f t="shared" ca="1" si="196"/>
        <v>45617</v>
      </c>
      <c r="F1078" t="str">
        <f t="shared" ca="1" si="197"/>
        <v>Hypertension</v>
      </c>
      <c r="G1078" t="str">
        <f t="shared" ca="1" si="198"/>
        <v>Therapy</v>
      </c>
      <c r="H1078">
        <f t="shared" ca="1" si="199"/>
        <v>8</v>
      </c>
      <c r="I1078" t="str">
        <f t="shared" ca="1" si="200"/>
        <v>Yes</v>
      </c>
      <c r="J1078">
        <f t="shared" ca="1" si="201"/>
        <v>2</v>
      </c>
      <c r="K1078" t="str">
        <f t="shared" ca="1" si="202"/>
        <v>Private</v>
      </c>
      <c r="L1078" t="str">
        <f t="shared" ca="1" si="203"/>
        <v>Cardiology</v>
      </c>
    </row>
    <row r="1079" spans="1:12" x14ac:dyDescent="0.25">
      <c r="A1079">
        <f t="shared" si="192"/>
        <v>1078</v>
      </c>
      <c r="B1079">
        <f t="shared" ca="1" si="193"/>
        <v>29</v>
      </c>
      <c r="C1079" t="str">
        <f t="shared" ca="1" si="194"/>
        <v>Female</v>
      </c>
      <c r="D1079" s="1">
        <f t="shared" ca="1" si="195"/>
        <v>45375</v>
      </c>
      <c r="E1079" s="1">
        <f t="shared" ca="1" si="196"/>
        <v>45376</v>
      </c>
      <c r="F1079" t="str">
        <f t="shared" ca="1" si="197"/>
        <v>Diabetes</v>
      </c>
      <c r="G1079" t="str">
        <f t="shared" ca="1" si="198"/>
        <v>Medication</v>
      </c>
      <c r="H1079">
        <f t="shared" ca="1" si="199"/>
        <v>1</v>
      </c>
      <c r="I1079" t="str">
        <f t="shared" ca="1" si="200"/>
        <v>Yes</v>
      </c>
      <c r="J1079">
        <f t="shared" ca="1" si="201"/>
        <v>4</v>
      </c>
      <c r="K1079" t="str">
        <f t="shared" ca="1" si="202"/>
        <v>None</v>
      </c>
      <c r="L1079" t="str">
        <f t="shared" ca="1" si="203"/>
        <v>ICU</v>
      </c>
    </row>
    <row r="1080" spans="1:12" x14ac:dyDescent="0.25">
      <c r="A1080">
        <f t="shared" si="192"/>
        <v>1079</v>
      </c>
      <c r="B1080">
        <f t="shared" ca="1" si="193"/>
        <v>63</v>
      </c>
      <c r="C1080" t="str">
        <f t="shared" ca="1" si="194"/>
        <v>Male</v>
      </c>
      <c r="D1080" s="1">
        <f t="shared" ca="1" si="195"/>
        <v>45316</v>
      </c>
      <c r="E1080" s="1">
        <f t="shared" ca="1" si="196"/>
        <v>45322</v>
      </c>
      <c r="F1080" t="str">
        <f t="shared" ca="1" si="197"/>
        <v>Diabetes</v>
      </c>
      <c r="G1080" t="str">
        <f t="shared" ca="1" si="198"/>
        <v>Therapy</v>
      </c>
      <c r="H1080">
        <f t="shared" ca="1" si="199"/>
        <v>6</v>
      </c>
      <c r="I1080" t="str">
        <f t="shared" ca="1" si="200"/>
        <v>Yes</v>
      </c>
      <c r="J1080">
        <f t="shared" ca="1" si="201"/>
        <v>1</v>
      </c>
      <c r="K1080" t="str">
        <f t="shared" ca="1" si="202"/>
        <v>Private</v>
      </c>
      <c r="L1080" t="str">
        <f t="shared" ca="1" si="203"/>
        <v>Cardiology</v>
      </c>
    </row>
    <row r="1081" spans="1:12" x14ac:dyDescent="0.25">
      <c r="A1081">
        <f t="shared" si="192"/>
        <v>1080</v>
      </c>
      <c r="B1081">
        <f t="shared" ca="1" si="193"/>
        <v>81</v>
      </c>
      <c r="C1081" t="str">
        <f t="shared" ca="1" si="194"/>
        <v>Female</v>
      </c>
      <c r="D1081" s="1">
        <f t="shared" ca="1" si="195"/>
        <v>45656</v>
      </c>
      <c r="E1081" s="1">
        <f t="shared" ca="1" si="196"/>
        <v>45661</v>
      </c>
      <c r="F1081" t="str">
        <f t="shared" ca="1" si="197"/>
        <v>Diabetes</v>
      </c>
      <c r="G1081" t="str">
        <f t="shared" ca="1" si="198"/>
        <v>Surgery</v>
      </c>
      <c r="H1081">
        <f t="shared" ca="1" si="199"/>
        <v>5</v>
      </c>
      <c r="I1081" t="str">
        <f t="shared" ca="1" si="200"/>
        <v>No</v>
      </c>
      <c r="J1081">
        <f t="shared" ca="1" si="201"/>
        <v>0</v>
      </c>
      <c r="K1081" t="str">
        <f t="shared" ca="1" si="202"/>
        <v>Public</v>
      </c>
      <c r="L1081" t="str">
        <f t="shared" ca="1" si="203"/>
        <v>Neurology</v>
      </c>
    </row>
    <row r="1082" spans="1:12" x14ac:dyDescent="0.25">
      <c r="A1082">
        <f t="shared" si="192"/>
        <v>1081</v>
      </c>
      <c r="B1082">
        <f t="shared" ca="1" si="193"/>
        <v>74</v>
      </c>
      <c r="C1082" t="str">
        <f t="shared" ca="1" si="194"/>
        <v>Male</v>
      </c>
      <c r="D1082" s="1">
        <f t="shared" ca="1" si="195"/>
        <v>45336</v>
      </c>
      <c r="E1082" s="1">
        <f t="shared" ca="1" si="196"/>
        <v>45338</v>
      </c>
      <c r="F1082" t="str">
        <f t="shared" ca="1" si="197"/>
        <v>Hypertension</v>
      </c>
      <c r="G1082" t="str">
        <f t="shared" ca="1" si="198"/>
        <v>Surgery</v>
      </c>
      <c r="H1082">
        <f t="shared" ca="1" si="199"/>
        <v>2</v>
      </c>
      <c r="I1082" t="str">
        <f t="shared" ca="1" si="200"/>
        <v>No</v>
      </c>
      <c r="J1082">
        <f t="shared" ca="1" si="201"/>
        <v>0</v>
      </c>
      <c r="K1082" t="str">
        <f t="shared" ca="1" si="202"/>
        <v>Private</v>
      </c>
      <c r="L1082" t="str">
        <f t="shared" ca="1" si="203"/>
        <v>ER</v>
      </c>
    </row>
    <row r="1083" spans="1:12" x14ac:dyDescent="0.25">
      <c r="A1083">
        <f t="shared" si="192"/>
        <v>1082</v>
      </c>
      <c r="B1083">
        <f t="shared" ca="1" si="193"/>
        <v>40</v>
      </c>
      <c r="C1083" t="str">
        <f t="shared" ca="1" si="194"/>
        <v>Female</v>
      </c>
      <c r="D1083" s="1">
        <f t="shared" ca="1" si="195"/>
        <v>45443</v>
      </c>
      <c r="E1083" s="1">
        <f t="shared" ca="1" si="196"/>
        <v>45444</v>
      </c>
      <c r="F1083" t="str">
        <f t="shared" ca="1" si="197"/>
        <v>Hypertension</v>
      </c>
      <c r="G1083" t="str">
        <f t="shared" ca="1" si="198"/>
        <v>Therapy</v>
      </c>
      <c r="H1083">
        <f t="shared" ca="1" si="199"/>
        <v>1</v>
      </c>
      <c r="I1083" t="str">
        <f t="shared" ca="1" si="200"/>
        <v>Yes</v>
      </c>
      <c r="J1083">
        <f t="shared" ca="1" si="201"/>
        <v>3</v>
      </c>
      <c r="K1083" t="str">
        <f t="shared" ca="1" si="202"/>
        <v>None</v>
      </c>
      <c r="L1083" t="str">
        <f t="shared" ca="1" si="203"/>
        <v>General</v>
      </c>
    </row>
    <row r="1084" spans="1:12" x14ac:dyDescent="0.25">
      <c r="A1084">
        <f t="shared" si="192"/>
        <v>1083</v>
      </c>
      <c r="B1084">
        <f t="shared" ca="1" si="193"/>
        <v>77</v>
      </c>
      <c r="C1084" t="str">
        <f t="shared" ca="1" si="194"/>
        <v>Female</v>
      </c>
      <c r="D1084" s="1">
        <f t="shared" ca="1" si="195"/>
        <v>45520</v>
      </c>
      <c r="E1084" s="1">
        <f t="shared" ca="1" si="196"/>
        <v>45533</v>
      </c>
      <c r="F1084" t="str">
        <f t="shared" ca="1" si="197"/>
        <v>Diabetes</v>
      </c>
      <c r="G1084" t="str">
        <f t="shared" ca="1" si="198"/>
        <v>Therapy</v>
      </c>
      <c r="H1084">
        <f t="shared" ca="1" si="199"/>
        <v>13</v>
      </c>
      <c r="I1084" t="str">
        <f t="shared" ca="1" si="200"/>
        <v>No</v>
      </c>
      <c r="J1084">
        <f t="shared" ca="1" si="201"/>
        <v>4</v>
      </c>
      <c r="K1084" t="str">
        <f t="shared" ca="1" si="202"/>
        <v>None</v>
      </c>
      <c r="L1084" t="str">
        <f t="shared" ca="1" si="203"/>
        <v>Neurology</v>
      </c>
    </row>
    <row r="1085" spans="1:12" x14ac:dyDescent="0.25">
      <c r="A1085">
        <f t="shared" si="192"/>
        <v>1084</v>
      </c>
      <c r="B1085">
        <f t="shared" ca="1" si="193"/>
        <v>68</v>
      </c>
      <c r="C1085" t="str">
        <f t="shared" ca="1" si="194"/>
        <v>Male</v>
      </c>
      <c r="D1085" s="1">
        <f t="shared" ca="1" si="195"/>
        <v>45552</v>
      </c>
      <c r="E1085" s="1">
        <f t="shared" ca="1" si="196"/>
        <v>45558</v>
      </c>
      <c r="F1085" t="str">
        <f t="shared" ca="1" si="197"/>
        <v>Pneumonia</v>
      </c>
      <c r="G1085" t="str">
        <f t="shared" ca="1" si="198"/>
        <v>Medication</v>
      </c>
      <c r="H1085">
        <f t="shared" ca="1" si="199"/>
        <v>6</v>
      </c>
      <c r="I1085" t="str">
        <f t="shared" ca="1" si="200"/>
        <v>No</v>
      </c>
      <c r="J1085">
        <f t="shared" ca="1" si="201"/>
        <v>3</v>
      </c>
      <c r="K1085" t="str">
        <f t="shared" ca="1" si="202"/>
        <v>Public</v>
      </c>
      <c r="L1085" t="str">
        <f t="shared" ca="1" si="203"/>
        <v>General</v>
      </c>
    </row>
    <row r="1086" spans="1:12" x14ac:dyDescent="0.25">
      <c r="A1086">
        <f t="shared" si="192"/>
        <v>1085</v>
      </c>
      <c r="B1086">
        <f t="shared" ca="1" si="193"/>
        <v>21</v>
      </c>
      <c r="C1086" t="str">
        <f t="shared" ca="1" si="194"/>
        <v>Female</v>
      </c>
      <c r="D1086" s="1">
        <f t="shared" ca="1" si="195"/>
        <v>45306</v>
      </c>
      <c r="E1086" s="1">
        <f t="shared" ca="1" si="196"/>
        <v>45308</v>
      </c>
      <c r="F1086" t="str">
        <f t="shared" ca="1" si="197"/>
        <v>Diabetes</v>
      </c>
      <c r="G1086" t="str">
        <f t="shared" ca="1" si="198"/>
        <v>Medication</v>
      </c>
      <c r="H1086">
        <f t="shared" ca="1" si="199"/>
        <v>2</v>
      </c>
      <c r="I1086" t="str">
        <f t="shared" ca="1" si="200"/>
        <v>No</v>
      </c>
      <c r="J1086">
        <f t="shared" ca="1" si="201"/>
        <v>1</v>
      </c>
      <c r="K1086" t="str">
        <f t="shared" ca="1" si="202"/>
        <v>Public</v>
      </c>
      <c r="L1086" t="str">
        <f t="shared" ca="1" si="203"/>
        <v>Neurology</v>
      </c>
    </row>
    <row r="1087" spans="1:12" x14ac:dyDescent="0.25">
      <c r="A1087">
        <f t="shared" si="192"/>
        <v>1086</v>
      </c>
      <c r="B1087">
        <f t="shared" ca="1" si="193"/>
        <v>62</v>
      </c>
      <c r="C1087" t="str">
        <f t="shared" ca="1" si="194"/>
        <v>Female</v>
      </c>
      <c r="D1087" s="1">
        <f t="shared" ca="1" si="195"/>
        <v>45578</v>
      </c>
      <c r="E1087" s="1">
        <f t="shared" ca="1" si="196"/>
        <v>45584</v>
      </c>
      <c r="F1087" t="str">
        <f t="shared" ca="1" si="197"/>
        <v>Pneumonia</v>
      </c>
      <c r="G1087" t="str">
        <f t="shared" ca="1" si="198"/>
        <v>Medication</v>
      </c>
      <c r="H1087">
        <f t="shared" ca="1" si="199"/>
        <v>6</v>
      </c>
      <c r="I1087" t="str">
        <f t="shared" ca="1" si="200"/>
        <v>No</v>
      </c>
      <c r="J1087">
        <f t="shared" ca="1" si="201"/>
        <v>4</v>
      </c>
      <c r="K1087" t="str">
        <f t="shared" ca="1" si="202"/>
        <v>Private</v>
      </c>
      <c r="L1087" t="str">
        <f t="shared" ca="1" si="203"/>
        <v>ER</v>
      </c>
    </row>
    <row r="1088" spans="1:12" x14ac:dyDescent="0.25">
      <c r="A1088">
        <f t="shared" si="192"/>
        <v>1087</v>
      </c>
      <c r="B1088">
        <f t="shared" ca="1" si="193"/>
        <v>78</v>
      </c>
      <c r="C1088" t="str">
        <f t="shared" ca="1" si="194"/>
        <v>Male</v>
      </c>
      <c r="D1088" s="1">
        <f t="shared" ca="1" si="195"/>
        <v>45454</v>
      </c>
      <c r="E1088" s="1">
        <f t="shared" ca="1" si="196"/>
        <v>45458</v>
      </c>
      <c r="F1088" t="str">
        <f t="shared" ca="1" si="197"/>
        <v>Diabetes</v>
      </c>
      <c r="G1088" t="str">
        <f t="shared" ca="1" si="198"/>
        <v>Medication</v>
      </c>
      <c r="H1088">
        <f t="shared" ca="1" si="199"/>
        <v>4</v>
      </c>
      <c r="I1088" t="str">
        <f t="shared" ca="1" si="200"/>
        <v>No</v>
      </c>
      <c r="J1088">
        <f t="shared" ca="1" si="201"/>
        <v>2</v>
      </c>
      <c r="K1088" t="str">
        <f t="shared" ca="1" si="202"/>
        <v>None</v>
      </c>
      <c r="L1088" t="str">
        <f t="shared" ca="1" si="203"/>
        <v>Cardiology</v>
      </c>
    </row>
    <row r="1089" spans="1:12" x14ac:dyDescent="0.25">
      <c r="A1089">
        <f t="shared" si="192"/>
        <v>1088</v>
      </c>
      <c r="B1089">
        <f t="shared" ca="1" si="193"/>
        <v>74</v>
      </c>
      <c r="C1089" t="str">
        <f t="shared" ca="1" si="194"/>
        <v>Female</v>
      </c>
      <c r="D1089" s="1">
        <f t="shared" ca="1" si="195"/>
        <v>45642</v>
      </c>
      <c r="E1089" s="1">
        <f t="shared" ca="1" si="196"/>
        <v>45647</v>
      </c>
      <c r="F1089" t="str">
        <f t="shared" ca="1" si="197"/>
        <v>Heart Failure</v>
      </c>
      <c r="G1089" t="str">
        <f t="shared" ca="1" si="198"/>
        <v>Therapy</v>
      </c>
      <c r="H1089">
        <f t="shared" ca="1" si="199"/>
        <v>5</v>
      </c>
      <c r="I1089" t="str">
        <f t="shared" ca="1" si="200"/>
        <v>No</v>
      </c>
      <c r="J1089">
        <f t="shared" ca="1" si="201"/>
        <v>3</v>
      </c>
      <c r="K1089" t="str">
        <f t="shared" ca="1" si="202"/>
        <v>None</v>
      </c>
      <c r="L1089" t="str">
        <f t="shared" ca="1" si="203"/>
        <v>Cardiology</v>
      </c>
    </row>
    <row r="1090" spans="1:12" x14ac:dyDescent="0.25">
      <c r="A1090">
        <f t="shared" si="192"/>
        <v>1089</v>
      </c>
      <c r="B1090">
        <f t="shared" ca="1" si="193"/>
        <v>89</v>
      </c>
      <c r="C1090" t="str">
        <f t="shared" ca="1" si="194"/>
        <v>Male</v>
      </c>
      <c r="D1090" s="1">
        <f t="shared" ca="1" si="195"/>
        <v>45297</v>
      </c>
      <c r="E1090" s="1">
        <f t="shared" ca="1" si="196"/>
        <v>45302</v>
      </c>
      <c r="F1090" t="str">
        <f t="shared" ca="1" si="197"/>
        <v>Pneumonia</v>
      </c>
      <c r="G1090" t="str">
        <f t="shared" ca="1" si="198"/>
        <v>Therapy</v>
      </c>
      <c r="H1090">
        <f t="shared" ca="1" si="199"/>
        <v>5</v>
      </c>
      <c r="I1090" t="str">
        <f t="shared" ca="1" si="200"/>
        <v>Yes</v>
      </c>
      <c r="J1090">
        <f t="shared" ca="1" si="201"/>
        <v>4</v>
      </c>
      <c r="K1090" t="str">
        <f t="shared" ca="1" si="202"/>
        <v>Public</v>
      </c>
      <c r="L1090" t="str">
        <f t="shared" ca="1" si="203"/>
        <v>Cardiology</v>
      </c>
    </row>
    <row r="1091" spans="1:12" x14ac:dyDescent="0.25">
      <c r="A1091">
        <f t="shared" ref="A1091:A1154" si="204">ROW() -1</f>
        <v>1090</v>
      </c>
      <c r="B1091">
        <f t="shared" ref="B1091:B1154" ca="1" si="205">RANDBETWEEN(20,90)</f>
        <v>61</v>
      </c>
      <c r="C1091" t="str">
        <f t="shared" ref="C1091:C1154" ca="1" si="206">IF(RAND()&lt;0.5,"Male","Female")</f>
        <v>Male</v>
      </c>
      <c r="D1091" s="1">
        <f t="shared" ref="D1091:D1154" ca="1" si="207">DATE(2024,1,1)+RANDBETWEEN(0,364)</f>
        <v>45315</v>
      </c>
      <c r="E1091" s="1">
        <f t="shared" ref="E1091:E1154" ca="1" si="208">D1091+RANDBETWEEN(1,15)</f>
        <v>45323</v>
      </c>
      <c r="F1091" t="str">
        <f t="shared" ref="F1091:F1154" ca="1" si="209">CHOOSE(RANDBETWEEN(1,5),"Diabetes","Heart Failure","Pneumonia","Stroke","Hypertension")</f>
        <v>Pneumonia</v>
      </c>
      <c r="G1091" t="str">
        <f t="shared" ref="G1091:G1154" ca="1" si="210">CHOOSE(RANDBETWEEN(1,3),"Medication","Surgery","Therapy")</f>
        <v>Therapy</v>
      </c>
      <c r="H1091">
        <f t="shared" ref="H1091:H1154" ca="1" si="211">DATEDIF(D1091,E1091,"D")</f>
        <v>8</v>
      </c>
      <c r="I1091" t="str">
        <f t="shared" ref="I1091:I1154" ca="1" si="212">IF(RAND()&lt;0.3,"Yes","No")</f>
        <v>Yes</v>
      </c>
      <c r="J1091">
        <f t="shared" ref="J1091:J1154" ca="1" si="213">RANDBETWEEN(0,4)</f>
        <v>0</v>
      </c>
      <c r="K1091" t="str">
        <f t="shared" ref="K1091:K1154" ca="1" si="214">CHOOSE(RANDBETWEEN(1,3),"Private","Public","None")</f>
        <v>Private</v>
      </c>
      <c r="L1091" t="str">
        <f t="shared" ref="L1091:L1154" ca="1" si="215">CHOOSE(RANDBETWEEN(1,5),"ER","Cardiology","Neurology","General","ICU")</f>
        <v>General</v>
      </c>
    </row>
    <row r="1092" spans="1:12" x14ac:dyDescent="0.25">
      <c r="A1092">
        <f t="shared" si="204"/>
        <v>1091</v>
      </c>
      <c r="B1092">
        <f t="shared" ca="1" si="205"/>
        <v>33</v>
      </c>
      <c r="C1092" t="str">
        <f t="shared" ca="1" si="206"/>
        <v>Male</v>
      </c>
      <c r="D1092" s="1">
        <f t="shared" ca="1" si="207"/>
        <v>45472</v>
      </c>
      <c r="E1092" s="1">
        <f t="shared" ca="1" si="208"/>
        <v>45485</v>
      </c>
      <c r="F1092" t="str">
        <f t="shared" ca="1" si="209"/>
        <v>Stroke</v>
      </c>
      <c r="G1092" t="str">
        <f t="shared" ca="1" si="210"/>
        <v>Therapy</v>
      </c>
      <c r="H1092">
        <f t="shared" ca="1" si="211"/>
        <v>13</v>
      </c>
      <c r="I1092" t="str">
        <f t="shared" ca="1" si="212"/>
        <v>Yes</v>
      </c>
      <c r="J1092">
        <f t="shared" ca="1" si="213"/>
        <v>3</v>
      </c>
      <c r="K1092" t="str">
        <f t="shared" ca="1" si="214"/>
        <v>None</v>
      </c>
      <c r="L1092" t="str">
        <f t="shared" ca="1" si="215"/>
        <v>ICU</v>
      </c>
    </row>
    <row r="1093" spans="1:12" x14ac:dyDescent="0.25">
      <c r="A1093">
        <f t="shared" si="204"/>
        <v>1092</v>
      </c>
      <c r="B1093">
        <f t="shared" ca="1" si="205"/>
        <v>55</v>
      </c>
      <c r="C1093" t="str">
        <f t="shared" ca="1" si="206"/>
        <v>Male</v>
      </c>
      <c r="D1093" s="1">
        <f t="shared" ca="1" si="207"/>
        <v>45406</v>
      </c>
      <c r="E1093" s="1">
        <f t="shared" ca="1" si="208"/>
        <v>45415</v>
      </c>
      <c r="F1093" t="str">
        <f t="shared" ca="1" si="209"/>
        <v>Hypertension</v>
      </c>
      <c r="G1093" t="str">
        <f t="shared" ca="1" si="210"/>
        <v>Therapy</v>
      </c>
      <c r="H1093">
        <f t="shared" ca="1" si="211"/>
        <v>9</v>
      </c>
      <c r="I1093" t="str">
        <f t="shared" ca="1" si="212"/>
        <v>No</v>
      </c>
      <c r="J1093">
        <f t="shared" ca="1" si="213"/>
        <v>0</v>
      </c>
      <c r="K1093" t="str">
        <f t="shared" ca="1" si="214"/>
        <v>None</v>
      </c>
      <c r="L1093" t="str">
        <f t="shared" ca="1" si="215"/>
        <v>Cardiology</v>
      </c>
    </row>
    <row r="1094" spans="1:12" x14ac:dyDescent="0.25">
      <c r="A1094">
        <f t="shared" si="204"/>
        <v>1093</v>
      </c>
      <c r="B1094">
        <f t="shared" ca="1" si="205"/>
        <v>89</v>
      </c>
      <c r="C1094" t="str">
        <f t="shared" ca="1" si="206"/>
        <v>Male</v>
      </c>
      <c r="D1094" s="1">
        <f t="shared" ca="1" si="207"/>
        <v>45597</v>
      </c>
      <c r="E1094" s="1">
        <f t="shared" ca="1" si="208"/>
        <v>45610</v>
      </c>
      <c r="F1094" t="str">
        <f t="shared" ca="1" si="209"/>
        <v>Pneumonia</v>
      </c>
      <c r="G1094" t="str">
        <f t="shared" ca="1" si="210"/>
        <v>Therapy</v>
      </c>
      <c r="H1094">
        <f t="shared" ca="1" si="211"/>
        <v>13</v>
      </c>
      <c r="I1094" t="str">
        <f t="shared" ca="1" si="212"/>
        <v>No</v>
      </c>
      <c r="J1094">
        <f t="shared" ca="1" si="213"/>
        <v>4</v>
      </c>
      <c r="K1094" t="str">
        <f t="shared" ca="1" si="214"/>
        <v>Private</v>
      </c>
      <c r="L1094" t="str">
        <f t="shared" ca="1" si="215"/>
        <v>ICU</v>
      </c>
    </row>
    <row r="1095" spans="1:12" x14ac:dyDescent="0.25">
      <c r="A1095">
        <f t="shared" si="204"/>
        <v>1094</v>
      </c>
      <c r="B1095">
        <f t="shared" ca="1" si="205"/>
        <v>48</v>
      </c>
      <c r="C1095" t="str">
        <f t="shared" ca="1" si="206"/>
        <v>Female</v>
      </c>
      <c r="D1095" s="1">
        <f t="shared" ca="1" si="207"/>
        <v>45509</v>
      </c>
      <c r="E1095" s="1">
        <f t="shared" ca="1" si="208"/>
        <v>45512</v>
      </c>
      <c r="F1095" t="str">
        <f t="shared" ca="1" si="209"/>
        <v>Pneumonia</v>
      </c>
      <c r="G1095" t="str">
        <f t="shared" ca="1" si="210"/>
        <v>Therapy</v>
      </c>
      <c r="H1095">
        <f t="shared" ca="1" si="211"/>
        <v>3</v>
      </c>
      <c r="I1095" t="str">
        <f t="shared" ca="1" si="212"/>
        <v>Yes</v>
      </c>
      <c r="J1095">
        <f t="shared" ca="1" si="213"/>
        <v>1</v>
      </c>
      <c r="K1095" t="str">
        <f t="shared" ca="1" si="214"/>
        <v>None</v>
      </c>
      <c r="L1095" t="str">
        <f t="shared" ca="1" si="215"/>
        <v>Neurology</v>
      </c>
    </row>
    <row r="1096" spans="1:12" x14ac:dyDescent="0.25">
      <c r="A1096">
        <f t="shared" si="204"/>
        <v>1095</v>
      </c>
      <c r="B1096">
        <f t="shared" ca="1" si="205"/>
        <v>61</v>
      </c>
      <c r="C1096" t="str">
        <f t="shared" ca="1" si="206"/>
        <v>Female</v>
      </c>
      <c r="D1096" s="1">
        <f t="shared" ca="1" si="207"/>
        <v>45459</v>
      </c>
      <c r="E1096" s="1">
        <f t="shared" ca="1" si="208"/>
        <v>45465</v>
      </c>
      <c r="F1096" t="str">
        <f t="shared" ca="1" si="209"/>
        <v>Hypertension</v>
      </c>
      <c r="G1096" t="str">
        <f t="shared" ca="1" si="210"/>
        <v>Surgery</v>
      </c>
      <c r="H1096">
        <f t="shared" ca="1" si="211"/>
        <v>6</v>
      </c>
      <c r="I1096" t="str">
        <f t="shared" ca="1" si="212"/>
        <v>No</v>
      </c>
      <c r="J1096">
        <f t="shared" ca="1" si="213"/>
        <v>3</v>
      </c>
      <c r="K1096" t="str">
        <f t="shared" ca="1" si="214"/>
        <v>None</v>
      </c>
      <c r="L1096" t="str">
        <f t="shared" ca="1" si="215"/>
        <v>General</v>
      </c>
    </row>
    <row r="1097" spans="1:12" x14ac:dyDescent="0.25">
      <c r="A1097">
        <f t="shared" si="204"/>
        <v>1096</v>
      </c>
      <c r="B1097">
        <f t="shared" ca="1" si="205"/>
        <v>49</v>
      </c>
      <c r="C1097" t="str">
        <f t="shared" ca="1" si="206"/>
        <v>Female</v>
      </c>
      <c r="D1097" s="1">
        <f t="shared" ca="1" si="207"/>
        <v>45486</v>
      </c>
      <c r="E1097" s="1">
        <f t="shared" ca="1" si="208"/>
        <v>45500</v>
      </c>
      <c r="F1097" t="str">
        <f t="shared" ca="1" si="209"/>
        <v>Pneumonia</v>
      </c>
      <c r="G1097" t="str">
        <f t="shared" ca="1" si="210"/>
        <v>Surgery</v>
      </c>
      <c r="H1097">
        <f t="shared" ca="1" si="211"/>
        <v>14</v>
      </c>
      <c r="I1097" t="str">
        <f t="shared" ca="1" si="212"/>
        <v>No</v>
      </c>
      <c r="J1097">
        <f t="shared" ca="1" si="213"/>
        <v>4</v>
      </c>
      <c r="K1097" t="str">
        <f t="shared" ca="1" si="214"/>
        <v>Public</v>
      </c>
      <c r="L1097" t="str">
        <f t="shared" ca="1" si="215"/>
        <v>General</v>
      </c>
    </row>
    <row r="1098" spans="1:12" x14ac:dyDescent="0.25">
      <c r="A1098">
        <f t="shared" si="204"/>
        <v>1097</v>
      </c>
      <c r="B1098">
        <f t="shared" ca="1" si="205"/>
        <v>77</v>
      </c>
      <c r="C1098" t="str">
        <f t="shared" ca="1" si="206"/>
        <v>Male</v>
      </c>
      <c r="D1098" s="1">
        <f t="shared" ca="1" si="207"/>
        <v>45456</v>
      </c>
      <c r="E1098" s="1">
        <f t="shared" ca="1" si="208"/>
        <v>45460</v>
      </c>
      <c r="F1098" t="str">
        <f t="shared" ca="1" si="209"/>
        <v>Heart Failure</v>
      </c>
      <c r="G1098" t="str">
        <f t="shared" ca="1" si="210"/>
        <v>Therapy</v>
      </c>
      <c r="H1098">
        <f t="shared" ca="1" si="211"/>
        <v>4</v>
      </c>
      <c r="I1098" t="str">
        <f t="shared" ca="1" si="212"/>
        <v>Yes</v>
      </c>
      <c r="J1098">
        <f t="shared" ca="1" si="213"/>
        <v>1</v>
      </c>
      <c r="K1098" t="str">
        <f t="shared" ca="1" si="214"/>
        <v>None</v>
      </c>
      <c r="L1098" t="str">
        <f t="shared" ca="1" si="215"/>
        <v>General</v>
      </c>
    </row>
    <row r="1099" spans="1:12" x14ac:dyDescent="0.25">
      <c r="A1099">
        <f t="shared" si="204"/>
        <v>1098</v>
      </c>
      <c r="B1099">
        <f t="shared" ca="1" si="205"/>
        <v>39</v>
      </c>
      <c r="C1099" t="str">
        <f t="shared" ca="1" si="206"/>
        <v>Female</v>
      </c>
      <c r="D1099" s="1">
        <f t="shared" ca="1" si="207"/>
        <v>45545</v>
      </c>
      <c r="E1099" s="1">
        <f t="shared" ca="1" si="208"/>
        <v>45559</v>
      </c>
      <c r="F1099" t="str">
        <f t="shared" ca="1" si="209"/>
        <v>Hypertension</v>
      </c>
      <c r="G1099" t="str">
        <f t="shared" ca="1" si="210"/>
        <v>Medication</v>
      </c>
      <c r="H1099">
        <f t="shared" ca="1" si="211"/>
        <v>14</v>
      </c>
      <c r="I1099" t="str">
        <f t="shared" ca="1" si="212"/>
        <v>No</v>
      </c>
      <c r="J1099">
        <f t="shared" ca="1" si="213"/>
        <v>4</v>
      </c>
      <c r="K1099" t="str">
        <f t="shared" ca="1" si="214"/>
        <v>Private</v>
      </c>
      <c r="L1099" t="str">
        <f t="shared" ca="1" si="215"/>
        <v>Neurology</v>
      </c>
    </row>
    <row r="1100" spans="1:12" x14ac:dyDescent="0.25">
      <c r="A1100">
        <f t="shared" si="204"/>
        <v>1099</v>
      </c>
      <c r="B1100">
        <f t="shared" ca="1" si="205"/>
        <v>40</v>
      </c>
      <c r="C1100" t="str">
        <f t="shared" ca="1" si="206"/>
        <v>Female</v>
      </c>
      <c r="D1100" s="1">
        <f t="shared" ca="1" si="207"/>
        <v>45318</v>
      </c>
      <c r="E1100" s="1">
        <f t="shared" ca="1" si="208"/>
        <v>45325</v>
      </c>
      <c r="F1100" t="str">
        <f t="shared" ca="1" si="209"/>
        <v>Pneumonia</v>
      </c>
      <c r="G1100" t="str">
        <f t="shared" ca="1" si="210"/>
        <v>Surgery</v>
      </c>
      <c r="H1100">
        <f t="shared" ca="1" si="211"/>
        <v>7</v>
      </c>
      <c r="I1100" t="str">
        <f t="shared" ca="1" si="212"/>
        <v>No</v>
      </c>
      <c r="J1100">
        <f t="shared" ca="1" si="213"/>
        <v>0</v>
      </c>
      <c r="K1100" t="str">
        <f t="shared" ca="1" si="214"/>
        <v>None</v>
      </c>
      <c r="L1100" t="str">
        <f t="shared" ca="1" si="215"/>
        <v>ICU</v>
      </c>
    </row>
    <row r="1101" spans="1:12" x14ac:dyDescent="0.25">
      <c r="A1101">
        <f t="shared" si="204"/>
        <v>1100</v>
      </c>
      <c r="B1101">
        <f t="shared" ca="1" si="205"/>
        <v>35</v>
      </c>
      <c r="C1101" t="str">
        <f t="shared" ca="1" si="206"/>
        <v>Male</v>
      </c>
      <c r="D1101" s="1">
        <f t="shared" ca="1" si="207"/>
        <v>45561</v>
      </c>
      <c r="E1101" s="1">
        <f t="shared" ca="1" si="208"/>
        <v>45574</v>
      </c>
      <c r="F1101" t="str">
        <f t="shared" ca="1" si="209"/>
        <v>Diabetes</v>
      </c>
      <c r="G1101" t="str">
        <f t="shared" ca="1" si="210"/>
        <v>Therapy</v>
      </c>
      <c r="H1101">
        <f t="shared" ca="1" si="211"/>
        <v>13</v>
      </c>
      <c r="I1101" t="str">
        <f t="shared" ca="1" si="212"/>
        <v>No</v>
      </c>
      <c r="J1101">
        <f t="shared" ca="1" si="213"/>
        <v>1</v>
      </c>
      <c r="K1101" t="str">
        <f t="shared" ca="1" si="214"/>
        <v>Public</v>
      </c>
      <c r="L1101" t="str">
        <f t="shared" ca="1" si="215"/>
        <v>ICU</v>
      </c>
    </row>
    <row r="1102" spans="1:12" x14ac:dyDescent="0.25">
      <c r="A1102">
        <f t="shared" si="204"/>
        <v>1101</v>
      </c>
      <c r="B1102">
        <f t="shared" ca="1" si="205"/>
        <v>46</v>
      </c>
      <c r="C1102" t="str">
        <f t="shared" ca="1" si="206"/>
        <v>Female</v>
      </c>
      <c r="D1102" s="1">
        <f t="shared" ca="1" si="207"/>
        <v>45604</v>
      </c>
      <c r="E1102" s="1">
        <f t="shared" ca="1" si="208"/>
        <v>45614</v>
      </c>
      <c r="F1102" t="str">
        <f t="shared" ca="1" si="209"/>
        <v>Stroke</v>
      </c>
      <c r="G1102" t="str">
        <f t="shared" ca="1" si="210"/>
        <v>Therapy</v>
      </c>
      <c r="H1102">
        <f t="shared" ca="1" si="211"/>
        <v>10</v>
      </c>
      <c r="I1102" t="str">
        <f t="shared" ca="1" si="212"/>
        <v>Yes</v>
      </c>
      <c r="J1102">
        <f t="shared" ca="1" si="213"/>
        <v>4</v>
      </c>
      <c r="K1102" t="str">
        <f t="shared" ca="1" si="214"/>
        <v>Private</v>
      </c>
      <c r="L1102" t="str">
        <f t="shared" ca="1" si="215"/>
        <v>Neurology</v>
      </c>
    </row>
    <row r="1103" spans="1:12" x14ac:dyDescent="0.25">
      <c r="A1103">
        <f t="shared" si="204"/>
        <v>1102</v>
      </c>
      <c r="B1103">
        <f t="shared" ca="1" si="205"/>
        <v>24</v>
      </c>
      <c r="C1103" t="str">
        <f t="shared" ca="1" si="206"/>
        <v>Male</v>
      </c>
      <c r="D1103" s="1">
        <f t="shared" ca="1" si="207"/>
        <v>45644</v>
      </c>
      <c r="E1103" s="1">
        <f t="shared" ca="1" si="208"/>
        <v>45646</v>
      </c>
      <c r="F1103" t="str">
        <f t="shared" ca="1" si="209"/>
        <v>Heart Failure</v>
      </c>
      <c r="G1103" t="str">
        <f t="shared" ca="1" si="210"/>
        <v>Therapy</v>
      </c>
      <c r="H1103">
        <f t="shared" ca="1" si="211"/>
        <v>2</v>
      </c>
      <c r="I1103" t="str">
        <f t="shared" ca="1" si="212"/>
        <v>No</v>
      </c>
      <c r="J1103">
        <f t="shared" ca="1" si="213"/>
        <v>0</v>
      </c>
      <c r="K1103" t="str">
        <f t="shared" ca="1" si="214"/>
        <v>None</v>
      </c>
      <c r="L1103" t="str">
        <f t="shared" ca="1" si="215"/>
        <v>ICU</v>
      </c>
    </row>
    <row r="1104" spans="1:12" x14ac:dyDescent="0.25">
      <c r="A1104">
        <f t="shared" si="204"/>
        <v>1103</v>
      </c>
      <c r="B1104">
        <f t="shared" ca="1" si="205"/>
        <v>73</v>
      </c>
      <c r="C1104" t="str">
        <f t="shared" ca="1" si="206"/>
        <v>Male</v>
      </c>
      <c r="D1104" s="1">
        <f t="shared" ca="1" si="207"/>
        <v>45340</v>
      </c>
      <c r="E1104" s="1">
        <f t="shared" ca="1" si="208"/>
        <v>45353</v>
      </c>
      <c r="F1104" t="str">
        <f t="shared" ca="1" si="209"/>
        <v>Pneumonia</v>
      </c>
      <c r="G1104" t="str">
        <f t="shared" ca="1" si="210"/>
        <v>Surgery</v>
      </c>
      <c r="H1104">
        <f t="shared" ca="1" si="211"/>
        <v>13</v>
      </c>
      <c r="I1104" t="str">
        <f t="shared" ca="1" si="212"/>
        <v>No</v>
      </c>
      <c r="J1104">
        <f t="shared" ca="1" si="213"/>
        <v>1</v>
      </c>
      <c r="K1104" t="str">
        <f t="shared" ca="1" si="214"/>
        <v>None</v>
      </c>
      <c r="L1104" t="str">
        <f t="shared" ca="1" si="215"/>
        <v>ICU</v>
      </c>
    </row>
    <row r="1105" spans="1:12" x14ac:dyDescent="0.25">
      <c r="A1105">
        <f t="shared" si="204"/>
        <v>1104</v>
      </c>
      <c r="B1105">
        <f t="shared" ca="1" si="205"/>
        <v>77</v>
      </c>
      <c r="C1105" t="str">
        <f t="shared" ca="1" si="206"/>
        <v>Female</v>
      </c>
      <c r="D1105" s="1">
        <f t="shared" ca="1" si="207"/>
        <v>45306</v>
      </c>
      <c r="E1105" s="1">
        <f t="shared" ca="1" si="208"/>
        <v>45310</v>
      </c>
      <c r="F1105" t="str">
        <f t="shared" ca="1" si="209"/>
        <v>Diabetes</v>
      </c>
      <c r="G1105" t="str">
        <f t="shared" ca="1" si="210"/>
        <v>Medication</v>
      </c>
      <c r="H1105">
        <f t="shared" ca="1" si="211"/>
        <v>4</v>
      </c>
      <c r="I1105" t="str">
        <f t="shared" ca="1" si="212"/>
        <v>No</v>
      </c>
      <c r="J1105">
        <f t="shared" ca="1" si="213"/>
        <v>0</v>
      </c>
      <c r="K1105" t="str">
        <f t="shared" ca="1" si="214"/>
        <v>Public</v>
      </c>
      <c r="L1105" t="str">
        <f t="shared" ca="1" si="215"/>
        <v>General</v>
      </c>
    </row>
    <row r="1106" spans="1:12" x14ac:dyDescent="0.25">
      <c r="A1106">
        <f t="shared" si="204"/>
        <v>1105</v>
      </c>
      <c r="B1106">
        <f t="shared" ca="1" si="205"/>
        <v>70</v>
      </c>
      <c r="C1106" t="str">
        <f t="shared" ca="1" si="206"/>
        <v>Male</v>
      </c>
      <c r="D1106" s="1">
        <f t="shared" ca="1" si="207"/>
        <v>45631</v>
      </c>
      <c r="E1106" s="1">
        <f t="shared" ca="1" si="208"/>
        <v>45635</v>
      </c>
      <c r="F1106" t="str">
        <f t="shared" ca="1" si="209"/>
        <v>Heart Failure</v>
      </c>
      <c r="G1106" t="str">
        <f t="shared" ca="1" si="210"/>
        <v>Therapy</v>
      </c>
      <c r="H1106">
        <f t="shared" ca="1" si="211"/>
        <v>4</v>
      </c>
      <c r="I1106" t="str">
        <f t="shared" ca="1" si="212"/>
        <v>No</v>
      </c>
      <c r="J1106">
        <f t="shared" ca="1" si="213"/>
        <v>0</v>
      </c>
      <c r="K1106" t="str">
        <f t="shared" ca="1" si="214"/>
        <v>None</v>
      </c>
      <c r="L1106" t="str">
        <f t="shared" ca="1" si="215"/>
        <v>ICU</v>
      </c>
    </row>
    <row r="1107" spans="1:12" x14ac:dyDescent="0.25">
      <c r="A1107">
        <f t="shared" si="204"/>
        <v>1106</v>
      </c>
      <c r="B1107">
        <f t="shared" ca="1" si="205"/>
        <v>62</v>
      </c>
      <c r="C1107" t="str">
        <f t="shared" ca="1" si="206"/>
        <v>Male</v>
      </c>
      <c r="D1107" s="1">
        <f t="shared" ca="1" si="207"/>
        <v>45360</v>
      </c>
      <c r="E1107" s="1">
        <f t="shared" ca="1" si="208"/>
        <v>45367</v>
      </c>
      <c r="F1107" t="str">
        <f t="shared" ca="1" si="209"/>
        <v>Diabetes</v>
      </c>
      <c r="G1107" t="str">
        <f t="shared" ca="1" si="210"/>
        <v>Medication</v>
      </c>
      <c r="H1107">
        <f t="shared" ca="1" si="211"/>
        <v>7</v>
      </c>
      <c r="I1107" t="str">
        <f t="shared" ca="1" si="212"/>
        <v>Yes</v>
      </c>
      <c r="J1107">
        <f t="shared" ca="1" si="213"/>
        <v>1</v>
      </c>
      <c r="K1107" t="str">
        <f t="shared" ca="1" si="214"/>
        <v>Public</v>
      </c>
      <c r="L1107" t="str">
        <f t="shared" ca="1" si="215"/>
        <v>General</v>
      </c>
    </row>
    <row r="1108" spans="1:12" x14ac:dyDescent="0.25">
      <c r="A1108">
        <f t="shared" si="204"/>
        <v>1107</v>
      </c>
      <c r="B1108">
        <f t="shared" ca="1" si="205"/>
        <v>73</v>
      </c>
      <c r="C1108" t="str">
        <f t="shared" ca="1" si="206"/>
        <v>Female</v>
      </c>
      <c r="D1108" s="1">
        <f t="shared" ca="1" si="207"/>
        <v>45375</v>
      </c>
      <c r="E1108" s="1">
        <f t="shared" ca="1" si="208"/>
        <v>45388</v>
      </c>
      <c r="F1108" t="str">
        <f t="shared" ca="1" si="209"/>
        <v>Stroke</v>
      </c>
      <c r="G1108" t="str">
        <f t="shared" ca="1" si="210"/>
        <v>Therapy</v>
      </c>
      <c r="H1108">
        <f t="shared" ca="1" si="211"/>
        <v>13</v>
      </c>
      <c r="I1108" t="str">
        <f t="shared" ca="1" si="212"/>
        <v>No</v>
      </c>
      <c r="J1108">
        <f t="shared" ca="1" si="213"/>
        <v>4</v>
      </c>
      <c r="K1108" t="str">
        <f t="shared" ca="1" si="214"/>
        <v>Public</v>
      </c>
      <c r="L1108" t="str">
        <f t="shared" ca="1" si="215"/>
        <v>Cardiology</v>
      </c>
    </row>
    <row r="1109" spans="1:12" x14ac:dyDescent="0.25">
      <c r="A1109">
        <f t="shared" si="204"/>
        <v>1108</v>
      </c>
      <c r="B1109">
        <f t="shared" ca="1" si="205"/>
        <v>61</v>
      </c>
      <c r="C1109" t="str">
        <f t="shared" ca="1" si="206"/>
        <v>Female</v>
      </c>
      <c r="D1109" s="1">
        <f t="shared" ca="1" si="207"/>
        <v>45466</v>
      </c>
      <c r="E1109" s="1">
        <f t="shared" ca="1" si="208"/>
        <v>45474</v>
      </c>
      <c r="F1109" t="str">
        <f t="shared" ca="1" si="209"/>
        <v>Hypertension</v>
      </c>
      <c r="G1109" t="str">
        <f t="shared" ca="1" si="210"/>
        <v>Surgery</v>
      </c>
      <c r="H1109">
        <f t="shared" ca="1" si="211"/>
        <v>8</v>
      </c>
      <c r="I1109" t="str">
        <f t="shared" ca="1" si="212"/>
        <v>Yes</v>
      </c>
      <c r="J1109">
        <f t="shared" ca="1" si="213"/>
        <v>1</v>
      </c>
      <c r="K1109" t="str">
        <f t="shared" ca="1" si="214"/>
        <v>Private</v>
      </c>
      <c r="L1109" t="str">
        <f t="shared" ca="1" si="215"/>
        <v>Neurology</v>
      </c>
    </row>
    <row r="1110" spans="1:12" x14ac:dyDescent="0.25">
      <c r="A1110">
        <f t="shared" si="204"/>
        <v>1109</v>
      </c>
      <c r="B1110">
        <f t="shared" ca="1" si="205"/>
        <v>50</v>
      </c>
      <c r="C1110" t="str">
        <f t="shared" ca="1" si="206"/>
        <v>Female</v>
      </c>
      <c r="D1110" s="1">
        <f t="shared" ca="1" si="207"/>
        <v>45380</v>
      </c>
      <c r="E1110" s="1">
        <f t="shared" ca="1" si="208"/>
        <v>45385</v>
      </c>
      <c r="F1110" t="str">
        <f t="shared" ca="1" si="209"/>
        <v>Hypertension</v>
      </c>
      <c r="G1110" t="str">
        <f t="shared" ca="1" si="210"/>
        <v>Medication</v>
      </c>
      <c r="H1110">
        <f t="shared" ca="1" si="211"/>
        <v>5</v>
      </c>
      <c r="I1110" t="str">
        <f t="shared" ca="1" si="212"/>
        <v>Yes</v>
      </c>
      <c r="J1110">
        <f t="shared" ca="1" si="213"/>
        <v>1</v>
      </c>
      <c r="K1110" t="str">
        <f t="shared" ca="1" si="214"/>
        <v>Public</v>
      </c>
      <c r="L1110" t="str">
        <f t="shared" ca="1" si="215"/>
        <v>ICU</v>
      </c>
    </row>
    <row r="1111" spans="1:12" x14ac:dyDescent="0.25">
      <c r="A1111">
        <f t="shared" si="204"/>
        <v>1110</v>
      </c>
      <c r="B1111">
        <f t="shared" ca="1" si="205"/>
        <v>74</v>
      </c>
      <c r="C1111" t="str">
        <f t="shared" ca="1" si="206"/>
        <v>Female</v>
      </c>
      <c r="D1111" s="1">
        <f t="shared" ca="1" si="207"/>
        <v>45648</v>
      </c>
      <c r="E1111" s="1">
        <f t="shared" ca="1" si="208"/>
        <v>45649</v>
      </c>
      <c r="F1111" t="str">
        <f t="shared" ca="1" si="209"/>
        <v>Pneumonia</v>
      </c>
      <c r="G1111" t="str">
        <f t="shared" ca="1" si="210"/>
        <v>Therapy</v>
      </c>
      <c r="H1111">
        <f t="shared" ca="1" si="211"/>
        <v>1</v>
      </c>
      <c r="I1111" t="str">
        <f t="shared" ca="1" si="212"/>
        <v>No</v>
      </c>
      <c r="J1111">
        <f t="shared" ca="1" si="213"/>
        <v>3</v>
      </c>
      <c r="K1111" t="str">
        <f t="shared" ca="1" si="214"/>
        <v>Private</v>
      </c>
      <c r="L1111" t="str">
        <f t="shared" ca="1" si="215"/>
        <v>Cardiology</v>
      </c>
    </row>
    <row r="1112" spans="1:12" x14ac:dyDescent="0.25">
      <c r="A1112">
        <f t="shared" si="204"/>
        <v>1111</v>
      </c>
      <c r="B1112">
        <f t="shared" ca="1" si="205"/>
        <v>27</v>
      </c>
      <c r="C1112" t="str">
        <f t="shared" ca="1" si="206"/>
        <v>Female</v>
      </c>
      <c r="D1112" s="1">
        <f t="shared" ca="1" si="207"/>
        <v>45510</v>
      </c>
      <c r="E1112" s="1">
        <f t="shared" ca="1" si="208"/>
        <v>45524</v>
      </c>
      <c r="F1112" t="str">
        <f t="shared" ca="1" si="209"/>
        <v>Pneumonia</v>
      </c>
      <c r="G1112" t="str">
        <f t="shared" ca="1" si="210"/>
        <v>Medication</v>
      </c>
      <c r="H1112">
        <f t="shared" ca="1" si="211"/>
        <v>14</v>
      </c>
      <c r="I1112" t="str">
        <f t="shared" ca="1" si="212"/>
        <v>No</v>
      </c>
      <c r="J1112">
        <f t="shared" ca="1" si="213"/>
        <v>1</v>
      </c>
      <c r="K1112" t="str">
        <f t="shared" ca="1" si="214"/>
        <v>Private</v>
      </c>
      <c r="L1112" t="str">
        <f t="shared" ca="1" si="215"/>
        <v>ICU</v>
      </c>
    </row>
    <row r="1113" spans="1:12" x14ac:dyDescent="0.25">
      <c r="A1113">
        <f t="shared" si="204"/>
        <v>1112</v>
      </c>
      <c r="B1113">
        <f t="shared" ca="1" si="205"/>
        <v>72</v>
      </c>
      <c r="C1113" t="str">
        <f t="shared" ca="1" si="206"/>
        <v>Female</v>
      </c>
      <c r="D1113" s="1">
        <f t="shared" ca="1" si="207"/>
        <v>45524</v>
      </c>
      <c r="E1113" s="1">
        <f t="shared" ca="1" si="208"/>
        <v>45538</v>
      </c>
      <c r="F1113" t="str">
        <f t="shared" ca="1" si="209"/>
        <v>Heart Failure</v>
      </c>
      <c r="G1113" t="str">
        <f t="shared" ca="1" si="210"/>
        <v>Surgery</v>
      </c>
      <c r="H1113">
        <f t="shared" ca="1" si="211"/>
        <v>14</v>
      </c>
      <c r="I1113" t="str">
        <f t="shared" ca="1" si="212"/>
        <v>No</v>
      </c>
      <c r="J1113">
        <f t="shared" ca="1" si="213"/>
        <v>2</v>
      </c>
      <c r="K1113" t="str">
        <f t="shared" ca="1" si="214"/>
        <v>Private</v>
      </c>
      <c r="L1113" t="str">
        <f t="shared" ca="1" si="215"/>
        <v>ER</v>
      </c>
    </row>
    <row r="1114" spans="1:12" x14ac:dyDescent="0.25">
      <c r="A1114">
        <f t="shared" si="204"/>
        <v>1113</v>
      </c>
      <c r="B1114">
        <f t="shared" ca="1" si="205"/>
        <v>52</v>
      </c>
      <c r="C1114" t="str">
        <f t="shared" ca="1" si="206"/>
        <v>Male</v>
      </c>
      <c r="D1114" s="1">
        <f t="shared" ca="1" si="207"/>
        <v>45572</v>
      </c>
      <c r="E1114" s="1">
        <f t="shared" ca="1" si="208"/>
        <v>45573</v>
      </c>
      <c r="F1114" t="str">
        <f t="shared" ca="1" si="209"/>
        <v>Stroke</v>
      </c>
      <c r="G1114" t="str">
        <f t="shared" ca="1" si="210"/>
        <v>Medication</v>
      </c>
      <c r="H1114">
        <f t="shared" ca="1" si="211"/>
        <v>1</v>
      </c>
      <c r="I1114" t="str">
        <f t="shared" ca="1" si="212"/>
        <v>No</v>
      </c>
      <c r="J1114">
        <f t="shared" ca="1" si="213"/>
        <v>4</v>
      </c>
      <c r="K1114" t="str">
        <f t="shared" ca="1" si="214"/>
        <v>Public</v>
      </c>
      <c r="L1114" t="str">
        <f t="shared" ca="1" si="215"/>
        <v>General</v>
      </c>
    </row>
    <row r="1115" spans="1:12" x14ac:dyDescent="0.25">
      <c r="A1115">
        <f t="shared" si="204"/>
        <v>1114</v>
      </c>
      <c r="B1115">
        <f t="shared" ca="1" si="205"/>
        <v>58</v>
      </c>
      <c r="C1115" t="str">
        <f t="shared" ca="1" si="206"/>
        <v>Female</v>
      </c>
      <c r="D1115" s="1">
        <f t="shared" ca="1" si="207"/>
        <v>45477</v>
      </c>
      <c r="E1115" s="1">
        <f t="shared" ca="1" si="208"/>
        <v>45492</v>
      </c>
      <c r="F1115" t="str">
        <f t="shared" ca="1" si="209"/>
        <v>Pneumonia</v>
      </c>
      <c r="G1115" t="str">
        <f t="shared" ca="1" si="210"/>
        <v>Medication</v>
      </c>
      <c r="H1115">
        <f t="shared" ca="1" si="211"/>
        <v>15</v>
      </c>
      <c r="I1115" t="str">
        <f t="shared" ca="1" si="212"/>
        <v>Yes</v>
      </c>
      <c r="J1115">
        <f t="shared" ca="1" si="213"/>
        <v>2</v>
      </c>
      <c r="K1115" t="str">
        <f t="shared" ca="1" si="214"/>
        <v>Private</v>
      </c>
      <c r="L1115" t="str">
        <f t="shared" ca="1" si="215"/>
        <v>Cardiology</v>
      </c>
    </row>
    <row r="1116" spans="1:12" x14ac:dyDescent="0.25">
      <c r="A1116">
        <f t="shared" si="204"/>
        <v>1115</v>
      </c>
      <c r="B1116">
        <f t="shared" ca="1" si="205"/>
        <v>21</v>
      </c>
      <c r="C1116" t="str">
        <f t="shared" ca="1" si="206"/>
        <v>Male</v>
      </c>
      <c r="D1116" s="1">
        <f t="shared" ca="1" si="207"/>
        <v>45448</v>
      </c>
      <c r="E1116" s="1">
        <f t="shared" ca="1" si="208"/>
        <v>45462</v>
      </c>
      <c r="F1116" t="str">
        <f t="shared" ca="1" si="209"/>
        <v>Stroke</v>
      </c>
      <c r="G1116" t="str">
        <f t="shared" ca="1" si="210"/>
        <v>Therapy</v>
      </c>
      <c r="H1116">
        <f t="shared" ca="1" si="211"/>
        <v>14</v>
      </c>
      <c r="I1116" t="str">
        <f t="shared" ca="1" si="212"/>
        <v>No</v>
      </c>
      <c r="J1116">
        <f t="shared" ca="1" si="213"/>
        <v>3</v>
      </c>
      <c r="K1116" t="str">
        <f t="shared" ca="1" si="214"/>
        <v>Public</v>
      </c>
      <c r="L1116" t="str">
        <f t="shared" ca="1" si="215"/>
        <v>General</v>
      </c>
    </row>
    <row r="1117" spans="1:12" x14ac:dyDescent="0.25">
      <c r="A1117">
        <f t="shared" si="204"/>
        <v>1116</v>
      </c>
      <c r="B1117">
        <f t="shared" ca="1" si="205"/>
        <v>39</v>
      </c>
      <c r="C1117" t="str">
        <f t="shared" ca="1" si="206"/>
        <v>Female</v>
      </c>
      <c r="D1117" s="1">
        <f t="shared" ca="1" si="207"/>
        <v>45379</v>
      </c>
      <c r="E1117" s="1">
        <f t="shared" ca="1" si="208"/>
        <v>45391</v>
      </c>
      <c r="F1117" t="str">
        <f t="shared" ca="1" si="209"/>
        <v>Hypertension</v>
      </c>
      <c r="G1117" t="str">
        <f t="shared" ca="1" si="210"/>
        <v>Therapy</v>
      </c>
      <c r="H1117">
        <f t="shared" ca="1" si="211"/>
        <v>12</v>
      </c>
      <c r="I1117" t="str">
        <f t="shared" ca="1" si="212"/>
        <v>Yes</v>
      </c>
      <c r="J1117">
        <f t="shared" ca="1" si="213"/>
        <v>4</v>
      </c>
      <c r="K1117" t="str">
        <f t="shared" ca="1" si="214"/>
        <v>Public</v>
      </c>
      <c r="L1117" t="str">
        <f t="shared" ca="1" si="215"/>
        <v>Cardiology</v>
      </c>
    </row>
    <row r="1118" spans="1:12" x14ac:dyDescent="0.25">
      <c r="A1118">
        <f t="shared" si="204"/>
        <v>1117</v>
      </c>
      <c r="B1118">
        <f t="shared" ca="1" si="205"/>
        <v>70</v>
      </c>
      <c r="C1118" t="str">
        <f t="shared" ca="1" si="206"/>
        <v>Male</v>
      </c>
      <c r="D1118" s="1">
        <f t="shared" ca="1" si="207"/>
        <v>45425</v>
      </c>
      <c r="E1118" s="1">
        <f t="shared" ca="1" si="208"/>
        <v>45437</v>
      </c>
      <c r="F1118" t="str">
        <f t="shared" ca="1" si="209"/>
        <v>Pneumonia</v>
      </c>
      <c r="G1118" t="str">
        <f t="shared" ca="1" si="210"/>
        <v>Surgery</v>
      </c>
      <c r="H1118">
        <f t="shared" ca="1" si="211"/>
        <v>12</v>
      </c>
      <c r="I1118" t="str">
        <f t="shared" ca="1" si="212"/>
        <v>No</v>
      </c>
      <c r="J1118">
        <f t="shared" ca="1" si="213"/>
        <v>0</v>
      </c>
      <c r="K1118" t="str">
        <f t="shared" ca="1" si="214"/>
        <v>Private</v>
      </c>
      <c r="L1118" t="str">
        <f t="shared" ca="1" si="215"/>
        <v>Neurology</v>
      </c>
    </row>
    <row r="1119" spans="1:12" x14ac:dyDescent="0.25">
      <c r="A1119">
        <f t="shared" si="204"/>
        <v>1118</v>
      </c>
      <c r="B1119">
        <f t="shared" ca="1" si="205"/>
        <v>49</v>
      </c>
      <c r="C1119" t="str">
        <f t="shared" ca="1" si="206"/>
        <v>Female</v>
      </c>
      <c r="D1119" s="1">
        <f t="shared" ca="1" si="207"/>
        <v>45604</v>
      </c>
      <c r="E1119" s="1">
        <f t="shared" ca="1" si="208"/>
        <v>45608</v>
      </c>
      <c r="F1119" t="str">
        <f t="shared" ca="1" si="209"/>
        <v>Pneumonia</v>
      </c>
      <c r="G1119" t="str">
        <f t="shared" ca="1" si="210"/>
        <v>Surgery</v>
      </c>
      <c r="H1119">
        <f t="shared" ca="1" si="211"/>
        <v>4</v>
      </c>
      <c r="I1119" t="str">
        <f t="shared" ca="1" si="212"/>
        <v>No</v>
      </c>
      <c r="J1119">
        <f t="shared" ca="1" si="213"/>
        <v>1</v>
      </c>
      <c r="K1119" t="str">
        <f t="shared" ca="1" si="214"/>
        <v>Private</v>
      </c>
      <c r="L1119" t="str">
        <f t="shared" ca="1" si="215"/>
        <v>ICU</v>
      </c>
    </row>
    <row r="1120" spans="1:12" x14ac:dyDescent="0.25">
      <c r="A1120">
        <f t="shared" si="204"/>
        <v>1119</v>
      </c>
      <c r="B1120">
        <f t="shared" ca="1" si="205"/>
        <v>29</v>
      </c>
      <c r="C1120" t="str">
        <f t="shared" ca="1" si="206"/>
        <v>Male</v>
      </c>
      <c r="D1120" s="1">
        <f t="shared" ca="1" si="207"/>
        <v>45637</v>
      </c>
      <c r="E1120" s="1">
        <f t="shared" ca="1" si="208"/>
        <v>45644</v>
      </c>
      <c r="F1120" t="str">
        <f t="shared" ca="1" si="209"/>
        <v>Pneumonia</v>
      </c>
      <c r="G1120" t="str">
        <f t="shared" ca="1" si="210"/>
        <v>Therapy</v>
      </c>
      <c r="H1120">
        <f t="shared" ca="1" si="211"/>
        <v>7</v>
      </c>
      <c r="I1120" t="str">
        <f t="shared" ca="1" si="212"/>
        <v>No</v>
      </c>
      <c r="J1120">
        <f t="shared" ca="1" si="213"/>
        <v>4</v>
      </c>
      <c r="K1120" t="str">
        <f t="shared" ca="1" si="214"/>
        <v>None</v>
      </c>
      <c r="L1120" t="str">
        <f t="shared" ca="1" si="215"/>
        <v>Cardiology</v>
      </c>
    </row>
    <row r="1121" spans="1:12" x14ac:dyDescent="0.25">
      <c r="A1121">
        <f t="shared" si="204"/>
        <v>1120</v>
      </c>
      <c r="B1121">
        <f t="shared" ca="1" si="205"/>
        <v>62</v>
      </c>
      <c r="C1121" t="str">
        <f t="shared" ca="1" si="206"/>
        <v>Female</v>
      </c>
      <c r="D1121" s="1">
        <f t="shared" ca="1" si="207"/>
        <v>45456</v>
      </c>
      <c r="E1121" s="1">
        <f t="shared" ca="1" si="208"/>
        <v>45457</v>
      </c>
      <c r="F1121" t="str">
        <f t="shared" ca="1" si="209"/>
        <v>Heart Failure</v>
      </c>
      <c r="G1121" t="str">
        <f t="shared" ca="1" si="210"/>
        <v>Medication</v>
      </c>
      <c r="H1121">
        <f t="shared" ca="1" si="211"/>
        <v>1</v>
      </c>
      <c r="I1121" t="str">
        <f t="shared" ca="1" si="212"/>
        <v>No</v>
      </c>
      <c r="J1121">
        <f t="shared" ca="1" si="213"/>
        <v>0</v>
      </c>
      <c r="K1121" t="str">
        <f t="shared" ca="1" si="214"/>
        <v>Public</v>
      </c>
      <c r="L1121" t="str">
        <f t="shared" ca="1" si="215"/>
        <v>General</v>
      </c>
    </row>
    <row r="1122" spans="1:12" x14ac:dyDescent="0.25">
      <c r="A1122">
        <f t="shared" si="204"/>
        <v>1121</v>
      </c>
      <c r="B1122">
        <f t="shared" ca="1" si="205"/>
        <v>63</v>
      </c>
      <c r="C1122" t="str">
        <f t="shared" ca="1" si="206"/>
        <v>Female</v>
      </c>
      <c r="D1122" s="1">
        <f t="shared" ca="1" si="207"/>
        <v>45586</v>
      </c>
      <c r="E1122" s="1">
        <f t="shared" ca="1" si="208"/>
        <v>45600</v>
      </c>
      <c r="F1122" t="str">
        <f t="shared" ca="1" si="209"/>
        <v>Pneumonia</v>
      </c>
      <c r="G1122" t="str">
        <f t="shared" ca="1" si="210"/>
        <v>Medication</v>
      </c>
      <c r="H1122">
        <f t="shared" ca="1" si="211"/>
        <v>14</v>
      </c>
      <c r="I1122" t="str">
        <f t="shared" ca="1" si="212"/>
        <v>No</v>
      </c>
      <c r="J1122">
        <f t="shared" ca="1" si="213"/>
        <v>2</v>
      </c>
      <c r="K1122" t="str">
        <f t="shared" ca="1" si="214"/>
        <v>Public</v>
      </c>
      <c r="L1122" t="str">
        <f t="shared" ca="1" si="215"/>
        <v>Neurology</v>
      </c>
    </row>
    <row r="1123" spans="1:12" x14ac:dyDescent="0.25">
      <c r="A1123">
        <f t="shared" si="204"/>
        <v>1122</v>
      </c>
      <c r="B1123">
        <f t="shared" ca="1" si="205"/>
        <v>72</v>
      </c>
      <c r="C1123" t="str">
        <f t="shared" ca="1" si="206"/>
        <v>Female</v>
      </c>
      <c r="D1123" s="1">
        <f t="shared" ca="1" si="207"/>
        <v>45468</v>
      </c>
      <c r="E1123" s="1">
        <f t="shared" ca="1" si="208"/>
        <v>45472</v>
      </c>
      <c r="F1123" t="str">
        <f t="shared" ca="1" si="209"/>
        <v>Heart Failure</v>
      </c>
      <c r="G1123" t="str">
        <f t="shared" ca="1" si="210"/>
        <v>Surgery</v>
      </c>
      <c r="H1123">
        <f t="shared" ca="1" si="211"/>
        <v>4</v>
      </c>
      <c r="I1123" t="str">
        <f t="shared" ca="1" si="212"/>
        <v>Yes</v>
      </c>
      <c r="J1123">
        <f t="shared" ca="1" si="213"/>
        <v>3</v>
      </c>
      <c r="K1123" t="str">
        <f t="shared" ca="1" si="214"/>
        <v>Private</v>
      </c>
      <c r="L1123" t="str">
        <f t="shared" ca="1" si="215"/>
        <v>Cardiology</v>
      </c>
    </row>
    <row r="1124" spans="1:12" x14ac:dyDescent="0.25">
      <c r="A1124">
        <f t="shared" si="204"/>
        <v>1123</v>
      </c>
      <c r="B1124">
        <f t="shared" ca="1" si="205"/>
        <v>65</v>
      </c>
      <c r="C1124" t="str">
        <f t="shared" ca="1" si="206"/>
        <v>Male</v>
      </c>
      <c r="D1124" s="1">
        <f t="shared" ca="1" si="207"/>
        <v>45420</v>
      </c>
      <c r="E1124" s="1">
        <f t="shared" ca="1" si="208"/>
        <v>45428</v>
      </c>
      <c r="F1124" t="str">
        <f t="shared" ca="1" si="209"/>
        <v>Heart Failure</v>
      </c>
      <c r="G1124" t="str">
        <f t="shared" ca="1" si="210"/>
        <v>Therapy</v>
      </c>
      <c r="H1124">
        <f t="shared" ca="1" si="211"/>
        <v>8</v>
      </c>
      <c r="I1124" t="str">
        <f t="shared" ca="1" si="212"/>
        <v>No</v>
      </c>
      <c r="J1124">
        <f t="shared" ca="1" si="213"/>
        <v>3</v>
      </c>
      <c r="K1124" t="str">
        <f t="shared" ca="1" si="214"/>
        <v>None</v>
      </c>
      <c r="L1124" t="str">
        <f t="shared" ca="1" si="215"/>
        <v>General</v>
      </c>
    </row>
    <row r="1125" spans="1:12" x14ac:dyDescent="0.25">
      <c r="A1125">
        <f t="shared" si="204"/>
        <v>1124</v>
      </c>
      <c r="B1125">
        <f t="shared" ca="1" si="205"/>
        <v>90</v>
      </c>
      <c r="C1125" t="str">
        <f t="shared" ca="1" si="206"/>
        <v>Male</v>
      </c>
      <c r="D1125" s="1">
        <f t="shared" ca="1" si="207"/>
        <v>45597</v>
      </c>
      <c r="E1125" s="1">
        <f t="shared" ca="1" si="208"/>
        <v>45604</v>
      </c>
      <c r="F1125" t="str">
        <f t="shared" ca="1" si="209"/>
        <v>Heart Failure</v>
      </c>
      <c r="G1125" t="str">
        <f t="shared" ca="1" si="210"/>
        <v>Therapy</v>
      </c>
      <c r="H1125">
        <f t="shared" ca="1" si="211"/>
        <v>7</v>
      </c>
      <c r="I1125" t="str">
        <f t="shared" ca="1" si="212"/>
        <v>Yes</v>
      </c>
      <c r="J1125">
        <f t="shared" ca="1" si="213"/>
        <v>4</v>
      </c>
      <c r="K1125" t="str">
        <f t="shared" ca="1" si="214"/>
        <v>Private</v>
      </c>
      <c r="L1125" t="str">
        <f t="shared" ca="1" si="215"/>
        <v>General</v>
      </c>
    </row>
    <row r="1126" spans="1:12" x14ac:dyDescent="0.25">
      <c r="A1126">
        <f t="shared" si="204"/>
        <v>1125</v>
      </c>
      <c r="B1126">
        <f t="shared" ca="1" si="205"/>
        <v>21</v>
      </c>
      <c r="C1126" t="str">
        <f t="shared" ca="1" si="206"/>
        <v>Female</v>
      </c>
      <c r="D1126" s="1">
        <f t="shared" ca="1" si="207"/>
        <v>45471</v>
      </c>
      <c r="E1126" s="1">
        <f t="shared" ca="1" si="208"/>
        <v>45478</v>
      </c>
      <c r="F1126" t="str">
        <f t="shared" ca="1" si="209"/>
        <v>Hypertension</v>
      </c>
      <c r="G1126" t="str">
        <f t="shared" ca="1" si="210"/>
        <v>Medication</v>
      </c>
      <c r="H1126">
        <f t="shared" ca="1" si="211"/>
        <v>7</v>
      </c>
      <c r="I1126" t="str">
        <f t="shared" ca="1" si="212"/>
        <v>No</v>
      </c>
      <c r="J1126">
        <f t="shared" ca="1" si="213"/>
        <v>3</v>
      </c>
      <c r="K1126" t="str">
        <f t="shared" ca="1" si="214"/>
        <v>None</v>
      </c>
      <c r="L1126" t="str">
        <f t="shared" ca="1" si="215"/>
        <v>ICU</v>
      </c>
    </row>
    <row r="1127" spans="1:12" x14ac:dyDescent="0.25">
      <c r="A1127">
        <f t="shared" si="204"/>
        <v>1126</v>
      </c>
      <c r="B1127">
        <f t="shared" ca="1" si="205"/>
        <v>49</v>
      </c>
      <c r="C1127" t="str">
        <f t="shared" ca="1" si="206"/>
        <v>Male</v>
      </c>
      <c r="D1127" s="1">
        <f t="shared" ca="1" si="207"/>
        <v>45638</v>
      </c>
      <c r="E1127" s="1">
        <f t="shared" ca="1" si="208"/>
        <v>45651</v>
      </c>
      <c r="F1127" t="str">
        <f t="shared" ca="1" si="209"/>
        <v>Pneumonia</v>
      </c>
      <c r="G1127" t="str">
        <f t="shared" ca="1" si="210"/>
        <v>Therapy</v>
      </c>
      <c r="H1127">
        <f t="shared" ca="1" si="211"/>
        <v>13</v>
      </c>
      <c r="I1127" t="str">
        <f t="shared" ca="1" si="212"/>
        <v>No</v>
      </c>
      <c r="J1127">
        <f t="shared" ca="1" si="213"/>
        <v>0</v>
      </c>
      <c r="K1127" t="str">
        <f t="shared" ca="1" si="214"/>
        <v>None</v>
      </c>
      <c r="L1127" t="str">
        <f t="shared" ca="1" si="215"/>
        <v>ICU</v>
      </c>
    </row>
    <row r="1128" spans="1:12" x14ac:dyDescent="0.25">
      <c r="A1128">
        <f t="shared" si="204"/>
        <v>1127</v>
      </c>
      <c r="B1128">
        <f t="shared" ca="1" si="205"/>
        <v>29</v>
      </c>
      <c r="C1128" t="str">
        <f t="shared" ca="1" si="206"/>
        <v>Female</v>
      </c>
      <c r="D1128" s="1">
        <f t="shared" ca="1" si="207"/>
        <v>45327</v>
      </c>
      <c r="E1128" s="1">
        <f t="shared" ca="1" si="208"/>
        <v>45328</v>
      </c>
      <c r="F1128" t="str">
        <f t="shared" ca="1" si="209"/>
        <v>Diabetes</v>
      </c>
      <c r="G1128" t="str">
        <f t="shared" ca="1" si="210"/>
        <v>Surgery</v>
      </c>
      <c r="H1128">
        <f t="shared" ca="1" si="211"/>
        <v>1</v>
      </c>
      <c r="I1128" t="str">
        <f t="shared" ca="1" si="212"/>
        <v>No</v>
      </c>
      <c r="J1128">
        <f t="shared" ca="1" si="213"/>
        <v>0</v>
      </c>
      <c r="K1128" t="str">
        <f t="shared" ca="1" si="214"/>
        <v>Public</v>
      </c>
      <c r="L1128" t="str">
        <f t="shared" ca="1" si="215"/>
        <v>Cardiology</v>
      </c>
    </row>
    <row r="1129" spans="1:12" x14ac:dyDescent="0.25">
      <c r="A1129">
        <f t="shared" si="204"/>
        <v>1128</v>
      </c>
      <c r="B1129">
        <f t="shared" ca="1" si="205"/>
        <v>36</v>
      </c>
      <c r="C1129" t="str">
        <f t="shared" ca="1" si="206"/>
        <v>Male</v>
      </c>
      <c r="D1129" s="1">
        <f t="shared" ca="1" si="207"/>
        <v>45485</v>
      </c>
      <c r="E1129" s="1">
        <f t="shared" ca="1" si="208"/>
        <v>45491</v>
      </c>
      <c r="F1129" t="str">
        <f t="shared" ca="1" si="209"/>
        <v>Diabetes</v>
      </c>
      <c r="G1129" t="str">
        <f t="shared" ca="1" si="210"/>
        <v>Therapy</v>
      </c>
      <c r="H1129">
        <f t="shared" ca="1" si="211"/>
        <v>6</v>
      </c>
      <c r="I1129" t="str">
        <f t="shared" ca="1" si="212"/>
        <v>No</v>
      </c>
      <c r="J1129">
        <f t="shared" ca="1" si="213"/>
        <v>4</v>
      </c>
      <c r="K1129" t="str">
        <f t="shared" ca="1" si="214"/>
        <v>None</v>
      </c>
      <c r="L1129" t="str">
        <f t="shared" ca="1" si="215"/>
        <v>Neurology</v>
      </c>
    </row>
    <row r="1130" spans="1:12" x14ac:dyDescent="0.25">
      <c r="A1130">
        <f t="shared" si="204"/>
        <v>1129</v>
      </c>
      <c r="B1130">
        <f t="shared" ca="1" si="205"/>
        <v>54</v>
      </c>
      <c r="C1130" t="str">
        <f t="shared" ca="1" si="206"/>
        <v>Male</v>
      </c>
      <c r="D1130" s="1">
        <f t="shared" ca="1" si="207"/>
        <v>45496</v>
      </c>
      <c r="E1130" s="1">
        <f t="shared" ca="1" si="208"/>
        <v>45499</v>
      </c>
      <c r="F1130" t="str">
        <f t="shared" ca="1" si="209"/>
        <v>Stroke</v>
      </c>
      <c r="G1130" t="str">
        <f t="shared" ca="1" si="210"/>
        <v>Therapy</v>
      </c>
      <c r="H1130">
        <f t="shared" ca="1" si="211"/>
        <v>3</v>
      </c>
      <c r="I1130" t="str">
        <f t="shared" ca="1" si="212"/>
        <v>No</v>
      </c>
      <c r="J1130">
        <f t="shared" ca="1" si="213"/>
        <v>4</v>
      </c>
      <c r="K1130" t="str">
        <f t="shared" ca="1" si="214"/>
        <v>None</v>
      </c>
      <c r="L1130" t="str">
        <f t="shared" ca="1" si="215"/>
        <v>Cardiology</v>
      </c>
    </row>
    <row r="1131" spans="1:12" x14ac:dyDescent="0.25">
      <c r="A1131">
        <f t="shared" si="204"/>
        <v>1130</v>
      </c>
      <c r="B1131">
        <f t="shared" ca="1" si="205"/>
        <v>78</v>
      </c>
      <c r="C1131" t="str">
        <f t="shared" ca="1" si="206"/>
        <v>Male</v>
      </c>
      <c r="D1131" s="1">
        <f t="shared" ca="1" si="207"/>
        <v>45511</v>
      </c>
      <c r="E1131" s="1">
        <f t="shared" ca="1" si="208"/>
        <v>45512</v>
      </c>
      <c r="F1131" t="str">
        <f t="shared" ca="1" si="209"/>
        <v>Diabetes</v>
      </c>
      <c r="G1131" t="str">
        <f t="shared" ca="1" si="210"/>
        <v>Therapy</v>
      </c>
      <c r="H1131">
        <f t="shared" ca="1" si="211"/>
        <v>1</v>
      </c>
      <c r="I1131" t="str">
        <f t="shared" ca="1" si="212"/>
        <v>Yes</v>
      </c>
      <c r="J1131">
        <f t="shared" ca="1" si="213"/>
        <v>4</v>
      </c>
      <c r="K1131" t="str">
        <f t="shared" ca="1" si="214"/>
        <v>Private</v>
      </c>
      <c r="L1131" t="str">
        <f t="shared" ca="1" si="215"/>
        <v>ER</v>
      </c>
    </row>
    <row r="1132" spans="1:12" x14ac:dyDescent="0.25">
      <c r="A1132">
        <f t="shared" si="204"/>
        <v>1131</v>
      </c>
      <c r="B1132">
        <f t="shared" ca="1" si="205"/>
        <v>69</v>
      </c>
      <c r="C1132" t="str">
        <f t="shared" ca="1" si="206"/>
        <v>Male</v>
      </c>
      <c r="D1132" s="1">
        <f t="shared" ca="1" si="207"/>
        <v>45564</v>
      </c>
      <c r="E1132" s="1">
        <f t="shared" ca="1" si="208"/>
        <v>45567</v>
      </c>
      <c r="F1132" t="str">
        <f t="shared" ca="1" si="209"/>
        <v>Pneumonia</v>
      </c>
      <c r="G1132" t="str">
        <f t="shared" ca="1" si="210"/>
        <v>Therapy</v>
      </c>
      <c r="H1132">
        <f t="shared" ca="1" si="211"/>
        <v>3</v>
      </c>
      <c r="I1132" t="str">
        <f t="shared" ca="1" si="212"/>
        <v>No</v>
      </c>
      <c r="J1132">
        <f t="shared" ca="1" si="213"/>
        <v>4</v>
      </c>
      <c r="K1132" t="str">
        <f t="shared" ca="1" si="214"/>
        <v>Public</v>
      </c>
      <c r="L1132" t="str">
        <f t="shared" ca="1" si="215"/>
        <v>General</v>
      </c>
    </row>
    <row r="1133" spans="1:12" x14ac:dyDescent="0.25">
      <c r="A1133">
        <f t="shared" si="204"/>
        <v>1132</v>
      </c>
      <c r="B1133">
        <f t="shared" ca="1" si="205"/>
        <v>73</v>
      </c>
      <c r="C1133" t="str">
        <f t="shared" ca="1" si="206"/>
        <v>Female</v>
      </c>
      <c r="D1133" s="1">
        <f t="shared" ca="1" si="207"/>
        <v>45645</v>
      </c>
      <c r="E1133" s="1">
        <f t="shared" ca="1" si="208"/>
        <v>45658</v>
      </c>
      <c r="F1133" t="str">
        <f t="shared" ca="1" si="209"/>
        <v>Heart Failure</v>
      </c>
      <c r="G1133" t="str">
        <f t="shared" ca="1" si="210"/>
        <v>Therapy</v>
      </c>
      <c r="H1133">
        <f t="shared" ca="1" si="211"/>
        <v>13</v>
      </c>
      <c r="I1133" t="str">
        <f t="shared" ca="1" si="212"/>
        <v>No</v>
      </c>
      <c r="J1133">
        <f t="shared" ca="1" si="213"/>
        <v>0</v>
      </c>
      <c r="K1133" t="str">
        <f t="shared" ca="1" si="214"/>
        <v>None</v>
      </c>
      <c r="L1133" t="str">
        <f t="shared" ca="1" si="215"/>
        <v>ICU</v>
      </c>
    </row>
    <row r="1134" spans="1:12" x14ac:dyDescent="0.25">
      <c r="A1134">
        <f t="shared" si="204"/>
        <v>1133</v>
      </c>
      <c r="B1134">
        <f t="shared" ca="1" si="205"/>
        <v>29</v>
      </c>
      <c r="C1134" t="str">
        <f t="shared" ca="1" si="206"/>
        <v>Male</v>
      </c>
      <c r="D1134" s="1">
        <f t="shared" ca="1" si="207"/>
        <v>45465</v>
      </c>
      <c r="E1134" s="1">
        <f t="shared" ca="1" si="208"/>
        <v>45475</v>
      </c>
      <c r="F1134" t="str">
        <f t="shared" ca="1" si="209"/>
        <v>Hypertension</v>
      </c>
      <c r="G1134" t="str">
        <f t="shared" ca="1" si="210"/>
        <v>Therapy</v>
      </c>
      <c r="H1134">
        <f t="shared" ca="1" si="211"/>
        <v>10</v>
      </c>
      <c r="I1134" t="str">
        <f t="shared" ca="1" si="212"/>
        <v>Yes</v>
      </c>
      <c r="J1134">
        <f t="shared" ca="1" si="213"/>
        <v>4</v>
      </c>
      <c r="K1134" t="str">
        <f t="shared" ca="1" si="214"/>
        <v>None</v>
      </c>
      <c r="L1134" t="str">
        <f t="shared" ca="1" si="215"/>
        <v>ICU</v>
      </c>
    </row>
    <row r="1135" spans="1:12" x14ac:dyDescent="0.25">
      <c r="A1135">
        <f t="shared" si="204"/>
        <v>1134</v>
      </c>
      <c r="B1135">
        <f t="shared" ca="1" si="205"/>
        <v>89</v>
      </c>
      <c r="C1135" t="str">
        <f t="shared" ca="1" si="206"/>
        <v>Male</v>
      </c>
      <c r="D1135" s="1">
        <f t="shared" ca="1" si="207"/>
        <v>45358</v>
      </c>
      <c r="E1135" s="1">
        <f t="shared" ca="1" si="208"/>
        <v>45359</v>
      </c>
      <c r="F1135" t="str">
        <f t="shared" ca="1" si="209"/>
        <v>Stroke</v>
      </c>
      <c r="G1135" t="str">
        <f t="shared" ca="1" si="210"/>
        <v>Medication</v>
      </c>
      <c r="H1135">
        <f t="shared" ca="1" si="211"/>
        <v>1</v>
      </c>
      <c r="I1135" t="str">
        <f t="shared" ca="1" si="212"/>
        <v>No</v>
      </c>
      <c r="J1135">
        <f t="shared" ca="1" si="213"/>
        <v>4</v>
      </c>
      <c r="K1135" t="str">
        <f t="shared" ca="1" si="214"/>
        <v>None</v>
      </c>
      <c r="L1135" t="str">
        <f t="shared" ca="1" si="215"/>
        <v>Neurology</v>
      </c>
    </row>
    <row r="1136" spans="1:12" x14ac:dyDescent="0.25">
      <c r="A1136">
        <f t="shared" si="204"/>
        <v>1135</v>
      </c>
      <c r="B1136">
        <f t="shared" ca="1" si="205"/>
        <v>49</v>
      </c>
      <c r="C1136" t="str">
        <f t="shared" ca="1" si="206"/>
        <v>Male</v>
      </c>
      <c r="D1136" s="1">
        <f t="shared" ca="1" si="207"/>
        <v>45618</v>
      </c>
      <c r="E1136" s="1">
        <f t="shared" ca="1" si="208"/>
        <v>45631</v>
      </c>
      <c r="F1136" t="str">
        <f t="shared" ca="1" si="209"/>
        <v>Pneumonia</v>
      </c>
      <c r="G1136" t="str">
        <f t="shared" ca="1" si="210"/>
        <v>Medication</v>
      </c>
      <c r="H1136">
        <f t="shared" ca="1" si="211"/>
        <v>13</v>
      </c>
      <c r="I1136" t="str">
        <f t="shared" ca="1" si="212"/>
        <v>No</v>
      </c>
      <c r="J1136">
        <f t="shared" ca="1" si="213"/>
        <v>3</v>
      </c>
      <c r="K1136" t="str">
        <f t="shared" ca="1" si="214"/>
        <v>Private</v>
      </c>
      <c r="L1136" t="str">
        <f t="shared" ca="1" si="215"/>
        <v>ICU</v>
      </c>
    </row>
    <row r="1137" spans="1:12" x14ac:dyDescent="0.25">
      <c r="A1137">
        <f t="shared" si="204"/>
        <v>1136</v>
      </c>
      <c r="B1137">
        <f t="shared" ca="1" si="205"/>
        <v>41</v>
      </c>
      <c r="C1137" t="str">
        <f t="shared" ca="1" si="206"/>
        <v>Male</v>
      </c>
      <c r="D1137" s="1">
        <f t="shared" ca="1" si="207"/>
        <v>45397</v>
      </c>
      <c r="E1137" s="1">
        <f t="shared" ca="1" si="208"/>
        <v>45401</v>
      </c>
      <c r="F1137" t="str">
        <f t="shared" ca="1" si="209"/>
        <v>Diabetes</v>
      </c>
      <c r="G1137" t="str">
        <f t="shared" ca="1" si="210"/>
        <v>Therapy</v>
      </c>
      <c r="H1137">
        <f t="shared" ca="1" si="211"/>
        <v>4</v>
      </c>
      <c r="I1137" t="str">
        <f t="shared" ca="1" si="212"/>
        <v>Yes</v>
      </c>
      <c r="J1137">
        <f t="shared" ca="1" si="213"/>
        <v>2</v>
      </c>
      <c r="K1137" t="str">
        <f t="shared" ca="1" si="214"/>
        <v>Public</v>
      </c>
      <c r="L1137" t="str">
        <f t="shared" ca="1" si="215"/>
        <v>Neurology</v>
      </c>
    </row>
    <row r="1138" spans="1:12" x14ac:dyDescent="0.25">
      <c r="A1138">
        <f t="shared" si="204"/>
        <v>1137</v>
      </c>
      <c r="B1138">
        <f t="shared" ca="1" si="205"/>
        <v>34</v>
      </c>
      <c r="C1138" t="str">
        <f t="shared" ca="1" si="206"/>
        <v>Male</v>
      </c>
      <c r="D1138" s="1">
        <f t="shared" ca="1" si="207"/>
        <v>45632</v>
      </c>
      <c r="E1138" s="1">
        <f t="shared" ca="1" si="208"/>
        <v>45638</v>
      </c>
      <c r="F1138" t="str">
        <f t="shared" ca="1" si="209"/>
        <v>Stroke</v>
      </c>
      <c r="G1138" t="str">
        <f t="shared" ca="1" si="210"/>
        <v>Surgery</v>
      </c>
      <c r="H1138">
        <f t="shared" ca="1" si="211"/>
        <v>6</v>
      </c>
      <c r="I1138" t="str">
        <f t="shared" ca="1" si="212"/>
        <v>No</v>
      </c>
      <c r="J1138">
        <f t="shared" ca="1" si="213"/>
        <v>2</v>
      </c>
      <c r="K1138" t="str">
        <f t="shared" ca="1" si="214"/>
        <v>None</v>
      </c>
      <c r="L1138" t="str">
        <f t="shared" ca="1" si="215"/>
        <v>ICU</v>
      </c>
    </row>
    <row r="1139" spans="1:12" x14ac:dyDescent="0.25">
      <c r="A1139">
        <f t="shared" si="204"/>
        <v>1138</v>
      </c>
      <c r="B1139">
        <f t="shared" ca="1" si="205"/>
        <v>78</v>
      </c>
      <c r="C1139" t="str">
        <f t="shared" ca="1" si="206"/>
        <v>Male</v>
      </c>
      <c r="D1139" s="1">
        <f t="shared" ca="1" si="207"/>
        <v>45356</v>
      </c>
      <c r="E1139" s="1">
        <f t="shared" ca="1" si="208"/>
        <v>45358</v>
      </c>
      <c r="F1139" t="str">
        <f t="shared" ca="1" si="209"/>
        <v>Pneumonia</v>
      </c>
      <c r="G1139" t="str">
        <f t="shared" ca="1" si="210"/>
        <v>Therapy</v>
      </c>
      <c r="H1139">
        <f t="shared" ca="1" si="211"/>
        <v>2</v>
      </c>
      <c r="I1139" t="str">
        <f t="shared" ca="1" si="212"/>
        <v>Yes</v>
      </c>
      <c r="J1139">
        <f t="shared" ca="1" si="213"/>
        <v>2</v>
      </c>
      <c r="K1139" t="str">
        <f t="shared" ca="1" si="214"/>
        <v>Private</v>
      </c>
      <c r="L1139" t="str">
        <f t="shared" ca="1" si="215"/>
        <v>Neurology</v>
      </c>
    </row>
    <row r="1140" spans="1:12" x14ac:dyDescent="0.25">
      <c r="A1140">
        <f t="shared" si="204"/>
        <v>1139</v>
      </c>
      <c r="B1140">
        <f t="shared" ca="1" si="205"/>
        <v>68</v>
      </c>
      <c r="C1140" t="str">
        <f t="shared" ca="1" si="206"/>
        <v>Female</v>
      </c>
      <c r="D1140" s="1">
        <f t="shared" ca="1" si="207"/>
        <v>45300</v>
      </c>
      <c r="E1140" s="1">
        <f t="shared" ca="1" si="208"/>
        <v>45312</v>
      </c>
      <c r="F1140" t="str">
        <f t="shared" ca="1" si="209"/>
        <v>Stroke</v>
      </c>
      <c r="G1140" t="str">
        <f t="shared" ca="1" si="210"/>
        <v>Therapy</v>
      </c>
      <c r="H1140">
        <f t="shared" ca="1" si="211"/>
        <v>12</v>
      </c>
      <c r="I1140" t="str">
        <f t="shared" ca="1" si="212"/>
        <v>Yes</v>
      </c>
      <c r="J1140">
        <f t="shared" ca="1" si="213"/>
        <v>0</v>
      </c>
      <c r="K1140" t="str">
        <f t="shared" ca="1" si="214"/>
        <v>Public</v>
      </c>
      <c r="L1140" t="str">
        <f t="shared" ca="1" si="215"/>
        <v>General</v>
      </c>
    </row>
    <row r="1141" spans="1:12" x14ac:dyDescent="0.25">
      <c r="A1141">
        <f t="shared" si="204"/>
        <v>1140</v>
      </c>
      <c r="B1141">
        <f t="shared" ca="1" si="205"/>
        <v>31</v>
      </c>
      <c r="C1141" t="str">
        <f t="shared" ca="1" si="206"/>
        <v>Male</v>
      </c>
      <c r="D1141" s="1">
        <f t="shared" ca="1" si="207"/>
        <v>45411</v>
      </c>
      <c r="E1141" s="1">
        <f t="shared" ca="1" si="208"/>
        <v>45425</v>
      </c>
      <c r="F1141" t="str">
        <f t="shared" ca="1" si="209"/>
        <v>Pneumonia</v>
      </c>
      <c r="G1141" t="str">
        <f t="shared" ca="1" si="210"/>
        <v>Surgery</v>
      </c>
      <c r="H1141">
        <f t="shared" ca="1" si="211"/>
        <v>14</v>
      </c>
      <c r="I1141" t="str">
        <f t="shared" ca="1" si="212"/>
        <v>Yes</v>
      </c>
      <c r="J1141">
        <f t="shared" ca="1" si="213"/>
        <v>0</v>
      </c>
      <c r="K1141" t="str">
        <f t="shared" ca="1" si="214"/>
        <v>None</v>
      </c>
      <c r="L1141" t="str">
        <f t="shared" ca="1" si="215"/>
        <v>ER</v>
      </c>
    </row>
    <row r="1142" spans="1:12" x14ac:dyDescent="0.25">
      <c r="A1142">
        <f t="shared" si="204"/>
        <v>1141</v>
      </c>
      <c r="B1142">
        <f t="shared" ca="1" si="205"/>
        <v>42</v>
      </c>
      <c r="C1142" t="str">
        <f t="shared" ca="1" si="206"/>
        <v>Female</v>
      </c>
      <c r="D1142" s="1">
        <f t="shared" ca="1" si="207"/>
        <v>45410</v>
      </c>
      <c r="E1142" s="1">
        <f t="shared" ca="1" si="208"/>
        <v>45415</v>
      </c>
      <c r="F1142" t="str">
        <f t="shared" ca="1" si="209"/>
        <v>Hypertension</v>
      </c>
      <c r="G1142" t="str">
        <f t="shared" ca="1" si="210"/>
        <v>Surgery</v>
      </c>
      <c r="H1142">
        <f t="shared" ca="1" si="211"/>
        <v>5</v>
      </c>
      <c r="I1142" t="str">
        <f t="shared" ca="1" si="212"/>
        <v>Yes</v>
      </c>
      <c r="J1142">
        <f t="shared" ca="1" si="213"/>
        <v>2</v>
      </c>
      <c r="K1142" t="str">
        <f t="shared" ca="1" si="214"/>
        <v>Public</v>
      </c>
      <c r="L1142" t="str">
        <f t="shared" ca="1" si="215"/>
        <v>Neurology</v>
      </c>
    </row>
    <row r="1143" spans="1:12" x14ac:dyDescent="0.25">
      <c r="A1143">
        <f t="shared" si="204"/>
        <v>1142</v>
      </c>
      <c r="B1143">
        <f t="shared" ca="1" si="205"/>
        <v>74</v>
      </c>
      <c r="C1143" t="str">
        <f t="shared" ca="1" si="206"/>
        <v>Male</v>
      </c>
      <c r="D1143" s="1">
        <f t="shared" ca="1" si="207"/>
        <v>45549</v>
      </c>
      <c r="E1143" s="1">
        <f t="shared" ca="1" si="208"/>
        <v>45562</v>
      </c>
      <c r="F1143" t="str">
        <f t="shared" ca="1" si="209"/>
        <v>Stroke</v>
      </c>
      <c r="G1143" t="str">
        <f t="shared" ca="1" si="210"/>
        <v>Medication</v>
      </c>
      <c r="H1143">
        <f t="shared" ca="1" si="211"/>
        <v>13</v>
      </c>
      <c r="I1143" t="str">
        <f t="shared" ca="1" si="212"/>
        <v>No</v>
      </c>
      <c r="J1143">
        <f t="shared" ca="1" si="213"/>
        <v>0</v>
      </c>
      <c r="K1143" t="str">
        <f t="shared" ca="1" si="214"/>
        <v>Private</v>
      </c>
      <c r="L1143" t="str">
        <f t="shared" ca="1" si="215"/>
        <v>ICU</v>
      </c>
    </row>
    <row r="1144" spans="1:12" x14ac:dyDescent="0.25">
      <c r="A1144">
        <f t="shared" si="204"/>
        <v>1143</v>
      </c>
      <c r="B1144">
        <f t="shared" ca="1" si="205"/>
        <v>33</v>
      </c>
      <c r="C1144" t="str">
        <f t="shared" ca="1" si="206"/>
        <v>Male</v>
      </c>
      <c r="D1144" s="1">
        <f t="shared" ca="1" si="207"/>
        <v>45559</v>
      </c>
      <c r="E1144" s="1">
        <f t="shared" ca="1" si="208"/>
        <v>45562</v>
      </c>
      <c r="F1144" t="str">
        <f t="shared" ca="1" si="209"/>
        <v>Hypertension</v>
      </c>
      <c r="G1144" t="str">
        <f t="shared" ca="1" si="210"/>
        <v>Medication</v>
      </c>
      <c r="H1144">
        <f t="shared" ca="1" si="211"/>
        <v>3</v>
      </c>
      <c r="I1144" t="str">
        <f t="shared" ca="1" si="212"/>
        <v>No</v>
      </c>
      <c r="J1144">
        <f t="shared" ca="1" si="213"/>
        <v>2</v>
      </c>
      <c r="K1144" t="str">
        <f t="shared" ca="1" si="214"/>
        <v>Public</v>
      </c>
      <c r="L1144" t="str">
        <f t="shared" ca="1" si="215"/>
        <v>Neurology</v>
      </c>
    </row>
    <row r="1145" spans="1:12" x14ac:dyDescent="0.25">
      <c r="A1145">
        <f t="shared" si="204"/>
        <v>1144</v>
      </c>
      <c r="B1145">
        <f t="shared" ca="1" si="205"/>
        <v>80</v>
      </c>
      <c r="C1145" t="str">
        <f t="shared" ca="1" si="206"/>
        <v>Male</v>
      </c>
      <c r="D1145" s="1">
        <f t="shared" ca="1" si="207"/>
        <v>45596</v>
      </c>
      <c r="E1145" s="1">
        <f t="shared" ca="1" si="208"/>
        <v>45597</v>
      </c>
      <c r="F1145" t="str">
        <f t="shared" ca="1" si="209"/>
        <v>Diabetes</v>
      </c>
      <c r="G1145" t="str">
        <f t="shared" ca="1" si="210"/>
        <v>Medication</v>
      </c>
      <c r="H1145">
        <f t="shared" ca="1" si="211"/>
        <v>1</v>
      </c>
      <c r="I1145" t="str">
        <f t="shared" ca="1" si="212"/>
        <v>No</v>
      </c>
      <c r="J1145">
        <f t="shared" ca="1" si="213"/>
        <v>4</v>
      </c>
      <c r="K1145" t="str">
        <f t="shared" ca="1" si="214"/>
        <v>Private</v>
      </c>
      <c r="L1145" t="str">
        <f t="shared" ca="1" si="215"/>
        <v>ER</v>
      </c>
    </row>
    <row r="1146" spans="1:12" x14ac:dyDescent="0.25">
      <c r="A1146">
        <f t="shared" si="204"/>
        <v>1145</v>
      </c>
      <c r="B1146">
        <f t="shared" ca="1" si="205"/>
        <v>78</v>
      </c>
      <c r="C1146" t="str">
        <f t="shared" ca="1" si="206"/>
        <v>Female</v>
      </c>
      <c r="D1146" s="1">
        <f t="shared" ca="1" si="207"/>
        <v>45338</v>
      </c>
      <c r="E1146" s="1">
        <f t="shared" ca="1" si="208"/>
        <v>45353</v>
      </c>
      <c r="F1146" t="str">
        <f t="shared" ca="1" si="209"/>
        <v>Pneumonia</v>
      </c>
      <c r="G1146" t="str">
        <f t="shared" ca="1" si="210"/>
        <v>Medication</v>
      </c>
      <c r="H1146">
        <f t="shared" ca="1" si="211"/>
        <v>15</v>
      </c>
      <c r="I1146" t="str">
        <f t="shared" ca="1" si="212"/>
        <v>No</v>
      </c>
      <c r="J1146">
        <f t="shared" ca="1" si="213"/>
        <v>4</v>
      </c>
      <c r="K1146" t="str">
        <f t="shared" ca="1" si="214"/>
        <v>Private</v>
      </c>
      <c r="L1146" t="str">
        <f t="shared" ca="1" si="215"/>
        <v>General</v>
      </c>
    </row>
    <row r="1147" spans="1:12" x14ac:dyDescent="0.25">
      <c r="A1147">
        <f t="shared" si="204"/>
        <v>1146</v>
      </c>
      <c r="B1147">
        <f t="shared" ca="1" si="205"/>
        <v>26</v>
      </c>
      <c r="C1147" t="str">
        <f t="shared" ca="1" si="206"/>
        <v>Female</v>
      </c>
      <c r="D1147" s="1">
        <f t="shared" ca="1" si="207"/>
        <v>45361</v>
      </c>
      <c r="E1147" s="1">
        <f t="shared" ca="1" si="208"/>
        <v>45362</v>
      </c>
      <c r="F1147" t="str">
        <f t="shared" ca="1" si="209"/>
        <v>Stroke</v>
      </c>
      <c r="G1147" t="str">
        <f t="shared" ca="1" si="210"/>
        <v>Medication</v>
      </c>
      <c r="H1147">
        <f t="shared" ca="1" si="211"/>
        <v>1</v>
      </c>
      <c r="I1147" t="str">
        <f t="shared" ca="1" si="212"/>
        <v>No</v>
      </c>
      <c r="J1147">
        <f t="shared" ca="1" si="213"/>
        <v>4</v>
      </c>
      <c r="K1147" t="str">
        <f t="shared" ca="1" si="214"/>
        <v>None</v>
      </c>
      <c r="L1147" t="str">
        <f t="shared" ca="1" si="215"/>
        <v>ICU</v>
      </c>
    </row>
    <row r="1148" spans="1:12" x14ac:dyDescent="0.25">
      <c r="A1148">
        <f t="shared" si="204"/>
        <v>1147</v>
      </c>
      <c r="B1148">
        <f t="shared" ca="1" si="205"/>
        <v>33</v>
      </c>
      <c r="C1148" t="str">
        <f t="shared" ca="1" si="206"/>
        <v>Female</v>
      </c>
      <c r="D1148" s="1">
        <f t="shared" ca="1" si="207"/>
        <v>45532</v>
      </c>
      <c r="E1148" s="1">
        <f t="shared" ca="1" si="208"/>
        <v>45538</v>
      </c>
      <c r="F1148" t="str">
        <f t="shared" ca="1" si="209"/>
        <v>Diabetes</v>
      </c>
      <c r="G1148" t="str">
        <f t="shared" ca="1" si="210"/>
        <v>Therapy</v>
      </c>
      <c r="H1148">
        <f t="shared" ca="1" si="211"/>
        <v>6</v>
      </c>
      <c r="I1148" t="str">
        <f t="shared" ca="1" si="212"/>
        <v>Yes</v>
      </c>
      <c r="J1148">
        <f t="shared" ca="1" si="213"/>
        <v>4</v>
      </c>
      <c r="K1148" t="str">
        <f t="shared" ca="1" si="214"/>
        <v>Private</v>
      </c>
      <c r="L1148" t="str">
        <f t="shared" ca="1" si="215"/>
        <v>General</v>
      </c>
    </row>
    <row r="1149" spans="1:12" x14ac:dyDescent="0.25">
      <c r="A1149">
        <f t="shared" si="204"/>
        <v>1148</v>
      </c>
      <c r="B1149">
        <f t="shared" ca="1" si="205"/>
        <v>40</v>
      </c>
      <c r="C1149" t="str">
        <f t="shared" ca="1" si="206"/>
        <v>Male</v>
      </c>
      <c r="D1149" s="1">
        <f t="shared" ca="1" si="207"/>
        <v>45461</v>
      </c>
      <c r="E1149" s="1">
        <f t="shared" ca="1" si="208"/>
        <v>45475</v>
      </c>
      <c r="F1149" t="str">
        <f t="shared" ca="1" si="209"/>
        <v>Pneumonia</v>
      </c>
      <c r="G1149" t="str">
        <f t="shared" ca="1" si="210"/>
        <v>Surgery</v>
      </c>
      <c r="H1149">
        <f t="shared" ca="1" si="211"/>
        <v>14</v>
      </c>
      <c r="I1149" t="str">
        <f t="shared" ca="1" si="212"/>
        <v>No</v>
      </c>
      <c r="J1149">
        <f t="shared" ca="1" si="213"/>
        <v>2</v>
      </c>
      <c r="K1149" t="str">
        <f t="shared" ca="1" si="214"/>
        <v>Private</v>
      </c>
      <c r="L1149" t="str">
        <f t="shared" ca="1" si="215"/>
        <v>General</v>
      </c>
    </row>
    <row r="1150" spans="1:12" x14ac:dyDescent="0.25">
      <c r="A1150">
        <f t="shared" si="204"/>
        <v>1149</v>
      </c>
      <c r="B1150">
        <f t="shared" ca="1" si="205"/>
        <v>24</v>
      </c>
      <c r="C1150" t="str">
        <f t="shared" ca="1" si="206"/>
        <v>Male</v>
      </c>
      <c r="D1150" s="1">
        <f t="shared" ca="1" si="207"/>
        <v>45492</v>
      </c>
      <c r="E1150" s="1">
        <f t="shared" ca="1" si="208"/>
        <v>45500</v>
      </c>
      <c r="F1150" t="str">
        <f t="shared" ca="1" si="209"/>
        <v>Hypertension</v>
      </c>
      <c r="G1150" t="str">
        <f t="shared" ca="1" si="210"/>
        <v>Therapy</v>
      </c>
      <c r="H1150">
        <f t="shared" ca="1" si="211"/>
        <v>8</v>
      </c>
      <c r="I1150" t="str">
        <f t="shared" ca="1" si="212"/>
        <v>No</v>
      </c>
      <c r="J1150">
        <f t="shared" ca="1" si="213"/>
        <v>0</v>
      </c>
      <c r="K1150" t="str">
        <f t="shared" ca="1" si="214"/>
        <v>None</v>
      </c>
      <c r="L1150" t="str">
        <f t="shared" ca="1" si="215"/>
        <v>General</v>
      </c>
    </row>
    <row r="1151" spans="1:12" x14ac:dyDescent="0.25">
      <c r="A1151">
        <f t="shared" si="204"/>
        <v>1150</v>
      </c>
      <c r="B1151">
        <f t="shared" ca="1" si="205"/>
        <v>25</v>
      </c>
      <c r="C1151" t="str">
        <f t="shared" ca="1" si="206"/>
        <v>Male</v>
      </c>
      <c r="D1151" s="1">
        <f t="shared" ca="1" si="207"/>
        <v>45419</v>
      </c>
      <c r="E1151" s="1">
        <f t="shared" ca="1" si="208"/>
        <v>45421</v>
      </c>
      <c r="F1151" t="str">
        <f t="shared" ca="1" si="209"/>
        <v>Heart Failure</v>
      </c>
      <c r="G1151" t="str">
        <f t="shared" ca="1" si="210"/>
        <v>Therapy</v>
      </c>
      <c r="H1151">
        <f t="shared" ca="1" si="211"/>
        <v>2</v>
      </c>
      <c r="I1151" t="str">
        <f t="shared" ca="1" si="212"/>
        <v>Yes</v>
      </c>
      <c r="J1151">
        <f t="shared" ca="1" si="213"/>
        <v>2</v>
      </c>
      <c r="K1151" t="str">
        <f t="shared" ca="1" si="214"/>
        <v>Public</v>
      </c>
      <c r="L1151" t="str">
        <f t="shared" ca="1" si="215"/>
        <v>Neurology</v>
      </c>
    </row>
    <row r="1152" spans="1:12" x14ac:dyDescent="0.25">
      <c r="A1152">
        <f t="shared" si="204"/>
        <v>1151</v>
      </c>
      <c r="B1152">
        <f t="shared" ca="1" si="205"/>
        <v>80</v>
      </c>
      <c r="C1152" t="str">
        <f t="shared" ca="1" si="206"/>
        <v>Male</v>
      </c>
      <c r="D1152" s="1">
        <f t="shared" ca="1" si="207"/>
        <v>45583</v>
      </c>
      <c r="E1152" s="1">
        <f t="shared" ca="1" si="208"/>
        <v>45595</v>
      </c>
      <c r="F1152" t="str">
        <f t="shared" ca="1" si="209"/>
        <v>Stroke</v>
      </c>
      <c r="G1152" t="str">
        <f t="shared" ca="1" si="210"/>
        <v>Medication</v>
      </c>
      <c r="H1152">
        <f t="shared" ca="1" si="211"/>
        <v>12</v>
      </c>
      <c r="I1152" t="str">
        <f t="shared" ca="1" si="212"/>
        <v>No</v>
      </c>
      <c r="J1152">
        <f t="shared" ca="1" si="213"/>
        <v>0</v>
      </c>
      <c r="K1152" t="str">
        <f t="shared" ca="1" si="214"/>
        <v>Public</v>
      </c>
      <c r="L1152" t="str">
        <f t="shared" ca="1" si="215"/>
        <v>Neurology</v>
      </c>
    </row>
    <row r="1153" spans="1:12" x14ac:dyDescent="0.25">
      <c r="A1153">
        <f t="shared" si="204"/>
        <v>1152</v>
      </c>
      <c r="B1153">
        <f t="shared" ca="1" si="205"/>
        <v>74</v>
      </c>
      <c r="C1153" t="str">
        <f t="shared" ca="1" si="206"/>
        <v>Male</v>
      </c>
      <c r="D1153" s="1">
        <f t="shared" ca="1" si="207"/>
        <v>45644</v>
      </c>
      <c r="E1153" s="1">
        <f t="shared" ca="1" si="208"/>
        <v>45658</v>
      </c>
      <c r="F1153" t="str">
        <f t="shared" ca="1" si="209"/>
        <v>Stroke</v>
      </c>
      <c r="G1153" t="str">
        <f t="shared" ca="1" si="210"/>
        <v>Therapy</v>
      </c>
      <c r="H1153">
        <f t="shared" ca="1" si="211"/>
        <v>14</v>
      </c>
      <c r="I1153" t="str">
        <f t="shared" ca="1" si="212"/>
        <v>No</v>
      </c>
      <c r="J1153">
        <f t="shared" ca="1" si="213"/>
        <v>3</v>
      </c>
      <c r="K1153" t="str">
        <f t="shared" ca="1" si="214"/>
        <v>Public</v>
      </c>
      <c r="L1153" t="str">
        <f t="shared" ca="1" si="215"/>
        <v>Neurology</v>
      </c>
    </row>
    <row r="1154" spans="1:12" x14ac:dyDescent="0.25">
      <c r="A1154">
        <f t="shared" si="204"/>
        <v>1153</v>
      </c>
      <c r="B1154">
        <f t="shared" ca="1" si="205"/>
        <v>62</v>
      </c>
      <c r="C1154" t="str">
        <f t="shared" ca="1" si="206"/>
        <v>Female</v>
      </c>
      <c r="D1154" s="1">
        <f t="shared" ca="1" si="207"/>
        <v>45294</v>
      </c>
      <c r="E1154" s="1">
        <f t="shared" ca="1" si="208"/>
        <v>45301</v>
      </c>
      <c r="F1154" t="str">
        <f t="shared" ca="1" si="209"/>
        <v>Diabetes</v>
      </c>
      <c r="G1154" t="str">
        <f t="shared" ca="1" si="210"/>
        <v>Medication</v>
      </c>
      <c r="H1154">
        <f t="shared" ca="1" si="211"/>
        <v>7</v>
      </c>
      <c r="I1154" t="str">
        <f t="shared" ca="1" si="212"/>
        <v>No</v>
      </c>
      <c r="J1154">
        <f t="shared" ca="1" si="213"/>
        <v>2</v>
      </c>
      <c r="K1154" t="str">
        <f t="shared" ca="1" si="214"/>
        <v>None</v>
      </c>
      <c r="L1154" t="str">
        <f t="shared" ca="1" si="215"/>
        <v>Neurology</v>
      </c>
    </row>
    <row r="1155" spans="1:12" x14ac:dyDescent="0.25">
      <c r="A1155">
        <f t="shared" ref="A1155:A1218" si="216">ROW() -1</f>
        <v>1154</v>
      </c>
      <c r="B1155">
        <f t="shared" ref="B1155:B1218" ca="1" si="217">RANDBETWEEN(20,90)</f>
        <v>72</v>
      </c>
      <c r="C1155" t="str">
        <f t="shared" ref="C1155:C1218" ca="1" si="218">IF(RAND()&lt;0.5,"Male","Female")</f>
        <v>Male</v>
      </c>
      <c r="D1155" s="1">
        <f t="shared" ref="D1155:D1218" ca="1" si="219">DATE(2024,1,1)+RANDBETWEEN(0,364)</f>
        <v>45532</v>
      </c>
      <c r="E1155" s="1">
        <f t="shared" ref="E1155:E1218" ca="1" si="220">D1155+RANDBETWEEN(1,15)</f>
        <v>45537</v>
      </c>
      <c r="F1155" t="str">
        <f t="shared" ref="F1155:F1218" ca="1" si="221">CHOOSE(RANDBETWEEN(1,5),"Diabetes","Heart Failure","Pneumonia","Stroke","Hypertension")</f>
        <v>Stroke</v>
      </c>
      <c r="G1155" t="str">
        <f t="shared" ref="G1155:G1218" ca="1" si="222">CHOOSE(RANDBETWEEN(1,3),"Medication","Surgery","Therapy")</f>
        <v>Therapy</v>
      </c>
      <c r="H1155">
        <f t="shared" ref="H1155:H1218" ca="1" si="223">DATEDIF(D1155,E1155,"D")</f>
        <v>5</v>
      </c>
      <c r="I1155" t="str">
        <f t="shared" ref="I1155:I1218" ca="1" si="224">IF(RAND()&lt;0.3,"Yes","No")</f>
        <v>Yes</v>
      </c>
      <c r="J1155">
        <f t="shared" ref="J1155:J1218" ca="1" si="225">RANDBETWEEN(0,4)</f>
        <v>1</v>
      </c>
      <c r="K1155" t="str">
        <f t="shared" ref="K1155:K1218" ca="1" si="226">CHOOSE(RANDBETWEEN(1,3),"Private","Public","None")</f>
        <v>None</v>
      </c>
      <c r="L1155" t="str">
        <f t="shared" ref="L1155:L1218" ca="1" si="227">CHOOSE(RANDBETWEEN(1,5),"ER","Cardiology","Neurology","General","ICU")</f>
        <v>General</v>
      </c>
    </row>
    <row r="1156" spans="1:12" x14ac:dyDescent="0.25">
      <c r="A1156">
        <f t="shared" si="216"/>
        <v>1155</v>
      </c>
      <c r="B1156">
        <f t="shared" ca="1" si="217"/>
        <v>75</v>
      </c>
      <c r="C1156" t="str">
        <f t="shared" ca="1" si="218"/>
        <v>Male</v>
      </c>
      <c r="D1156" s="1">
        <f t="shared" ca="1" si="219"/>
        <v>45466</v>
      </c>
      <c r="E1156" s="1">
        <f t="shared" ca="1" si="220"/>
        <v>45469</v>
      </c>
      <c r="F1156" t="str">
        <f t="shared" ca="1" si="221"/>
        <v>Hypertension</v>
      </c>
      <c r="G1156" t="str">
        <f t="shared" ca="1" si="222"/>
        <v>Surgery</v>
      </c>
      <c r="H1156">
        <f t="shared" ca="1" si="223"/>
        <v>3</v>
      </c>
      <c r="I1156" t="str">
        <f t="shared" ca="1" si="224"/>
        <v>No</v>
      </c>
      <c r="J1156">
        <f t="shared" ca="1" si="225"/>
        <v>3</v>
      </c>
      <c r="K1156" t="str">
        <f t="shared" ca="1" si="226"/>
        <v>Private</v>
      </c>
      <c r="L1156" t="str">
        <f t="shared" ca="1" si="227"/>
        <v>General</v>
      </c>
    </row>
    <row r="1157" spans="1:12" x14ac:dyDescent="0.25">
      <c r="A1157">
        <f t="shared" si="216"/>
        <v>1156</v>
      </c>
      <c r="B1157">
        <f t="shared" ca="1" si="217"/>
        <v>45</v>
      </c>
      <c r="C1157" t="str">
        <f t="shared" ca="1" si="218"/>
        <v>Female</v>
      </c>
      <c r="D1157" s="1">
        <f t="shared" ca="1" si="219"/>
        <v>45314</v>
      </c>
      <c r="E1157" s="1">
        <f t="shared" ca="1" si="220"/>
        <v>45322</v>
      </c>
      <c r="F1157" t="str">
        <f t="shared" ca="1" si="221"/>
        <v>Heart Failure</v>
      </c>
      <c r="G1157" t="str">
        <f t="shared" ca="1" si="222"/>
        <v>Therapy</v>
      </c>
      <c r="H1157">
        <f t="shared" ca="1" si="223"/>
        <v>8</v>
      </c>
      <c r="I1157" t="str">
        <f t="shared" ca="1" si="224"/>
        <v>No</v>
      </c>
      <c r="J1157">
        <f t="shared" ca="1" si="225"/>
        <v>0</v>
      </c>
      <c r="K1157" t="str">
        <f t="shared" ca="1" si="226"/>
        <v>None</v>
      </c>
      <c r="L1157" t="str">
        <f t="shared" ca="1" si="227"/>
        <v>ICU</v>
      </c>
    </row>
    <row r="1158" spans="1:12" x14ac:dyDescent="0.25">
      <c r="A1158">
        <f t="shared" si="216"/>
        <v>1157</v>
      </c>
      <c r="B1158">
        <f t="shared" ca="1" si="217"/>
        <v>42</v>
      </c>
      <c r="C1158" t="str">
        <f t="shared" ca="1" si="218"/>
        <v>Female</v>
      </c>
      <c r="D1158" s="1">
        <f t="shared" ca="1" si="219"/>
        <v>45334</v>
      </c>
      <c r="E1158" s="1">
        <f t="shared" ca="1" si="220"/>
        <v>45349</v>
      </c>
      <c r="F1158" t="str">
        <f t="shared" ca="1" si="221"/>
        <v>Diabetes</v>
      </c>
      <c r="G1158" t="str">
        <f t="shared" ca="1" si="222"/>
        <v>Medication</v>
      </c>
      <c r="H1158">
        <f t="shared" ca="1" si="223"/>
        <v>15</v>
      </c>
      <c r="I1158" t="str">
        <f t="shared" ca="1" si="224"/>
        <v>No</v>
      </c>
      <c r="J1158">
        <f t="shared" ca="1" si="225"/>
        <v>0</v>
      </c>
      <c r="K1158" t="str">
        <f t="shared" ca="1" si="226"/>
        <v>Public</v>
      </c>
      <c r="L1158" t="str">
        <f t="shared" ca="1" si="227"/>
        <v>ICU</v>
      </c>
    </row>
    <row r="1159" spans="1:12" x14ac:dyDescent="0.25">
      <c r="A1159">
        <f t="shared" si="216"/>
        <v>1158</v>
      </c>
      <c r="B1159">
        <f t="shared" ca="1" si="217"/>
        <v>62</v>
      </c>
      <c r="C1159" t="str">
        <f t="shared" ca="1" si="218"/>
        <v>Male</v>
      </c>
      <c r="D1159" s="1">
        <f t="shared" ca="1" si="219"/>
        <v>45649</v>
      </c>
      <c r="E1159" s="1">
        <f t="shared" ca="1" si="220"/>
        <v>45660</v>
      </c>
      <c r="F1159" t="str">
        <f t="shared" ca="1" si="221"/>
        <v>Stroke</v>
      </c>
      <c r="G1159" t="str">
        <f t="shared" ca="1" si="222"/>
        <v>Therapy</v>
      </c>
      <c r="H1159">
        <f t="shared" ca="1" si="223"/>
        <v>11</v>
      </c>
      <c r="I1159" t="str">
        <f t="shared" ca="1" si="224"/>
        <v>Yes</v>
      </c>
      <c r="J1159">
        <f t="shared" ca="1" si="225"/>
        <v>2</v>
      </c>
      <c r="K1159" t="str">
        <f t="shared" ca="1" si="226"/>
        <v>Public</v>
      </c>
      <c r="L1159" t="str">
        <f t="shared" ca="1" si="227"/>
        <v>Neurology</v>
      </c>
    </row>
    <row r="1160" spans="1:12" x14ac:dyDescent="0.25">
      <c r="A1160">
        <f t="shared" si="216"/>
        <v>1159</v>
      </c>
      <c r="B1160">
        <f t="shared" ca="1" si="217"/>
        <v>60</v>
      </c>
      <c r="C1160" t="str">
        <f t="shared" ca="1" si="218"/>
        <v>Female</v>
      </c>
      <c r="D1160" s="1">
        <f t="shared" ca="1" si="219"/>
        <v>45413</v>
      </c>
      <c r="E1160" s="1">
        <f t="shared" ca="1" si="220"/>
        <v>45415</v>
      </c>
      <c r="F1160" t="str">
        <f t="shared" ca="1" si="221"/>
        <v>Stroke</v>
      </c>
      <c r="G1160" t="str">
        <f t="shared" ca="1" si="222"/>
        <v>Medication</v>
      </c>
      <c r="H1160">
        <f t="shared" ca="1" si="223"/>
        <v>2</v>
      </c>
      <c r="I1160" t="str">
        <f t="shared" ca="1" si="224"/>
        <v>Yes</v>
      </c>
      <c r="J1160">
        <f t="shared" ca="1" si="225"/>
        <v>4</v>
      </c>
      <c r="K1160" t="str">
        <f t="shared" ca="1" si="226"/>
        <v>Private</v>
      </c>
      <c r="L1160" t="str">
        <f t="shared" ca="1" si="227"/>
        <v>ICU</v>
      </c>
    </row>
    <row r="1161" spans="1:12" x14ac:dyDescent="0.25">
      <c r="A1161">
        <f t="shared" si="216"/>
        <v>1160</v>
      </c>
      <c r="B1161">
        <f t="shared" ca="1" si="217"/>
        <v>20</v>
      </c>
      <c r="C1161" t="str">
        <f t="shared" ca="1" si="218"/>
        <v>Male</v>
      </c>
      <c r="D1161" s="1">
        <f t="shared" ca="1" si="219"/>
        <v>45521</v>
      </c>
      <c r="E1161" s="1">
        <f t="shared" ca="1" si="220"/>
        <v>45529</v>
      </c>
      <c r="F1161" t="str">
        <f t="shared" ca="1" si="221"/>
        <v>Diabetes</v>
      </c>
      <c r="G1161" t="str">
        <f t="shared" ca="1" si="222"/>
        <v>Surgery</v>
      </c>
      <c r="H1161">
        <f t="shared" ca="1" si="223"/>
        <v>8</v>
      </c>
      <c r="I1161" t="str">
        <f t="shared" ca="1" si="224"/>
        <v>Yes</v>
      </c>
      <c r="J1161">
        <f t="shared" ca="1" si="225"/>
        <v>2</v>
      </c>
      <c r="K1161" t="str">
        <f t="shared" ca="1" si="226"/>
        <v>None</v>
      </c>
      <c r="L1161" t="str">
        <f t="shared" ca="1" si="227"/>
        <v>ICU</v>
      </c>
    </row>
    <row r="1162" spans="1:12" x14ac:dyDescent="0.25">
      <c r="A1162">
        <f t="shared" si="216"/>
        <v>1161</v>
      </c>
      <c r="B1162">
        <f t="shared" ca="1" si="217"/>
        <v>46</v>
      </c>
      <c r="C1162" t="str">
        <f t="shared" ca="1" si="218"/>
        <v>Female</v>
      </c>
      <c r="D1162" s="1">
        <f t="shared" ca="1" si="219"/>
        <v>45612</v>
      </c>
      <c r="E1162" s="1">
        <f t="shared" ca="1" si="220"/>
        <v>45625</v>
      </c>
      <c r="F1162" t="str">
        <f t="shared" ca="1" si="221"/>
        <v>Heart Failure</v>
      </c>
      <c r="G1162" t="str">
        <f t="shared" ca="1" si="222"/>
        <v>Medication</v>
      </c>
      <c r="H1162">
        <f t="shared" ca="1" si="223"/>
        <v>13</v>
      </c>
      <c r="I1162" t="str">
        <f t="shared" ca="1" si="224"/>
        <v>No</v>
      </c>
      <c r="J1162">
        <f t="shared" ca="1" si="225"/>
        <v>3</v>
      </c>
      <c r="K1162" t="str">
        <f t="shared" ca="1" si="226"/>
        <v>Public</v>
      </c>
      <c r="L1162" t="str">
        <f t="shared" ca="1" si="227"/>
        <v>ICU</v>
      </c>
    </row>
    <row r="1163" spans="1:12" x14ac:dyDescent="0.25">
      <c r="A1163">
        <f t="shared" si="216"/>
        <v>1162</v>
      </c>
      <c r="B1163">
        <f t="shared" ca="1" si="217"/>
        <v>73</v>
      </c>
      <c r="C1163" t="str">
        <f t="shared" ca="1" si="218"/>
        <v>Male</v>
      </c>
      <c r="D1163" s="1">
        <f t="shared" ca="1" si="219"/>
        <v>45561</v>
      </c>
      <c r="E1163" s="1">
        <f t="shared" ca="1" si="220"/>
        <v>45569</v>
      </c>
      <c r="F1163" t="str">
        <f t="shared" ca="1" si="221"/>
        <v>Hypertension</v>
      </c>
      <c r="G1163" t="str">
        <f t="shared" ca="1" si="222"/>
        <v>Surgery</v>
      </c>
      <c r="H1163">
        <f t="shared" ca="1" si="223"/>
        <v>8</v>
      </c>
      <c r="I1163" t="str">
        <f t="shared" ca="1" si="224"/>
        <v>No</v>
      </c>
      <c r="J1163">
        <f t="shared" ca="1" si="225"/>
        <v>2</v>
      </c>
      <c r="K1163" t="str">
        <f t="shared" ca="1" si="226"/>
        <v>Public</v>
      </c>
      <c r="L1163" t="str">
        <f t="shared" ca="1" si="227"/>
        <v>General</v>
      </c>
    </row>
    <row r="1164" spans="1:12" x14ac:dyDescent="0.25">
      <c r="A1164">
        <f t="shared" si="216"/>
        <v>1163</v>
      </c>
      <c r="B1164">
        <f t="shared" ca="1" si="217"/>
        <v>52</v>
      </c>
      <c r="C1164" t="str">
        <f t="shared" ca="1" si="218"/>
        <v>Female</v>
      </c>
      <c r="D1164" s="1">
        <f t="shared" ca="1" si="219"/>
        <v>45621</v>
      </c>
      <c r="E1164" s="1">
        <f t="shared" ca="1" si="220"/>
        <v>45625</v>
      </c>
      <c r="F1164" t="str">
        <f t="shared" ca="1" si="221"/>
        <v>Heart Failure</v>
      </c>
      <c r="G1164" t="str">
        <f t="shared" ca="1" si="222"/>
        <v>Surgery</v>
      </c>
      <c r="H1164">
        <f t="shared" ca="1" si="223"/>
        <v>4</v>
      </c>
      <c r="I1164" t="str">
        <f t="shared" ca="1" si="224"/>
        <v>Yes</v>
      </c>
      <c r="J1164">
        <f t="shared" ca="1" si="225"/>
        <v>0</v>
      </c>
      <c r="K1164" t="str">
        <f t="shared" ca="1" si="226"/>
        <v>Public</v>
      </c>
      <c r="L1164" t="str">
        <f t="shared" ca="1" si="227"/>
        <v>ICU</v>
      </c>
    </row>
    <row r="1165" spans="1:12" x14ac:dyDescent="0.25">
      <c r="A1165">
        <f t="shared" si="216"/>
        <v>1164</v>
      </c>
      <c r="B1165">
        <f t="shared" ca="1" si="217"/>
        <v>51</v>
      </c>
      <c r="C1165" t="str">
        <f t="shared" ca="1" si="218"/>
        <v>Female</v>
      </c>
      <c r="D1165" s="1">
        <f t="shared" ca="1" si="219"/>
        <v>45363</v>
      </c>
      <c r="E1165" s="1">
        <f t="shared" ca="1" si="220"/>
        <v>45372</v>
      </c>
      <c r="F1165" t="str">
        <f t="shared" ca="1" si="221"/>
        <v>Heart Failure</v>
      </c>
      <c r="G1165" t="str">
        <f t="shared" ca="1" si="222"/>
        <v>Medication</v>
      </c>
      <c r="H1165">
        <f t="shared" ca="1" si="223"/>
        <v>9</v>
      </c>
      <c r="I1165" t="str">
        <f t="shared" ca="1" si="224"/>
        <v>No</v>
      </c>
      <c r="J1165">
        <f t="shared" ca="1" si="225"/>
        <v>4</v>
      </c>
      <c r="K1165" t="str">
        <f t="shared" ca="1" si="226"/>
        <v>None</v>
      </c>
      <c r="L1165" t="str">
        <f t="shared" ca="1" si="227"/>
        <v>ER</v>
      </c>
    </row>
    <row r="1166" spans="1:12" x14ac:dyDescent="0.25">
      <c r="A1166">
        <f t="shared" si="216"/>
        <v>1165</v>
      </c>
      <c r="B1166">
        <f t="shared" ca="1" si="217"/>
        <v>66</v>
      </c>
      <c r="C1166" t="str">
        <f t="shared" ca="1" si="218"/>
        <v>Male</v>
      </c>
      <c r="D1166" s="1">
        <f t="shared" ca="1" si="219"/>
        <v>45512</v>
      </c>
      <c r="E1166" s="1">
        <f t="shared" ca="1" si="220"/>
        <v>45517</v>
      </c>
      <c r="F1166" t="str">
        <f t="shared" ca="1" si="221"/>
        <v>Heart Failure</v>
      </c>
      <c r="G1166" t="str">
        <f t="shared" ca="1" si="222"/>
        <v>Surgery</v>
      </c>
      <c r="H1166">
        <f t="shared" ca="1" si="223"/>
        <v>5</v>
      </c>
      <c r="I1166" t="str">
        <f t="shared" ca="1" si="224"/>
        <v>No</v>
      </c>
      <c r="J1166">
        <f t="shared" ca="1" si="225"/>
        <v>4</v>
      </c>
      <c r="K1166" t="str">
        <f t="shared" ca="1" si="226"/>
        <v>Private</v>
      </c>
      <c r="L1166" t="str">
        <f t="shared" ca="1" si="227"/>
        <v>General</v>
      </c>
    </row>
    <row r="1167" spans="1:12" x14ac:dyDescent="0.25">
      <c r="A1167">
        <f t="shared" si="216"/>
        <v>1166</v>
      </c>
      <c r="B1167">
        <f t="shared" ca="1" si="217"/>
        <v>75</v>
      </c>
      <c r="C1167" t="str">
        <f t="shared" ca="1" si="218"/>
        <v>Male</v>
      </c>
      <c r="D1167" s="1">
        <f t="shared" ca="1" si="219"/>
        <v>45419</v>
      </c>
      <c r="E1167" s="1">
        <f t="shared" ca="1" si="220"/>
        <v>45433</v>
      </c>
      <c r="F1167" t="str">
        <f t="shared" ca="1" si="221"/>
        <v>Heart Failure</v>
      </c>
      <c r="G1167" t="str">
        <f t="shared" ca="1" si="222"/>
        <v>Therapy</v>
      </c>
      <c r="H1167">
        <f t="shared" ca="1" si="223"/>
        <v>14</v>
      </c>
      <c r="I1167" t="str">
        <f t="shared" ca="1" si="224"/>
        <v>No</v>
      </c>
      <c r="J1167">
        <f t="shared" ca="1" si="225"/>
        <v>0</v>
      </c>
      <c r="K1167" t="str">
        <f t="shared" ca="1" si="226"/>
        <v>Public</v>
      </c>
      <c r="L1167" t="str">
        <f t="shared" ca="1" si="227"/>
        <v>General</v>
      </c>
    </row>
    <row r="1168" spans="1:12" x14ac:dyDescent="0.25">
      <c r="A1168">
        <f t="shared" si="216"/>
        <v>1167</v>
      </c>
      <c r="B1168">
        <f t="shared" ca="1" si="217"/>
        <v>51</v>
      </c>
      <c r="C1168" t="str">
        <f t="shared" ca="1" si="218"/>
        <v>Female</v>
      </c>
      <c r="D1168" s="1">
        <f t="shared" ca="1" si="219"/>
        <v>45600</v>
      </c>
      <c r="E1168" s="1">
        <f t="shared" ca="1" si="220"/>
        <v>45609</v>
      </c>
      <c r="F1168" t="str">
        <f t="shared" ca="1" si="221"/>
        <v>Pneumonia</v>
      </c>
      <c r="G1168" t="str">
        <f t="shared" ca="1" si="222"/>
        <v>Therapy</v>
      </c>
      <c r="H1168">
        <f t="shared" ca="1" si="223"/>
        <v>9</v>
      </c>
      <c r="I1168" t="str">
        <f t="shared" ca="1" si="224"/>
        <v>No</v>
      </c>
      <c r="J1168">
        <f t="shared" ca="1" si="225"/>
        <v>1</v>
      </c>
      <c r="K1168" t="str">
        <f t="shared" ca="1" si="226"/>
        <v>Public</v>
      </c>
      <c r="L1168" t="str">
        <f t="shared" ca="1" si="227"/>
        <v>General</v>
      </c>
    </row>
    <row r="1169" spans="1:12" x14ac:dyDescent="0.25">
      <c r="A1169">
        <f t="shared" si="216"/>
        <v>1168</v>
      </c>
      <c r="B1169">
        <f t="shared" ca="1" si="217"/>
        <v>27</v>
      </c>
      <c r="C1169" t="str">
        <f t="shared" ca="1" si="218"/>
        <v>Male</v>
      </c>
      <c r="D1169" s="1">
        <f t="shared" ca="1" si="219"/>
        <v>45374</v>
      </c>
      <c r="E1169" s="1">
        <f t="shared" ca="1" si="220"/>
        <v>45377</v>
      </c>
      <c r="F1169" t="str">
        <f t="shared" ca="1" si="221"/>
        <v>Hypertension</v>
      </c>
      <c r="G1169" t="str">
        <f t="shared" ca="1" si="222"/>
        <v>Medication</v>
      </c>
      <c r="H1169">
        <f t="shared" ca="1" si="223"/>
        <v>3</v>
      </c>
      <c r="I1169" t="str">
        <f t="shared" ca="1" si="224"/>
        <v>No</v>
      </c>
      <c r="J1169">
        <f t="shared" ca="1" si="225"/>
        <v>0</v>
      </c>
      <c r="K1169" t="str">
        <f t="shared" ca="1" si="226"/>
        <v>None</v>
      </c>
      <c r="L1169" t="str">
        <f t="shared" ca="1" si="227"/>
        <v>General</v>
      </c>
    </row>
    <row r="1170" spans="1:12" x14ac:dyDescent="0.25">
      <c r="A1170">
        <f t="shared" si="216"/>
        <v>1169</v>
      </c>
      <c r="B1170">
        <f t="shared" ca="1" si="217"/>
        <v>78</v>
      </c>
      <c r="C1170" t="str">
        <f t="shared" ca="1" si="218"/>
        <v>Female</v>
      </c>
      <c r="D1170" s="1">
        <f t="shared" ca="1" si="219"/>
        <v>45523</v>
      </c>
      <c r="E1170" s="1">
        <f t="shared" ca="1" si="220"/>
        <v>45526</v>
      </c>
      <c r="F1170" t="str">
        <f t="shared" ca="1" si="221"/>
        <v>Hypertension</v>
      </c>
      <c r="G1170" t="str">
        <f t="shared" ca="1" si="222"/>
        <v>Medication</v>
      </c>
      <c r="H1170">
        <f t="shared" ca="1" si="223"/>
        <v>3</v>
      </c>
      <c r="I1170" t="str">
        <f t="shared" ca="1" si="224"/>
        <v>No</v>
      </c>
      <c r="J1170">
        <f t="shared" ca="1" si="225"/>
        <v>4</v>
      </c>
      <c r="K1170" t="str">
        <f t="shared" ca="1" si="226"/>
        <v>Public</v>
      </c>
      <c r="L1170" t="str">
        <f t="shared" ca="1" si="227"/>
        <v>ICU</v>
      </c>
    </row>
    <row r="1171" spans="1:12" x14ac:dyDescent="0.25">
      <c r="A1171">
        <f t="shared" si="216"/>
        <v>1170</v>
      </c>
      <c r="B1171">
        <f t="shared" ca="1" si="217"/>
        <v>28</v>
      </c>
      <c r="C1171" t="str">
        <f t="shared" ca="1" si="218"/>
        <v>Male</v>
      </c>
      <c r="D1171" s="1">
        <f t="shared" ca="1" si="219"/>
        <v>45297</v>
      </c>
      <c r="E1171" s="1">
        <f t="shared" ca="1" si="220"/>
        <v>45298</v>
      </c>
      <c r="F1171" t="str">
        <f t="shared" ca="1" si="221"/>
        <v>Pneumonia</v>
      </c>
      <c r="G1171" t="str">
        <f t="shared" ca="1" si="222"/>
        <v>Medication</v>
      </c>
      <c r="H1171">
        <f t="shared" ca="1" si="223"/>
        <v>1</v>
      </c>
      <c r="I1171" t="str">
        <f t="shared" ca="1" si="224"/>
        <v>No</v>
      </c>
      <c r="J1171">
        <f t="shared" ca="1" si="225"/>
        <v>2</v>
      </c>
      <c r="K1171" t="str">
        <f t="shared" ca="1" si="226"/>
        <v>Public</v>
      </c>
      <c r="L1171" t="str">
        <f t="shared" ca="1" si="227"/>
        <v>ICU</v>
      </c>
    </row>
    <row r="1172" spans="1:12" x14ac:dyDescent="0.25">
      <c r="A1172">
        <f t="shared" si="216"/>
        <v>1171</v>
      </c>
      <c r="B1172">
        <f t="shared" ca="1" si="217"/>
        <v>58</v>
      </c>
      <c r="C1172" t="str">
        <f t="shared" ca="1" si="218"/>
        <v>Female</v>
      </c>
      <c r="D1172" s="1">
        <f t="shared" ca="1" si="219"/>
        <v>45638</v>
      </c>
      <c r="E1172" s="1">
        <f t="shared" ca="1" si="220"/>
        <v>45640</v>
      </c>
      <c r="F1172" t="str">
        <f t="shared" ca="1" si="221"/>
        <v>Stroke</v>
      </c>
      <c r="G1172" t="str">
        <f t="shared" ca="1" si="222"/>
        <v>Surgery</v>
      </c>
      <c r="H1172">
        <f t="shared" ca="1" si="223"/>
        <v>2</v>
      </c>
      <c r="I1172" t="str">
        <f t="shared" ca="1" si="224"/>
        <v>No</v>
      </c>
      <c r="J1172">
        <f t="shared" ca="1" si="225"/>
        <v>2</v>
      </c>
      <c r="K1172" t="str">
        <f t="shared" ca="1" si="226"/>
        <v>Public</v>
      </c>
      <c r="L1172" t="str">
        <f t="shared" ca="1" si="227"/>
        <v>General</v>
      </c>
    </row>
    <row r="1173" spans="1:12" x14ac:dyDescent="0.25">
      <c r="A1173">
        <f t="shared" si="216"/>
        <v>1172</v>
      </c>
      <c r="B1173">
        <f t="shared" ca="1" si="217"/>
        <v>66</v>
      </c>
      <c r="C1173" t="str">
        <f t="shared" ca="1" si="218"/>
        <v>Male</v>
      </c>
      <c r="D1173" s="1">
        <f t="shared" ca="1" si="219"/>
        <v>45520</v>
      </c>
      <c r="E1173" s="1">
        <f t="shared" ca="1" si="220"/>
        <v>45533</v>
      </c>
      <c r="F1173" t="str">
        <f t="shared" ca="1" si="221"/>
        <v>Heart Failure</v>
      </c>
      <c r="G1173" t="str">
        <f t="shared" ca="1" si="222"/>
        <v>Therapy</v>
      </c>
      <c r="H1173">
        <f t="shared" ca="1" si="223"/>
        <v>13</v>
      </c>
      <c r="I1173" t="str">
        <f t="shared" ca="1" si="224"/>
        <v>No</v>
      </c>
      <c r="J1173">
        <f t="shared" ca="1" si="225"/>
        <v>3</v>
      </c>
      <c r="K1173" t="str">
        <f t="shared" ca="1" si="226"/>
        <v>Private</v>
      </c>
      <c r="L1173" t="str">
        <f t="shared" ca="1" si="227"/>
        <v>ER</v>
      </c>
    </row>
    <row r="1174" spans="1:12" x14ac:dyDescent="0.25">
      <c r="A1174">
        <f t="shared" si="216"/>
        <v>1173</v>
      </c>
      <c r="B1174">
        <f t="shared" ca="1" si="217"/>
        <v>46</v>
      </c>
      <c r="C1174" t="str">
        <f t="shared" ca="1" si="218"/>
        <v>Female</v>
      </c>
      <c r="D1174" s="1">
        <f t="shared" ca="1" si="219"/>
        <v>45484</v>
      </c>
      <c r="E1174" s="1">
        <f t="shared" ca="1" si="220"/>
        <v>45489</v>
      </c>
      <c r="F1174" t="str">
        <f t="shared" ca="1" si="221"/>
        <v>Stroke</v>
      </c>
      <c r="G1174" t="str">
        <f t="shared" ca="1" si="222"/>
        <v>Medication</v>
      </c>
      <c r="H1174">
        <f t="shared" ca="1" si="223"/>
        <v>5</v>
      </c>
      <c r="I1174" t="str">
        <f t="shared" ca="1" si="224"/>
        <v>Yes</v>
      </c>
      <c r="J1174">
        <f t="shared" ca="1" si="225"/>
        <v>3</v>
      </c>
      <c r="K1174" t="str">
        <f t="shared" ca="1" si="226"/>
        <v>None</v>
      </c>
      <c r="L1174" t="str">
        <f t="shared" ca="1" si="227"/>
        <v>Neurology</v>
      </c>
    </row>
    <row r="1175" spans="1:12" x14ac:dyDescent="0.25">
      <c r="A1175">
        <f t="shared" si="216"/>
        <v>1174</v>
      </c>
      <c r="B1175">
        <f t="shared" ca="1" si="217"/>
        <v>78</v>
      </c>
      <c r="C1175" t="str">
        <f t="shared" ca="1" si="218"/>
        <v>Female</v>
      </c>
      <c r="D1175" s="1">
        <f t="shared" ca="1" si="219"/>
        <v>45308</v>
      </c>
      <c r="E1175" s="1">
        <f t="shared" ca="1" si="220"/>
        <v>45309</v>
      </c>
      <c r="F1175" t="str">
        <f t="shared" ca="1" si="221"/>
        <v>Diabetes</v>
      </c>
      <c r="G1175" t="str">
        <f t="shared" ca="1" si="222"/>
        <v>Surgery</v>
      </c>
      <c r="H1175">
        <f t="shared" ca="1" si="223"/>
        <v>1</v>
      </c>
      <c r="I1175" t="str">
        <f t="shared" ca="1" si="224"/>
        <v>No</v>
      </c>
      <c r="J1175">
        <f t="shared" ca="1" si="225"/>
        <v>4</v>
      </c>
      <c r="K1175" t="str">
        <f t="shared" ca="1" si="226"/>
        <v>None</v>
      </c>
      <c r="L1175" t="str">
        <f t="shared" ca="1" si="227"/>
        <v>Neurology</v>
      </c>
    </row>
    <row r="1176" spans="1:12" x14ac:dyDescent="0.25">
      <c r="A1176">
        <f t="shared" si="216"/>
        <v>1175</v>
      </c>
      <c r="B1176">
        <f t="shared" ca="1" si="217"/>
        <v>68</v>
      </c>
      <c r="C1176" t="str">
        <f t="shared" ca="1" si="218"/>
        <v>Female</v>
      </c>
      <c r="D1176" s="1">
        <f t="shared" ca="1" si="219"/>
        <v>45575</v>
      </c>
      <c r="E1176" s="1">
        <f t="shared" ca="1" si="220"/>
        <v>45577</v>
      </c>
      <c r="F1176" t="str">
        <f t="shared" ca="1" si="221"/>
        <v>Hypertension</v>
      </c>
      <c r="G1176" t="str">
        <f t="shared" ca="1" si="222"/>
        <v>Surgery</v>
      </c>
      <c r="H1176">
        <f t="shared" ca="1" si="223"/>
        <v>2</v>
      </c>
      <c r="I1176" t="str">
        <f t="shared" ca="1" si="224"/>
        <v>No</v>
      </c>
      <c r="J1176">
        <f t="shared" ca="1" si="225"/>
        <v>0</v>
      </c>
      <c r="K1176" t="str">
        <f t="shared" ca="1" si="226"/>
        <v>None</v>
      </c>
      <c r="L1176" t="str">
        <f t="shared" ca="1" si="227"/>
        <v>Neurology</v>
      </c>
    </row>
    <row r="1177" spans="1:12" x14ac:dyDescent="0.25">
      <c r="A1177">
        <f t="shared" si="216"/>
        <v>1176</v>
      </c>
      <c r="B1177">
        <f t="shared" ca="1" si="217"/>
        <v>28</v>
      </c>
      <c r="C1177" t="str">
        <f t="shared" ca="1" si="218"/>
        <v>Male</v>
      </c>
      <c r="D1177" s="1">
        <f t="shared" ca="1" si="219"/>
        <v>45654</v>
      </c>
      <c r="E1177" s="1">
        <f t="shared" ca="1" si="220"/>
        <v>45658</v>
      </c>
      <c r="F1177" t="str">
        <f t="shared" ca="1" si="221"/>
        <v>Hypertension</v>
      </c>
      <c r="G1177" t="str">
        <f t="shared" ca="1" si="222"/>
        <v>Medication</v>
      </c>
      <c r="H1177">
        <f t="shared" ca="1" si="223"/>
        <v>4</v>
      </c>
      <c r="I1177" t="str">
        <f t="shared" ca="1" si="224"/>
        <v>No</v>
      </c>
      <c r="J1177">
        <f t="shared" ca="1" si="225"/>
        <v>1</v>
      </c>
      <c r="K1177" t="str">
        <f t="shared" ca="1" si="226"/>
        <v>Private</v>
      </c>
      <c r="L1177" t="str">
        <f t="shared" ca="1" si="227"/>
        <v>ICU</v>
      </c>
    </row>
    <row r="1178" spans="1:12" x14ac:dyDescent="0.25">
      <c r="A1178">
        <f t="shared" si="216"/>
        <v>1177</v>
      </c>
      <c r="B1178">
        <f t="shared" ca="1" si="217"/>
        <v>81</v>
      </c>
      <c r="C1178" t="str">
        <f t="shared" ca="1" si="218"/>
        <v>Female</v>
      </c>
      <c r="D1178" s="1">
        <f t="shared" ca="1" si="219"/>
        <v>45534</v>
      </c>
      <c r="E1178" s="1">
        <f t="shared" ca="1" si="220"/>
        <v>45548</v>
      </c>
      <c r="F1178" t="str">
        <f t="shared" ca="1" si="221"/>
        <v>Diabetes</v>
      </c>
      <c r="G1178" t="str">
        <f t="shared" ca="1" si="222"/>
        <v>Medication</v>
      </c>
      <c r="H1178">
        <f t="shared" ca="1" si="223"/>
        <v>14</v>
      </c>
      <c r="I1178" t="str">
        <f t="shared" ca="1" si="224"/>
        <v>No</v>
      </c>
      <c r="J1178">
        <f t="shared" ca="1" si="225"/>
        <v>2</v>
      </c>
      <c r="K1178" t="str">
        <f t="shared" ca="1" si="226"/>
        <v>None</v>
      </c>
      <c r="L1178" t="str">
        <f t="shared" ca="1" si="227"/>
        <v>ER</v>
      </c>
    </row>
    <row r="1179" spans="1:12" x14ac:dyDescent="0.25">
      <c r="A1179">
        <f t="shared" si="216"/>
        <v>1178</v>
      </c>
      <c r="B1179">
        <f t="shared" ca="1" si="217"/>
        <v>65</v>
      </c>
      <c r="C1179" t="str">
        <f t="shared" ca="1" si="218"/>
        <v>Male</v>
      </c>
      <c r="D1179" s="1">
        <f t="shared" ca="1" si="219"/>
        <v>45556</v>
      </c>
      <c r="E1179" s="1">
        <f t="shared" ca="1" si="220"/>
        <v>45564</v>
      </c>
      <c r="F1179" t="str">
        <f t="shared" ca="1" si="221"/>
        <v>Stroke</v>
      </c>
      <c r="G1179" t="str">
        <f t="shared" ca="1" si="222"/>
        <v>Therapy</v>
      </c>
      <c r="H1179">
        <f t="shared" ca="1" si="223"/>
        <v>8</v>
      </c>
      <c r="I1179" t="str">
        <f t="shared" ca="1" si="224"/>
        <v>No</v>
      </c>
      <c r="J1179">
        <f t="shared" ca="1" si="225"/>
        <v>3</v>
      </c>
      <c r="K1179" t="str">
        <f t="shared" ca="1" si="226"/>
        <v>Public</v>
      </c>
      <c r="L1179" t="str">
        <f t="shared" ca="1" si="227"/>
        <v>ER</v>
      </c>
    </row>
    <row r="1180" spans="1:12" x14ac:dyDescent="0.25">
      <c r="A1180">
        <f t="shared" si="216"/>
        <v>1179</v>
      </c>
      <c r="B1180">
        <f t="shared" ca="1" si="217"/>
        <v>27</v>
      </c>
      <c r="C1180" t="str">
        <f t="shared" ca="1" si="218"/>
        <v>Female</v>
      </c>
      <c r="D1180" s="1">
        <f t="shared" ca="1" si="219"/>
        <v>45473</v>
      </c>
      <c r="E1180" s="1">
        <f t="shared" ca="1" si="220"/>
        <v>45478</v>
      </c>
      <c r="F1180" t="str">
        <f t="shared" ca="1" si="221"/>
        <v>Pneumonia</v>
      </c>
      <c r="G1180" t="str">
        <f t="shared" ca="1" si="222"/>
        <v>Medication</v>
      </c>
      <c r="H1180">
        <f t="shared" ca="1" si="223"/>
        <v>5</v>
      </c>
      <c r="I1180" t="str">
        <f t="shared" ca="1" si="224"/>
        <v>Yes</v>
      </c>
      <c r="J1180">
        <f t="shared" ca="1" si="225"/>
        <v>2</v>
      </c>
      <c r="K1180" t="str">
        <f t="shared" ca="1" si="226"/>
        <v>None</v>
      </c>
      <c r="L1180" t="str">
        <f t="shared" ca="1" si="227"/>
        <v>Cardiology</v>
      </c>
    </row>
    <row r="1181" spans="1:12" x14ac:dyDescent="0.25">
      <c r="A1181">
        <f t="shared" si="216"/>
        <v>1180</v>
      </c>
      <c r="B1181">
        <f t="shared" ca="1" si="217"/>
        <v>82</v>
      </c>
      <c r="C1181" t="str">
        <f t="shared" ca="1" si="218"/>
        <v>Male</v>
      </c>
      <c r="D1181" s="1">
        <f t="shared" ca="1" si="219"/>
        <v>45541</v>
      </c>
      <c r="E1181" s="1">
        <f t="shared" ca="1" si="220"/>
        <v>45546</v>
      </c>
      <c r="F1181" t="str">
        <f t="shared" ca="1" si="221"/>
        <v>Heart Failure</v>
      </c>
      <c r="G1181" t="str">
        <f t="shared" ca="1" si="222"/>
        <v>Medication</v>
      </c>
      <c r="H1181">
        <f t="shared" ca="1" si="223"/>
        <v>5</v>
      </c>
      <c r="I1181" t="str">
        <f t="shared" ca="1" si="224"/>
        <v>Yes</v>
      </c>
      <c r="J1181">
        <f t="shared" ca="1" si="225"/>
        <v>4</v>
      </c>
      <c r="K1181" t="str">
        <f t="shared" ca="1" si="226"/>
        <v>Private</v>
      </c>
      <c r="L1181" t="str">
        <f t="shared" ca="1" si="227"/>
        <v>ICU</v>
      </c>
    </row>
    <row r="1182" spans="1:12" x14ac:dyDescent="0.25">
      <c r="A1182">
        <f t="shared" si="216"/>
        <v>1181</v>
      </c>
      <c r="B1182">
        <f t="shared" ca="1" si="217"/>
        <v>62</v>
      </c>
      <c r="C1182" t="str">
        <f t="shared" ca="1" si="218"/>
        <v>Male</v>
      </c>
      <c r="D1182" s="1">
        <f t="shared" ca="1" si="219"/>
        <v>45348</v>
      </c>
      <c r="E1182" s="1">
        <f t="shared" ca="1" si="220"/>
        <v>45351</v>
      </c>
      <c r="F1182" t="str">
        <f t="shared" ca="1" si="221"/>
        <v>Heart Failure</v>
      </c>
      <c r="G1182" t="str">
        <f t="shared" ca="1" si="222"/>
        <v>Surgery</v>
      </c>
      <c r="H1182">
        <f t="shared" ca="1" si="223"/>
        <v>3</v>
      </c>
      <c r="I1182" t="str">
        <f t="shared" ca="1" si="224"/>
        <v>Yes</v>
      </c>
      <c r="J1182">
        <f t="shared" ca="1" si="225"/>
        <v>4</v>
      </c>
      <c r="K1182" t="str">
        <f t="shared" ca="1" si="226"/>
        <v>Public</v>
      </c>
      <c r="L1182" t="str">
        <f t="shared" ca="1" si="227"/>
        <v>Neurology</v>
      </c>
    </row>
    <row r="1183" spans="1:12" x14ac:dyDescent="0.25">
      <c r="A1183">
        <f t="shared" si="216"/>
        <v>1182</v>
      </c>
      <c r="B1183">
        <f t="shared" ca="1" si="217"/>
        <v>71</v>
      </c>
      <c r="C1183" t="str">
        <f t="shared" ca="1" si="218"/>
        <v>Female</v>
      </c>
      <c r="D1183" s="1">
        <f t="shared" ca="1" si="219"/>
        <v>45626</v>
      </c>
      <c r="E1183" s="1">
        <f t="shared" ca="1" si="220"/>
        <v>45636</v>
      </c>
      <c r="F1183" t="str">
        <f t="shared" ca="1" si="221"/>
        <v>Hypertension</v>
      </c>
      <c r="G1183" t="str">
        <f t="shared" ca="1" si="222"/>
        <v>Therapy</v>
      </c>
      <c r="H1183">
        <f t="shared" ca="1" si="223"/>
        <v>10</v>
      </c>
      <c r="I1183" t="str">
        <f t="shared" ca="1" si="224"/>
        <v>No</v>
      </c>
      <c r="J1183">
        <f t="shared" ca="1" si="225"/>
        <v>3</v>
      </c>
      <c r="K1183" t="str">
        <f t="shared" ca="1" si="226"/>
        <v>None</v>
      </c>
      <c r="L1183" t="str">
        <f t="shared" ca="1" si="227"/>
        <v>ICU</v>
      </c>
    </row>
    <row r="1184" spans="1:12" x14ac:dyDescent="0.25">
      <c r="A1184">
        <f t="shared" si="216"/>
        <v>1183</v>
      </c>
      <c r="B1184">
        <f t="shared" ca="1" si="217"/>
        <v>83</v>
      </c>
      <c r="C1184" t="str">
        <f t="shared" ca="1" si="218"/>
        <v>Female</v>
      </c>
      <c r="D1184" s="1">
        <f t="shared" ca="1" si="219"/>
        <v>45566</v>
      </c>
      <c r="E1184" s="1">
        <f t="shared" ca="1" si="220"/>
        <v>45571</v>
      </c>
      <c r="F1184" t="str">
        <f t="shared" ca="1" si="221"/>
        <v>Hypertension</v>
      </c>
      <c r="G1184" t="str">
        <f t="shared" ca="1" si="222"/>
        <v>Therapy</v>
      </c>
      <c r="H1184">
        <f t="shared" ca="1" si="223"/>
        <v>5</v>
      </c>
      <c r="I1184" t="str">
        <f t="shared" ca="1" si="224"/>
        <v>No</v>
      </c>
      <c r="J1184">
        <f t="shared" ca="1" si="225"/>
        <v>4</v>
      </c>
      <c r="K1184" t="str">
        <f t="shared" ca="1" si="226"/>
        <v>Private</v>
      </c>
      <c r="L1184" t="str">
        <f t="shared" ca="1" si="227"/>
        <v>ER</v>
      </c>
    </row>
    <row r="1185" spans="1:12" x14ac:dyDescent="0.25">
      <c r="A1185">
        <f t="shared" si="216"/>
        <v>1184</v>
      </c>
      <c r="B1185">
        <f t="shared" ca="1" si="217"/>
        <v>40</v>
      </c>
      <c r="C1185" t="str">
        <f t="shared" ca="1" si="218"/>
        <v>Male</v>
      </c>
      <c r="D1185" s="1">
        <f t="shared" ca="1" si="219"/>
        <v>45601</v>
      </c>
      <c r="E1185" s="1">
        <f t="shared" ca="1" si="220"/>
        <v>45602</v>
      </c>
      <c r="F1185" t="str">
        <f t="shared" ca="1" si="221"/>
        <v>Heart Failure</v>
      </c>
      <c r="G1185" t="str">
        <f t="shared" ca="1" si="222"/>
        <v>Therapy</v>
      </c>
      <c r="H1185">
        <f t="shared" ca="1" si="223"/>
        <v>1</v>
      </c>
      <c r="I1185" t="str">
        <f t="shared" ca="1" si="224"/>
        <v>No</v>
      </c>
      <c r="J1185">
        <f t="shared" ca="1" si="225"/>
        <v>2</v>
      </c>
      <c r="K1185" t="str">
        <f t="shared" ca="1" si="226"/>
        <v>Public</v>
      </c>
      <c r="L1185" t="str">
        <f t="shared" ca="1" si="227"/>
        <v>ICU</v>
      </c>
    </row>
    <row r="1186" spans="1:12" x14ac:dyDescent="0.25">
      <c r="A1186">
        <f t="shared" si="216"/>
        <v>1185</v>
      </c>
      <c r="B1186">
        <f t="shared" ca="1" si="217"/>
        <v>24</v>
      </c>
      <c r="C1186" t="str">
        <f t="shared" ca="1" si="218"/>
        <v>Male</v>
      </c>
      <c r="D1186" s="1">
        <f t="shared" ca="1" si="219"/>
        <v>45549</v>
      </c>
      <c r="E1186" s="1">
        <f t="shared" ca="1" si="220"/>
        <v>45561</v>
      </c>
      <c r="F1186" t="str">
        <f t="shared" ca="1" si="221"/>
        <v>Heart Failure</v>
      </c>
      <c r="G1186" t="str">
        <f t="shared" ca="1" si="222"/>
        <v>Surgery</v>
      </c>
      <c r="H1186">
        <f t="shared" ca="1" si="223"/>
        <v>12</v>
      </c>
      <c r="I1186" t="str">
        <f t="shared" ca="1" si="224"/>
        <v>Yes</v>
      </c>
      <c r="J1186">
        <f t="shared" ca="1" si="225"/>
        <v>0</v>
      </c>
      <c r="K1186" t="str">
        <f t="shared" ca="1" si="226"/>
        <v>None</v>
      </c>
      <c r="L1186" t="str">
        <f t="shared" ca="1" si="227"/>
        <v>General</v>
      </c>
    </row>
    <row r="1187" spans="1:12" x14ac:dyDescent="0.25">
      <c r="A1187">
        <f t="shared" si="216"/>
        <v>1186</v>
      </c>
      <c r="B1187">
        <f t="shared" ca="1" si="217"/>
        <v>79</v>
      </c>
      <c r="C1187" t="str">
        <f t="shared" ca="1" si="218"/>
        <v>Male</v>
      </c>
      <c r="D1187" s="1">
        <f t="shared" ca="1" si="219"/>
        <v>45564</v>
      </c>
      <c r="E1187" s="1">
        <f t="shared" ca="1" si="220"/>
        <v>45571</v>
      </c>
      <c r="F1187" t="str">
        <f t="shared" ca="1" si="221"/>
        <v>Pneumonia</v>
      </c>
      <c r="G1187" t="str">
        <f t="shared" ca="1" si="222"/>
        <v>Therapy</v>
      </c>
      <c r="H1187">
        <f t="shared" ca="1" si="223"/>
        <v>7</v>
      </c>
      <c r="I1187" t="str">
        <f t="shared" ca="1" si="224"/>
        <v>No</v>
      </c>
      <c r="J1187">
        <f t="shared" ca="1" si="225"/>
        <v>2</v>
      </c>
      <c r="K1187" t="str">
        <f t="shared" ca="1" si="226"/>
        <v>Private</v>
      </c>
      <c r="L1187" t="str">
        <f t="shared" ca="1" si="227"/>
        <v>Neurology</v>
      </c>
    </row>
    <row r="1188" spans="1:12" x14ac:dyDescent="0.25">
      <c r="A1188">
        <f t="shared" si="216"/>
        <v>1187</v>
      </c>
      <c r="B1188">
        <f t="shared" ca="1" si="217"/>
        <v>51</v>
      </c>
      <c r="C1188" t="str">
        <f t="shared" ca="1" si="218"/>
        <v>Female</v>
      </c>
      <c r="D1188" s="1">
        <f t="shared" ca="1" si="219"/>
        <v>45527</v>
      </c>
      <c r="E1188" s="1">
        <f t="shared" ca="1" si="220"/>
        <v>45540</v>
      </c>
      <c r="F1188" t="str">
        <f t="shared" ca="1" si="221"/>
        <v>Heart Failure</v>
      </c>
      <c r="G1188" t="str">
        <f t="shared" ca="1" si="222"/>
        <v>Medication</v>
      </c>
      <c r="H1188">
        <f t="shared" ca="1" si="223"/>
        <v>13</v>
      </c>
      <c r="I1188" t="str">
        <f t="shared" ca="1" si="224"/>
        <v>No</v>
      </c>
      <c r="J1188">
        <f t="shared" ca="1" si="225"/>
        <v>4</v>
      </c>
      <c r="K1188" t="str">
        <f t="shared" ca="1" si="226"/>
        <v>Public</v>
      </c>
      <c r="L1188" t="str">
        <f t="shared" ca="1" si="227"/>
        <v>Neurology</v>
      </c>
    </row>
    <row r="1189" spans="1:12" x14ac:dyDescent="0.25">
      <c r="A1189">
        <f t="shared" si="216"/>
        <v>1188</v>
      </c>
      <c r="B1189">
        <f t="shared" ca="1" si="217"/>
        <v>69</v>
      </c>
      <c r="C1189" t="str">
        <f t="shared" ca="1" si="218"/>
        <v>Female</v>
      </c>
      <c r="D1189" s="1">
        <f t="shared" ca="1" si="219"/>
        <v>45342</v>
      </c>
      <c r="E1189" s="1">
        <f t="shared" ca="1" si="220"/>
        <v>45355</v>
      </c>
      <c r="F1189" t="str">
        <f t="shared" ca="1" si="221"/>
        <v>Hypertension</v>
      </c>
      <c r="G1189" t="str">
        <f t="shared" ca="1" si="222"/>
        <v>Surgery</v>
      </c>
      <c r="H1189">
        <f t="shared" ca="1" si="223"/>
        <v>13</v>
      </c>
      <c r="I1189" t="str">
        <f t="shared" ca="1" si="224"/>
        <v>Yes</v>
      </c>
      <c r="J1189">
        <f t="shared" ca="1" si="225"/>
        <v>3</v>
      </c>
      <c r="K1189" t="str">
        <f t="shared" ca="1" si="226"/>
        <v>Public</v>
      </c>
      <c r="L1189" t="str">
        <f t="shared" ca="1" si="227"/>
        <v>Cardiology</v>
      </c>
    </row>
    <row r="1190" spans="1:12" x14ac:dyDescent="0.25">
      <c r="A1190">
        <f t="shared" si="216"/>
        <v>1189</v>
      </c>
      <c r="B1190">
        <f t="shared" ca="1" si="217"/>
        <v>38</v>
      </c>
      <c r="C1190" t="str">
        <f t="shared" ca="1" si="218"/>
        <v>Female</v>
      </c>
      <c r="D1190" s="1">
        <f t="shared" ca="1" si="219"/>
        <v>45345</v>
      </c>
      <c r="E1190" s="1">
        <f t="shared" ca="1" si="220"/>
        <v>45347</v>
      </c>
      <c r="F1190" t="str">
        <f t="shared" ca="1" si="221"/>
        <v>Stroke</v>
      </c>
      <c r="G1190" t="str">
        <f t="shared" ca="1" si="222"/>
        <v>Therapy</v>
      </c>
      <c r="H1190">
        <f t="shared" ca="1" si="223"/>
        <v>2</v>
      </c>
      <c r="I1190" t="str">
        <f t="shared" ca="1" si="224"/>
        <v>No</v>
      </c>
      <c r="J1190">
        <f t="shared" ca="1" si="225"/>
        <v>3</v>
      </c>
      <c r="K1190" t="str">
        <f t="shared" ca="1" si="226"/>
        <v>Private</v>
      </c>
      <c r="L1190" t="str">
        <f t="shared" ca="1" si="227"/>
        <v>Cardiology</v>
      </c>
    </row>
    <row r="1191" spans="1:12" x14ac:dyDescent="0.25">
      <c r="A1191">
        <f t="shared" si="216"/>
        <v>1190</v>
      </c>
      <c r="B1191">
        <f t="shared" ca="1" si="217"/>
        <v>90</v>
      </c>
      <c r="C1191" t="str">
        <f t="shared" ca="1" si="218"/>
        <v>Female</v>
      </c>
      <c r="D1191" s="1">
        <f t="shared" ca="1" si="219"/>
        <v>45441</v>
      </c>
      <c r="E1191" s="1">
        <f t="shared" ca="1" si="220"/>
        <v>45444</v>
      </c>
      <c r="F1191" t="str">
        <f t="shared" ca="1" si="221"/>
        <v>Pneumonia</v>
      </c>
      <c r="G1191" t="str">
        <f t="shared" ca="1" si="222"/>
        <v>Medication</v>
      </c>
      <c r="H1191">
        <f t="shared" ca="1" si="223"/>
        <v>3</v>
      </c>
      <c r="I1191" t="str">
        <f t="shared" ca="1" si="224"/>
        <v>No</v>
      </c>
      <c r="J1191">
        <f t="shared" ca="1" si="225"/>
        <v>1</v>
      </c>
      <c r="K1191" t="str">
        <f t="shared" ca="1" si="226"/>
        <v>None</v>
      </c>
      <c r="L1191" t="str">
        <f t="shared" ca="1" si="227"/>
        <v>Neurology</v>
      </c>
    </row>
    <row r="1192" spans="1:12" x14ac:dyDescent="0.25">
      <c r="A1192">
        <f t="shared" si="216"/>
        <v>1191</v>
      </c>
      <c r="B1192">
        <f t="shared" ca="1" si="217"/>
        <v>58</v>
      </c>
      <c r="C1192" t="str">
        <f t="shared" ca="1" si="218"/>
        <v>Female</v>
      </c>
      <c r="D1192" s="1">
        <f t="shared" ca="1" si="219"/>
        <v>45348</v>
      </c>
      <c r="E1192" s="1">
        <f t="shared" ca="1" si="220"/>
        <v>45361</v>
      </c>
      <c r="F1192" t="str">
        <f t="shared" ca="1" si="221"/>
        <v>Diabetes</v>
      </c>
      <c r="G1192" t="str">
        <f t="shared" ca="1" si="222"/>
        <v>Surgery</v>
      </c>
      <c r="H1192">
        <f t="shared" ca="1" si="223"/>
        <v>13</v>
      </c>
      <c r="I1192" t="str">
        <f t="shared" ca="1" si="224"/>
        <v>No</v>
      </c>
      <c r="J1192">
        <f t="shared" ca="1" si="225"/>
        <v>4</v>
      </c>
      <c r="K1192" t="str">
        <f t="shared" ca="1" si="226"/>
        <v>Private</v>
      </c>
      <c r="L1192" t="str">
        <f t="shared" ca="1" si="227"/>
        <v>Cardiology</v>
      </c>
    </row>
    <row r="1193" spans="1:12" x14ac:dyDescent="0.25">
      <c r="A1193">
        <f t="shared" si="216"/>
        <v>1192</v>
      </c>
      <c r="B1193">
        <f t="shared" ca="1" si="217"/>
        <v>26</v>
      </c>
      <c r="C1193" t="str">
        <f t="shared" ca="1" si="218"/>
        <v>Male</v>
      </c>
      <c r="D1193" s="1">
        <f t="shared" ca="1" si="219"/>
        <v>45364</v>
      </c>
      <c r="E1193" s="1">
        <f t="shared" ca="1" si="220"/>
        <v>45369</v>
      </c>
      <c r="F1193" t="str">
        <f t="shared" ca="1" si="221"/>
        <v>Hypertension</v>
      </c>
      <c r="G1193" t="str">
        <f t="shared" ca="1" si="222"/>
        <v>Medication</v>
      </c>
      <c r="H1193">
        <f t="shared" ca="1" si="223"/>
        <v>5</v>
      </c>
      <c r="I1193" t="str">
        <f t="shared" ca="1" si="224"/>
        <v>No</v>
      </c>
      <c r="J1193">
        <f t="shared" ca="1" si="225"/>
        <v>4</v>
      </c>
      <c r="K1193" t="str">
        <f t="shared" ca="1" si="226"/>
        <v>Public</v>
      </c>
      <c r="L1193" t="str">
        <f t="shared" ca="1" si="227"/>
        <v>General</v>
      </c>
    </row>
    <row r="1194" spans="1:12" x14ac:dyDescent="0.25">
      <c r="A1194">
        <f t="shared" si="216"/>
        <v>1193</v>
      </c>
      <c r="B1194">
        <f t="shared" ca="1" si="217"/>
        <v>41</v>
      </c>
      <c r="C1194" t="str">
        <f t="shared" ca="1" si="218"/>
        <v>Female</v>
      </c>
      <c r="D1194" s="1">
        <f t="shared" ca="1" si="219"/>
        <v>45572</v>
      </c>
      <c r="E1194" s="1">
        <f t="shared" ca="1" si="220"/>
        <v>45576</v>
      </c>
      <c r="F1194" t="str">
        <f t="shared" ca="1" si="221"/>
        <v>Hypertension</v>
      </c>
      <c r="G1194" t="str">
        <f t="shared" ca="1" si="222"/>
        <v>Medication</v>
      </c>
      <c r="H1194">
        <f t="shared" ca="1" si="223"/>
        <v>4</v>
      </c>
      <c r="I1194" t="str">
        <f t="shared" ca="1" si="224"/>
        <v>No</v>
      </c>
      <c r="J1194">
        <f t="shared" ca="1" si="225"/>
        <v>1</v>
      </c>
      <c r="K1194" t="str">
        <f t="shared" ca="1" si="226"/>
        <v>Private</v>
      </c>
      <c r="L1194" t="str">
        <f t="shared" ca="1" si="227"/>
        <v>General</v>
      </c>
    </row>
    <row r="1195" spans="1:12" x14ac:dyDescent="0.25">
      <c r="A1195">
        <f t="shared" si="216"/>
        <v>1194</v>
      </c>
      <c r="B1195">
        <f t="shared" ca="1" si="217"/>
        <v>43</v>
      </c>
      <c r="C1195" t="str">
        <f t="shared" ca="1" si="218"/>
        <v>Male</v>
      </c>
      <c r="D1195" s="1">
        <f t="shared" ca="1" si="219"/>
        <v>45463</v>
      </c>
      <c r="E1195" s="1">
        <f t="shared" ca="1" si="220"/>
        <v>45464</v>
      </c>
      <c r="F1195" t="str">
        <f t="shared" ca="1" si="221"/>
        <v>Hypertension</v>
      </c>
      <c r="G1195" t="str">
        <f t="shared" ca="1" si="222"/>
        <v>Therapy</v>
      </c>
      <c r="H1195">
        <f t="shared" ca="1" si="223"/>
        <v>1</v>
      </c>
      <c r="I1195" t="str">
        <f t="shared" ca="1" si="224"/>
        <v>No</v>
      </c>
      <c r="J1195">
        <f t="shared" ca="1" si="225"/>
        <v>4</v>
      </c>
      <c r="K1195" t="str">
        <f t="shared" ca="1" si="226"/>
        <v>Public</v>
      </c>
      <c r="L1195" t="str">
        <f t="shared" ca="1" si="227"/>
        <v>ICU</v>
      </c>
    </row>
    <row r="1196" spans="1:12" x14ac:dyDescent="0.25">
      <c r="A1196">
        <f t="shared" si="216"/>
        <v>1195</v>
      </c>
      <c r="B1196">
        <f t="shared" ca="1" si="217"/>
        <v>55</v>
      </c>
      <c r="C1196" t="str">
        <f t="shared" ca="1" si="218"/>
        <v>Male</v>
      </c>
      <c r="D1196" s="1">
        <f t="shared" ca="1" si="219"/>
        <v>45457</v>
      </c>
      <c r="E1196" s="1">
        <f t="shared" ca="1" si="220"/>
        <v>45472</v>
      </c>
      <c r="F1196" t="str">
        <f t="shared" ca="1" si="221"/>
        <v>Hypertension</v>
      </c>
      <c r="G1196" t="str">
        <f t="shared" ca="1" si="222"/>
        <v>Medication</v>
      </c>
      <c r="H1196">
        <f t="shared" ca="1" si="223"/>
        <v>15</v>
      </c>
      <c r="I1196" t="str">
        <f t="shared" ca="1" si="224"/>
        <v>Yes</v>
      </c>
      <c r="J1196">
        <f t="shared" ca="1" si="225"/>
        <v>0</v>
      </c>
      <c r="K1196" t="str">
        <f t="shared" ca="1" si="226"/>
        <v>Private</v>
      </c>
      <c r="L1196" t="str">
        <f t="shared" ca="1" si="227"/>
        <v>ER</v>
      </c>
    </row>
    <row r="1197" spans="1:12" x14ac:dyDescent="0.25">
      <c r="A1197">
        <f t="shared" si="216"/>
        <v>1196</v>
      </c>
      <c r="B1197">
        <f t="shared" ca="1" si="217"/>
        <v>64</v>
      </c>
      <c r="C1197" t="str">
        <f t="shared" ca="1" si="218"/>
        <v>Female</v>
      </c>
      <c r="D1197" s="1">
        <f t="shared" ca="1" si="219"/>
        <v>45422</v>
      </c>
      <c r="E1197" s="1">
        <f t="shared" ca="1" si="220"/>
        <v>45428</v>
      </c>
      <c r="F1197" t="str">
        <f t="shared" ca="1" si="221"/>
        <v>Diabetes</v>
      </c>
      <c r="G1197" t="str">
        <f t="shared" ca="1" si="222"/>
        <v>Surgery</v>
      </c>
      <c r="H1197">
        <f t="shared" ca="1" si="223"/>
        <v>6</v>
      </c>
      <c r="I1197" t="str">
        <f t="shared" ca="1" si="224"/>
        <v>Yes</v>
      </c>
      <c r="J1197">
        <f t="shared" ca="1" si="225"/>
        <v>0</v>
      </c>
      <c r="K1197" t="str">
        <f t="shared" ca="1" si="226"/>
        <v>Private</v>
      </c>
      <c r="L1197" t="str">
        <f t="shared" ca="1" si="227"/>
        <v>ER</v>
      </c>
    </row>
    <row r="1198" spans="1:12" x14ac:dyDescent="0.25">
      <c r="A1198">
        <f t="shared" si="216"/>
        <v>1197</v>
      </c>
      <c r="B1198">
        <f t="shared" ca="1" si="217"/>
        <v>61</v>
      </c>
      <c r="C1198" t="str">
        <f t="shared" ca="1" si="218"/>
        <v>Female</v>
      </c>
      <c r="D1198" s="1">
        <f t="shared" ca="1" si="219"/>
        <v>45451</v>
      </c>
      <c r="E1198" s="1">
        <f t="shared" ca="1" si="220"/>
        <v>45453</v>
      </c>
      <c r="F1198" t="str">
        <f t="shared" ca="1" si="221"/>
        <v>Diabetes</v>
      </c>
      <c r="G1198" t="str">
        <f t="shared" ca="1" si="222"/>
        <v>Therapy</v>
      </c>
      <c r="H1198">
        <f t="shared" ca="1" si="223"/>
        <v>2</v>
      </c>
      <c r="I1198" t="str">
        <f t="shared" ca="1" si="224"/>
        <v>Yes</v>
      </c>
      <c r="J1198">
        <f t="shared" ca="1" si="225"/>
        <v>2</v>
      </c>
      <c r="K1198" t="str">
        <f t="shared" ca="1" si="226"/>
        <v>Private</v>
      </c>
      <c r="L1198" t="str">
        <f t="shared" ca="1" si="227"/>
        <v>General</v>
      </c>
    </row>
    <row r="1199" spans="1:12" x14ac:dyDescent="0.25">
      <c r="A1199">
        <f t="shared" si="216"/>
        <v>1198</v>
      </c>
      <c r="B1199">
        <f t="shared" ca="1" si="217"/>
        <v>47</v>
      </c>
      <c r="C1199" t="str">
        <f t="shared" ca="1" si="218"/>
        <v>Male</v>
      </c>
      <c r="D1199" s="1">
        <f t="shared" ca="1" si="219"/>
        <v>45307</v>
      </c>
      <c r="E1199" s="1">
        <f t="shared" ca="1" si="220"/>
        <v>45318</v>
      </c>
      <c r="F1199" t="str">
        <f t="shared" ca="1" si="221"/>
        <v>Heart Failure</v>
      </c>
      <c r="G1199" t="str">
        <f t="shared" ca="1" si="222"/>
        <v>Therapy</v>
      </c>
      <c r="H1199">
        <f t="shared" ca="1" si="223"/>
        <v>11</v>
      </c>
      <c r="I1199" t="str">
        <f t="shared" ca="1" si="224"/>
        <v>No</v>
      </c>
      <c r="J1199">
        <f t="shared" ca="1" si="225"/>
        <v>2</v>
      </c>
      <c r="K1199" t="str">
        <f t="shared" ca="1" si="226"/>
        <v>None</v>
      </c>
      <c r="L1199" t="str">
        <f t="shared" ca="1" si="227"/>
        <v>Cardiology</v>
      </c>
    </row>
    <row r="1200" spans="1:12" x14ac:dyDescent="0.25">
      <c r="A1200">
        <f t="shared" si="216"/>
        <v>1199</v>
      </c>
      <c r="B1200">
        <f t="shared" ca="1" si="217"/>
        <v>77</v>
      </c>
      <c r="C1200" t="str">
        <f t="shared" ca="1" si="218"/>
        <v>Female</v>
      </c>
      <c r="D1200" s="1">
        <f t="shared" ca="1" si="219"/>
        <v>45501</v>
      </c>
      <c r="E1200" s="1">
        <f t="shared" ca="1" si="220"/>
        <v>45511</v>
      </c>
      <c r="F1200" t="str">
        <f t="shared" ca="1" si="221"/>
        <v>Stroke</v>
      </c>
      <c r="G1200" t="str">
        <f t="shared" ca="1" si="222"/>
        <v>Surgery</v>
      </c>
      <c r="H1200">
        <f t="shared" ca="1" si="223"/>
        <v>10</v>
      </c>
      <c r="I1200" t="str">
        <f t="shared" ca="1" si="224"/>
        <v>No</v>
      </c>
      <c r="J1200">
        <f t="shared" ca="1" si="225"/>
        <v>4</v>
      </c>
      <c r="K1200" t="str">
        <f t="shared" ca="1" si="226"/>
        <v>Private</v>
      </c>
      <c r="L1200" t="str">
        <f t="shared" ca="1" si="227"/>
        <v>ICU</v>
      </c>
    </row>
    <row r="1201" spans="1:12" x14ac:dyDescent="0.25">
      <c r="A1201">
        <f t="shared" si="216"/>
        <v>1200</v>
      </c>
      <c r="B1201">
        <f t="shared" ca="1" si="217"/>
        <v>51</v>
      </c>
      <c r="C1201" t="str">
        <f t="shared" ca="1" si="218"/>
        <v>Female</v>
      </c>
      <c r="D1201" s="1">
        <f t="shared" ca="1" si="219"/>
        <v>45577</v>
      </c>
      <c r="E1201" s="1">
        <f t="shared" ca="1" si="220"/>
        <v>45583</v>
      </c>
      <c r="F1201" t="str">
        <f t="shared" ca="1" si="221"/>
        <v>Pneumonia</v>
      </c>
      <c r="G1201" t="str">
        <f t="shared" ca="1" si="222"/>
        <v>Therapy</v>
      </c>
      <c r="H1201">
        <f t="shared" ca="1" si="223"/>
        <v>6</v>
      </c>
      <c r="I1201" t="str">
        <f t="shared" ca="1" si="224"/>
        <v>Yes</v>
      </c>
      <c r="J1201">
        <f t="shared" ca="1" si="225"/>
        <v>4</v>
      </c>
      <c r="K1201" t="str">
        <f t="shared" ca="1" si="226"/>
        <v>Public</v>
      </c>
      <c r="L1201" t="str">
        <f t="shared" ca="1" si="227"/>
        <v>ICU</v>
      </c>
    </row>
    <row r="1202" spans="1:12" x14ac:dyDescent="0.25">
      <c r="A1202">
        <f t="shared" si="216"/>
        <v>1201</v>
      </c>
      <c r="B1202">
        <f t="shared" ca="1" si="217"/>
        <v>64</v>
      </c>
      <c r="C1202" t="str">
        <f t="shared" ca="1" si="218"/>
        <v>Female</v>
      </c>
      <c r="D1202" s="1">
        <f t="shared" ca="1" si="219"/>
        <v>45317</v>
      </c>
      <c r="E1202" s="1">
        <f t="shared" ca="1" si="220"/>
        <v>45326</v>
      </c>
      <c r="F1202" t="str">
        <f t="shared" ca="1" si="221"/>
        <v>Diabetes</v>
      </c>
      <c r="G1202" t="str">
        <f t="shared" ca="1" si="222"/>
        <v>Medication</v>
      </c>
      <c r="H1202">
        <f t="shared" ca="1" si="223"/>
        <v>9</v>
      </c>
      <c r="I1202" t="str">
        <f t="shared" ca="1" si="224"/>
        <v>No</v>
      </c>
      <c r="J1202">
        <f t="shared" ca="1" si="225"/>
        <v>1</v>
      </c>
      <c r="K1202" t="str">
        <f t="shared" ca="1" si="226"/>
        <v>Public</v>
      </c>
      <c r="L1202" t="str">
        <f t="shared" ca="1" si="227"/>
        <v>Cardiology</v>
      </c>
    </row>
    <row r="1203" spans="1:12" x14ac:dyDescent="0.25">
      <c r="A1203">
        <f t="shared" si="216"/>
        <v>1202</v>
      </c>
      <c r="B1203">
        <f t="shared" ca="1" si="217"/>
        <v>60</v>
      </c>
      <c r="C1203" t="str">
        <f t="shared" ca="1" si="218"/>
        <v>Female</v>
      </c>
      <c r="D1203" s="1">
        <f t="shared" ca="1" si="219"/>
        <v>45512</v>
      </c>
      <c r="E1203" s="1">
        <f t="shared" ca="1" si="220"/>
        <v>45525</v>
      </c>
      <c r="F1203" t="str">
        <f t="shared" ca="1" si="221"/>
        <v>Pneumonia</v>
      </c>
      <c r="G1203" t="str">
        <f t="shared" ca="1" si="222"/>
        <v>Therapy</v>
      </c>
      <c r="H1203">
        <f t="shared" ca="1" si="223"/>
        <v>13</v>
      </c>
      <c r="I1203" t="str">
        <f t="shared" ca="1" si="224"/>
        <v>Yes</v>
      </c>
      <c r="J1203">
        <f t="shared" ca="1" si="225"/>
        <v>2</v>
      </c>
      <c r="K1203" t="str">
        <f t="shared" ca="1" si="226"/>
        <v>Private</v>
      </c>
      <c r="L1203" t="str">
        <f t="shared" ca="1" si="227"/>
        <v>Cardiology</v>
      </c>
    </row>
    <row r="1204" spans="1:12" x14ac:dyDescent="0.25">
      <c r="A1204">
        <f t="shared" si="216"/>
        <v>1203</v>
      </c>
      <c r="B1204">
        <f t="shared" ca="1" si="217"/>
        <v>85</v>
      </c>
      <c r="C1204" t="str">
        <f t="shared" ca="1" si="218"/>
        <v>Male</v>
      </c>
      <c r="D1204" s="1">
        <f t="shared" ca="1" si="219"/>
        <v>45633</v>
      </c>
      <c r="E1204" s="1">
        <f t="shared" ca="1" si="220"/>
        <v>45645</v>
      </c>
      <c r="F1204" t="str">
        <f t="shared" ca="1" si="221"/>
        <v>Heart Failure</v>
      </c>
      <c r="G1204" t="str">
        <f t="shared" ca="1" si="222"/>
        <v>Medication</v>
      </c>
      <c r="H1204">
        <f t="shared" ca="1" si="223"/>
        <v>12</v>
      </c>
      <c r="I1204" t="str">
        <f t="shared" ca="1" si="224"/>
        <v>Yes</v>
      </c>
      <c r="J1204">
        <f t="shared" ca="1" si="225"/>
        <v>2</v>
      </c>
      <c r="K1204" t="str">
        <f t="shared" ca="1" si="226"/>
        <v>Private</v>
      </c>
      <c r="L1204" t="str">
        <f t="shared" ca="1" si="227"/>
        <v>ER</v>
      </c>
    </row>
    <row r="1205" spans="1:12" x14ac:dyDescent="0.25">
      <c r="A1205">
        <f t="shared" si="216"/>
        <v>1204</v>
      </c>
      <c r="B1205">
        <f t="shared" ca="1" si="217"/>
        <v>88</v>
      </c>
      <c r="C1205" t="str">
        <f t="shared" ca="1" si="218"/>
        <v>Male</v>
      </c>
      <c r="D1205" s="1">
        <f t="shared" ca="1" si="219"/>
        <v>45356</v>
      </c>
      <c r="E1205" s="1">
        <f t="shared" ca="1" si="220"/>
        <v>45367</v>
      </c>
      <c r="F1205" t="str">
        <f t="shared" ca="1" si="221"/>
        <v>Pneumonia</v>
      </c>
      <c r="G1205" t="str">
        <f t="shared" ca="1" si="222"/>
        <v>Surgery</v>
      </c>
      <c r="H1205">
        <f t="shared" ca="1" si="223"/>
        <v>11</v>
      </c>
      <c r="I1205" t="str">
        <f t="shared" ca="1" si="224"/>
        <v>No</v>
      </c>
      <c r="J1205">
        <f t="shared" ca="1" si="225"/>
        <v>2</v>
      </c>
      <c r="K1205" t="str">
        <f t="shared" ca="1" si="226"/>
        <v>None</v>
      </c>
      <c r="L1205" t="str">
        <f t="shared" ca="1" si="227"/>
        <v>General</v>
      </c>
    </row>
    <row r="1206" spans="1:12" x14ac:dyDescent="0.25">
      <c r="A1206">
        <f t="shared" si="216"/>
        <v>1205</v>
      </c>
      <c r="B1206">
        <f t="shared" ca="1" si="217"/>
        <v>62</v>
      </c>
      <c r="C1206" t="str">
        <f t="shared" ca="1" si="218"/>
        <v>Female</v>
      </c>
      <c r="D1206" s="1">
        <f t="shared" ca="1" si="219"/>
        <v>45383</v>
      </c>
      <c r="E1206" s="1">
        <f t="shared" ca="1" si="220"/>
        <v>45387</v>
      </c>
      <c r="F1206" t="str">
        <f t="shared" ca="1" si="221"/>
        <v>Diabetes</v>
      </c>
      <c r="G1206" t="str">
        <f t="shared" ca="1" si="222"/>
        <v>Medication</v>
      </c>
      <c r="H1206">
        <f t="shared" ca="1" si="223"/>
        <v>4</v>
      </c>
      <c r="I1206" t="str">
        <f t="shared" ca="1" si="224"/>
        <v>No</v>
      </c>
      <c r="J1206">
        <f t="shared" ca="1" si="225"/>
        <v>4</v>
      </c>
      <c r="K1206" t="str">
        <f t="shared" ca="1" si="226"/>
        <v>None</v>
      </c>
      <c r="L1206" t="str">
        <f t="shared" ca="1" si="227"/>
        <v>ICU</v>
      </c>
    </row>
    <row r="1207" spans="1:12" x14ac:dyDescent="0.25">
      <c r="A1207">
        <f t="shared" si="216"/>
        <v>1206</v>
      </c>
      <c r="B1207">
        <f t="shared" ca="1" si="217"/>
        <v>71</v>
      </c>
      <c r="C1207" t="str">
        <f t="shared" ca="1" si="218"/>
        <v>Male</v>
      </c>
      <c r="D1207" s="1">
        <f t="shared" ca="1" si="219"/>
        <v>45473</v>
      </c>
      <c r="E1207" s="1">
        <f t="shared" ca="1" si="220"/>
        <v>45480</v>
      </c>
      <c r="F1207" t="str">
        <f t="shared" ca="1" si="221"/>
        <v>Stroke</v>
      </c>
      <c r="G1207" t="str">
        <f t="shared" ca="1" si="222"/>
        <v>Therapy</v>
      </c>
      <c r="H1207">
        <f t="shared" ca="1" si="223"/>
        <v>7</v>
      </c>
      <c r="I1207" t="str">
        <f t="shared" ca="1" si="224"/>
        <v>No</v>
      </c>
      <c r="J1207">
        <f t="shared" ca="1" si="225"/>
        <v>3</v>
      </c>
      <c r="K1207" t="str">
        <f t="shared" ca="1" si="226"/>
        <v>None</v>
      </c>
      <c r="L1207" t="str">
        <f t="shared" ca="1" si="227"/>
        <v>ER</v>
      </c>
    </row>
    <row r="1208" spans="1:12" x14ac:dyDescent="0.25">
      <c r="A1208">
        <f t="shared" si="216"/>
        <v>1207</v>
      </c>
      <c r="B1208">
        <f t="shared" ca="1" si="217"/>
        <v>63</v>
      </c>
      <c r="C1208" t="str">
        <f t="shared" ca="1" si="218"/>
        <v>Female</v>
      </c>
      <c r="D1208" s="1">
        <f t="shared" ca="1" si="219"/>
        <v>45428</v>
      </c>
      <c r="E1208" s="1">
        <f t="shared" ca="1" si="220"/>
        <v>45435</v>
      </c>
      <c r="F1208" t="str">
        <f t="shared" ca="1" si="221"/>
        <v>Stroke</v>
      </c>
      <c r="G1208" t="str">
        <f t="shared" ca="1" si="222"/>
        <v>Therapy</v>
      </c>
      <c r="H1208">
        <f t="shared" ca="1" si="223"/>
        <v>7</v>
      </c>
      <c r="I1208" t="str">
        <f t="shared" ca="1" si="224"/>
        <v>No</v>
      </c>
      <c r="J1208">
        <f t="shared" ca="1" si="225"/>
        <v>1</v>
      </c>
      <c r="K1208" t="str">
        <f t="shared" ca="1" si="226"/>
        <v>None</v>
      </c>
      <c r="L1208" t="str">
        <f t="shared" ca="1" si="227"/>
        <v>ER</v>
      </c>
    </row>
    <row r="1209" spans="1:12" x14ac:dyDescent="0.25">
      <c r="A1209">
        <f t="shared" si="216"/>
        <v>1208</v>
      </c>
      <c r="B1209">
        <f t="shared" ca="1" si="217"/>
        <v>65</v>
      </c>
      <c r="C1209" t="str">
        <f t="shared" ca="1" si="218"/>
        <v>Female</v>
      </c>
      <c r="D1209" s="1">
        <f t="shared" ca="1" si="219"/>
        <v>45465</v>
      </c>
      <c r="E1209" s="1">
        <f t="shared" ca="1" si="220"/>
        <v>45467</v>
      </c>
      <c r="F1209" t="str">
        <f t="shared" ca="1" si="221"/>
        <v>Pneumonia</v>
      </c>
      <c r="G1209" t="str">
        <f t="shared" ca="1" si="222"/>
        <v>Medication</v>
      </c>
      <c r="H1209">
        <f t="shared" ca="1" si="223"/>
        <v>2</v>
      </c>
      <c r="I1209" t="str">
        <f t="shared" ca="1" si="224"/>
        <v>Yes</v>
      </c>
      <c r="J1209">
        <f t="shared" ca="1" si="225"/>
        <v>2</v>
      </c>
      <c r="K1209" t="str">
        <f t="shared" ca="1" si="226"/>
        <v>Private</v>
      </c>
      <c r="L1209" t="str">
        <f t="shared" ca="1" si="227"/>
        <v>ER</v>
      </c>
    </row>
    <row r="1210" spans="1:12" x14ac:dyDescent="0.25">
      <c r="A1210">
        <f t="shared" si="216"/>
        <v>1209</v>
      </c>
      <c r="B1210">
        <f t="shared" ca="1" si="217"/>
        <v>76</v>
      </c>
      <c r="C1210" t="str">
        <f t="shared" ca="1" si="218"/>
        <v>Female</v>
      </c>
      <c r="D1210" s="1">
        <f t="shared" ca="1" si="219"/>
        <v>45605</v>
      </c>
      <c r="E1210" s="1">
        <f t="shared" ca="1" si="220"/>
        <v>45620</v>
      </c>
      <c r="F1210" t="str">
        <f t="shared" ca="1" si="221"/>
        <v>Heart Failure</v>
      </c>
      <c r="G1210" t="str">
        <f t="shared" ca="1" si="222"/>
        <v>Surgery</v>
      </c>
      <c r="H1210">
        <f t="shared" ca="1" si="223"/>
        <v>15</v>
      </c>
      <c r="I1210" t="str">
        <f t="shared" ca="1" si="224"/>
        <v>No</v>
      </c>
      <c r="J1210">
        <f t="shared" ca="1" si="225"/>
        <v>1</v>
      </c>
      <c r="K1210" t="str">
        <f t="shared" ca="1" si="226"/>
        <v>Public</v>
      </c>
      <c r="L1210" t="str">
        <f t="shared" ca="1" si="227"/>
        <v>General</v>
      </c>
    </row>
    <row r="1211" spans="1:12" x14ac:dyDescent="0.25">
      <c r="A1211">
        <f t="shared" si="216"/>
        <v>1210</v>
      </c>
      <c r="B1211">
        <f t="shared" ca="1" si="217"/>
        <v>68</v>
      </c>
      <c r="C1211" t="str">
        <f t="shared" ca="1" si="218"/>
        <v>Male</v>
      </c>
      <c r="D1211" s="1">
        <f t="shared" ca="1" si="219"/>
        <v>45348</v>
      </c>
      <c r="E1211" s="1">
        <f t="shared" ca="1" si="220"/>
        <v>45353</v>
      </c>
      <c r="F1211" t="str">
        <f t="shared" ca="1" si="221"/>
        <v>Pneumonia</v>
      </c>
      <c r="G1211" t="str">
        <f t="shared" ca="1" si="222"/>
        <v>Medication</v>
      </c>
      <c r="H1211">
        <f t="shared" ca="1" si="223"/>
        <v>5</v>
      </c>
      <c r="I1211" t="str">
        <f t="shared" ca="1" si="224"/>
        <v>No</v>
      </c>
      <c r="J1211">
        <f t="shared" ca="1" si="225"/>
        <v>0</v>
      </c>
      <c r="K1211" t="str">
        <f t="shared" ca="1" si="226"/>
        <v>Public</v>
      </c>
      <c r="L1211" t="str">
        <f t="shared" ca="1" si="227"/>
        <v>ICU</v>
      </c>
    </row>
    <row r="1212" spans="1:12" x14ac:dyDescent="0.25">
      <c r="A1212">
        <f t="shared" si="216"/>
        <v>1211</v>
      </c>
      <c r="B1212">
        <f t="shared" ca="1" si="217"/>
        <v>70</v>
      </c>
      <c r="C1212" t="str">
        <f t="shared" ca="1" si="218"/>
        <v>Female</v>
      </c>
      <c r="D1212" s="1">
        <f t="shared" ca="1" si="219"/>
        <v>45503</v>
      </c>
      <c r="E1212" s="1">
        <f t="shared" ca="1" si="220"/>
        <v>45508</v>
      </c>
      <c r="F1212" t="str">
        <f t="shared" ca="1" si="221"/>
        <v>Stroke</v>
      </c>
      <c r="G1212" t="str">
        <f t="shared" ca="1" si="222"/>
        <v>Medication</v>
      </c>
      <c r="H1212">
        <f t="shared" ca="1" si="223"/>
        <v>5</v>
      </c>
      <c r="I1212" t="str">
        <f t="shared" ca="1" si="224"/>
        <v>No</v>
      </c>
      <c r="J1212">
        <f t="shared" ca="1" si="225"/>
        <v>1</v>
      </c>
      <c r="K1212" t="str">
        <f t="shared" ca="1" si="226"/>
        <v>Public</v>
      </c>
      <c r="L1212" t="str">
        <f t="shared" ca="1" si="227"/>
        <v>ICU</v>
      </c>
    </row>
    <row r="1213" spans="1:12" x14ac:dyDescent="0.25">
      <c r="A1213">
        <f t="shared" si="216"/>
        <v>1212</v>
      </c>
      <c r="B1213">
        <f t="shared" ca="1" si="217"/>
        <v>41</v>
      </c>
      <c r="C1213" t="str">
        <f t="shared" ca="1" si="218"/>
        <v>Male</v>
      </c>
      <c r="D1213" s="1">
        <f t="shared" ca="1" si="219"/>
        <v>45509</v>
      </c>
      <c r="E1213" s="1">
        <f t="shared" ca="1" si="220"/>
        <v>45517</v>
      </c>
      <c r="F1213" t="str">
        <f t="shared" ca="1" si="221"/>
        <v>Diabetes</v>
      </c>
      <c r="G1213" t="str">
        <f t="shared" ca="1" si="222"/>
        <v>Therapy</v>
      </c>
      <c r="H1213">
        <f t="shared" ca="1" si="223"/>
        <v>8</v>
      </c>
      <c r="I1213" t="str">
        <f t="shared" ca="1" si="224"/>
        <v>No</v>
      </c>
      <c r="J1213">
        <f t="shared" ca="1" si="225"/>
        <v>4</v>
      </c>
      <c r="K1213" t="str">
        <f t="shared" ca="1" si="226"/>
        <v>None</v>
      </c>
      <c r="L1213" t="str">
        <f t="shared" ca="1" si="227"/>
        <v>General</v>
      </c>
    </row>
    <row r="1214" spans="1:12" x14ac:dyDescent="0.25">
      <c r="A1214">
        <f t="shared" si="216"/>
        <v>1213</v>
      </c>
      <c r="B1214">
        <f t="shared" ca="1" si="217"/>
        <v>82</v>
      </c>
      <c r="C1214" t="str">
        <f t="shared" ca="1" si="218"/>
        <v>Female</v>
      </c>
      <c r="D1214" s="1">
        <f t="shared" ca="1" si="219"/>
        <v>45510</v>
      </c>
      <c r="E1214" s="1">
        <f t="shared" ca="1" si="220"/>
        <v>45516</v>
      </c>
      <c r="F1214" t="str">
        <f t="shared" ca="1" si="221"/>
        <v>Pneumonia</v>
      </c>
      <c r="G1214" t="str">
        <f t="shared" ca="1" si="222"/>
        <v>Medication</v>
      </c>
      <c r="H1214">
        <f t="shared" ca="1" si="223"/>
        <v>6</v>
      </c>
      <c r="I1214" t="str">
        <f t="shared" ca="1" si="224"/>
        <v>No</v>
      </c>
      <c r="J1214">
        <f t="shared" ca="1" si="225"/>
        <v>4</v>
      </c>
      <c r="K1214" t="str">
        <f t="shared" ca="1" si="226"/>
        <v>None</v>
      </c>
      <c r="L1214" t="str">
        <f t="shared" ca="1" si="227"/>
        <v>ER</v>
      </c>
    </row>
    <row r="1215" spans="1:12" x14ac:dyDescent="0.25">
      <c r="A1215">
        <f t="shared" si="216"/>
        <v>1214</v>
      </c>
      <c r="B1215">
        <f t="shared" ca="1" si="217"/>
        <v>23</v>
      </c>
      <c r="C1215" t="str">
        <f t="shared" ca="1" si="218"/>
        <v>Male</v>
      </c>
      <c r="D1215" s="1">
        <f t="shared" ca="1" si="219"/>
        <v>45519</v>
      </c>
      <c r="E1215" s="1">
        <f t="shared" ca="1" si="220"/>
        <v>45522</v>
      </c>
      <c r="F1215" t="str">
        <f t="shared" ca="1" si="221"/>
        <v>Heart Failure</v>
      </c>
      <c r="G1215" t="str">
        <f t="shared" ca="1" si="222"/>
        <v>Surgery</v>
      </c>
      <c r="H1215">
        <f t="shared" ca="1" si="223"/>
        <v>3</v>
      </c>
      <c r="I1215" t="str">
        <f t="shared" ca="1" si="224"/>
        <v>No</v>
      </c>
      <c r="J1215">
        <f t="shared" ca="1" si="225"/>
        <v>4</v>
      </c>
      <c r="K1215" t="str">
        <f t="shared" ca="1" si="226"/>
        <v>Public</v>
      </c>
      <c r="L1215" t="str">
        <f t="shared" ca="1" si="227"/>
        <v>Neurology</v>
      </c>
    </row>
    <row r="1216" spans="1:12" x14ac:dyDescent="0.25">
      <c r="A1216">
        <f t="shared" si="216"/>
        <v>1215</v>
      </c>
      <c r="B1216">
        <f t="shared" ca="1" si="217"/>
        <v>20</v>
      </c>
      <c r="C1216" t="str">
        <f t="shared" ca="1" si="218"/>
        <v>Female</v>
      </c>
      <c r="D1216" s="1">
        <f t="shared" ca="1" si="219"/>
        <v>45420</v>
      </c>
      <c r="E1216" s="1">
        <f t="shared" ca="1" si="220"/>
        <v>45435</v>
      </c>
      <c r="F1216" t="str">
        <f t="shared" ca="1" si="221"/>
        <v>Hypertension</v>
      </c>
      <c r="G1216" t="str">
        <f t="shared" ca="1" si="222"/>
        <v>Therapy</v>
      </c>
      <c r="H1216">
        <f t="shared" ca="1" si="223"/>
        <v>15</v>
      </c>
      <c r="I1216" t="str">
        <f t="shared" ca="1" si="224"/>
        <v>No</v>
      </c>
      <c r="J1216">
        <f t="shared" ca="1" si="225"/>
        <v>2</v>
      </c>
      <c r="K1216" t="str">
        <f t="shared" ca="1" si="226"/>
        <v>None</v>
      </c>
      <c r="L1216" t="str">
        <f t="shared" ca="1" si="227"/>
        <v>ER</v>
      </c>
    </row>
    <row r="1217" spans="1:12" x14ac:dyDescent="0.25">
      <c r="A1217">
        <f t="shared" si="216"/>
        <v>1216</v>
      </c>
      <c r="B1217">
        <f t="shared" ca="1" si="217"/>
        <v>36</v>
      </c>
      <c r="C1217" t="str">
        <f t="shared" ca="1" si="218"/>
        <v>Female</v>
      </c>
      <c r="D1217" s="1">
        <f t="shared" ca="1" si="219"/>
        <v>45591</v>
      </c>
      <c r="E1217" s="1">
        <f t="shared" ca="1" si="220"/>
        <v>45601</v>
      </c>
      <c r="F1217" t="str">
        <f t="shared" ca="1" si="221"/>
        <v>Stroke</v>
      </c>
      <c r="G1217" t="str">
        <f t="shared" ca="1" si="222"/>
        <v>Therapy</v>
      </c>
      <c r="H1217">
        <f t="shared" ca="1" si="223"/>
        <v>10</v>
      </c>
      <c r="I1217" t="str">
        <f t="shared" ca="1" si="224"/>
        <v>No</v>
      </c>
      <c r="J1217">
        <f t="shared" ca="1" si="225"/>
        <v>0</v>
      </c>
      <c r="K1217" t="str">
        <f t="shared" ca="1" si="226"/>
        <v>Public</v>
      </c>
      <c r="L1217" t="str">
        <f t="shared" ca="1" si="227"/>
        <v>General</v>
      </c>
    </row>
    <row r="1218" spans="1:12" x14ac:dyDescent="0.25">
      <c r="A1218">
        <f t="shared" si="216"/>
        <v>1217</v>
      </c>
      <c r="B1218">
        <f t="shared" ca="1" si="217"/>
        <v>76</v>
      </c>
      <c r="C1218" t="str">
        <f t="shared" ca="1" si="218"/>
        <v>Female</v>
      </c>
      <c r="D1218" s="1">
        <f t="shared" ca="1" si="219"/>
        <v>45604</v>
      </c>
      <c r="E1218" s="1">
        <f t="shared" ca="1" si="220"/>
        <v>45615</v>
      </c>
      <c r="F1218" t="str">
        <f t="shared" ca="1" si="221"/>
        <v>Stroke</v>
      </c>
      <c r="G1218" t="str">
        <f t="shared" ca="1" si="222"/>
        <v>Therapy</v>
      </c>
      <c r="H1218">
        <f t="shared" ca="1" si="223"/>
        <v>11</v>
      </c>
      <c r="I1218" t="str">
        <f t="shared" ca="1" si="224"/>
        <v>No</v>
      </c>
      <c r="J1218">
        <f t="shared" ca="1" si="225"/>
        <v>4</v>
      </c>
      <c r="K1218" t="str">
        <f t="shared" ca="1" si="226"/>
        <v>Public</v>
      </c>
      <c r="L1218" t="str">
        <f t="shared" ca="1" si="227"/>
        <v>General</v>
      </c>
    </row>
    <row r="1219" spans="1:12" x14ac:dyDescent="0.25">
      <c r="A1219">
        <f t="shared" ref="A1219:A1282" si="228">ROW() -1</f>
        <v>1218</v>
      </c>
      <c r="B1219">
        <f t="shared" ref="B1219:B1282" ca="1" si="229">RANDBETWEEN(20,90)</f>
        <v>37</v>
      </c>
      <c r="C1219" t="str">
        <f t="shared" ref="C1219:C1282" ca="1" si="230">IF(RAND()&lt;0.5,"Male","Female")</f>
        <v>Male</v>
      </c>
      <c r="D1219" s="1">
        <f t="shared" ref="D1219:D1282" ca="1" si="231">DATE(2024,1,1)+RANDBETWEEN(0,364)</f>
        <v>45412</v>
      </c>
      <c r="E1219" s="1">
        <f t="shared" ref="E1219:E1282" ca="1" si="232">D1219+RANDBETWEEN(1,15)</f>
        <v>45413</v>
      </c>
      <c r="F1219" t="str">
        <f t="shared" ref="F1219:F1282" ca="1" si="233">CHOOSE(RANDBETWEEN(1,5),"Diabetes","Heart Failure","Pneumonia","Stroke","Hypertension")</f>
        <v>Diabetes</v>
      </c>
      <c r="G1219" t="str">
        <f t="shared" ref="G1219:G1282" ca="1" si="234">CHOOSE(RANDBETWEEN(1,3),"Medication","Surgery","Therapy")</f>
        <v>Therapy</v>
      </c>
      <c r="H1219">
        <f t="shared" ref="H1219:H1282" ca="1" si="235">DATEDIF(D1219,E1219,"D")</f>
        <v>1</v>
      </c>
      <c r="I1219" t="str">
        <f t="shared" ref="I1219:I1282" ca="1" si="236">IF(RAND()&lt;0.3,"Yes","No")</f>
        <v>Yes</v>
      </c>
      <c r="J1219">
        <f t="shared" ref="J1219:J1282" ca="1" si="237">RANDBETWEEN(0,4)</f>
        <v>2</v>
      </c>
      <c r="K1219" t="str">
        <f t="shared" ref="K1219:K1282" ca="1" si="238">CHOOSE(RANDBETWEEN(1,3),"Private","Public","None")</f>
        <v>None</v>
      </c>
      <c r="L1219" t="str">
        <f t="shared" ref="L1219:L1282" ca="1" si="239">CHOOSE(RANDBETWEEN(1,5),"ER","Cardiology","Neurology","General","ICU")</f>
        <v>General</v>
      </c>
    </row>
    <row r="1220" spans="1:12" x14ac:dyDescent="0.25">
      <c r="A1220">
        <f t="shared" si="228"/>
        <v>1219</v>
      </c>
      <c r="B1220">
        <f t="shared" ca="1" si="229"/>
        <v>67</v>
      </c>
      <c r="C1220" t="str">
        <f t="shared" ca="1" si="230"/>
        <v>Female</v>
      </c>
      <c r="D1220" s="1">
        <f t="shared" ca="1" si="231"/>
        <v>45339</v>
      </c>
      <c r="E1220" s="1">
        <f t="shared" ca="1" si="232"/>
        <v>45354</v>
      </c>
      <c r="F1220" t="str">
        <f t="shared" ca="1" si="233"/>
        <v>Heart Failure</v>
      </c>
      <c r="G1220" t="str">
        <f t="shared" ca="1" si="234"/>
        <v>Surgery</v>
      </c>
      <c r="H1220">
        <f t="shared" ca="1" si="235"/>
        <v>15</v>
      </c>
      <c r="I1220" t="str">
        <f t="shared" ca="1" si="236"/>
        <v>Yes</v>
      </c>
      <c r="J1220">
        <f t="shared" ca="1" si="237"/>
        <v>0</v>
      </c>
      <c r="K1220" t="str">
        <f t="shared" ca="1" si="238"/>
        <v>Private</v>
      </c>
      <c r="L1220" t="str">
        <f t="shared" ca="1" si="239"/>
        <v>Neurology</v>
      </c>
    </row>
    <row r="1221" spans="1:12" x14ac:dyDescent="0.25">
      <c r="A1221">
        <f t="shared" si="228"/>
        <v>1220</v>
      </c>
      <c r="B1221">
        <f t="shared" ca="1" si="229"/>
        <v>36</v>
      </c>
      <c r="C1221" t="str">
        <f t="shared" ca="1" si="230"/>
        <v>Male</v>
      </c>
      <c r="D1221" s="1">
        <f t="shared" ca="1" si="231"/>
        <v>45582</v>
      </c>
      <c r="E1221" s="1">
        <f t="shared" ca="1" si="232"/>
        <v>45596</v>
      </c>
      <c r="F1221" t="str">
        <f t="shared" ca="1" si="233"/>
        <v>Heart Failure</v>
      </c>
      <c r="G1221" t="str">
        <f t="shared" ca="1" si="234"/>
        <v>Therapy</v>
      </c>
      <c r="H1221">
        <f t="shared" ca="1" si="235"/>
        <v>14</v>
      </c>
      <c r="I1221" t="str">
        <f t="shared" ca="1" si="236"/>
        <v>No</v>
      </c>
      <c r="J1221">
        <f t="shared" ca="1" si="237"/>
        <v>3</v>
      </c>
      <c r="K1221" t="str">
        <f t="shared" ca="1" si="238"/>
        <v>None</v>
      </c>
      <c r="L1221" t="str">
        <f t="shared" ca="1" si="239"/>
        <v>General</v>
      </c>
    </row>
    <row r="1222" spans="1:12" x14ac:dyDescent="0.25">
      <c r="A1222">
        <f t="shared" si="228"/>
        <v>1221</v>
      </c>
      <c r="B1222">
        <f t="shared" ca="1" si="229"/>
        <v>60</v>
      </c>
      <c r="C1222" t="str">
        <f t="shared" ca="1" si="230"/>
        <v>Male</v>
      </c>
      <c r="D1222" s="1">
        <f t="shared" ca="1" si="231"/>
        <v>45299</v>
      </c>
      <c r="E1222" s="1">
        <f t="shared" ca="1" si="232"/>
        <v>45311</v>
      </c>
      <c r="F1222" t="str">
        <f t="shared" ca="1" si="233"/>
        <v>Diabetes</v>
      </c>
      <c r="G1222" t="str">
        <f t="shared" ca="1" si="234"/>
        <v>Therapy</v>
      </c>
      <c r="H1222">
        <f t="shared" ca="1" si="235"/>
        <v>12</v>
      </c>
      <c r="I1222" t="str">
        <f t="shared" ca="1" si="236"/>
        <v>Yes</v>
      </c>
      <c r="J1222">
        <f t="shared" ca="1" si="237"/>
        <v>0</v>
      </c>
      <c r="K1222" t="str">
        <f t="shared" ca="1" si="238"/>
        <v>None</v>
      </c>
      <c r="L1222" t="str">
        <f t="shared" ca="1" si="239"/>
        <v>General</v>
      </c>
    </row>
    <row r="1223" spans="1:12" x14ac:dyDescent="0.25">
      <c r="A1223">
        <f t="shared" si="228"/>
        <v>1222</v>
      </c>
      <c r="B1223">
        <f t="shared" ca="1" si="229"/>
        <v>55</v>
      </c>
      <c r="C1223" t="str">
        <f t="shared" ca="1" si="230"/>
        <v>Female</v>
      </c>
      <c r="D1223" s="1">
        <f t="shared" ca="1" si="231"/>
        <v>45318</v>
      </c>
      <c r="E1223" s="1">
        <f t="shared" ca="1" si="232"/>
        <v>45322</v>
      </c>
      <c r="F1223" t="str">
        <f t="shared" ca="1" si="233"/>
        <v>Stroke</v>
      </c>
      <c r="G1223" t="str">
        <f t="shared" ca="1" si="234"/>
        <v>Therapy</v>
      </c>
      <c r="H1223">
        <f t="shared" ca="1" si="235"/>
        <v>4</v>
      </c>
      <c r="I1223" t="str">
        <f t="shared" ca="1" si="236"/>
        <v>No</v>
      </c>
      <c r="J1223">
        <f t="shared" ca="1" si="237"/>
        <v>2</v>
      </c>
      <c r="K1223" t="str">
        <f t="shared" ca="1" si="238"/>
        <v>Private</v>
      </c>
      <c r="L1223" t="str">
        <f t="shared" ca="1" si="239"/>
        <v>General</v>
      </c>
    </row>
    <row r="1224" spans="1:12" x14ac:dyDescent="0.25">
      <c r="A1224">
        <f t="shared" si="228"/>
        <v>1223</v>
      </c>
      <c r="B1224">
        <f t="shared" ca="1" si="229"/>
        <v>33</v>
      </c>
      <c r="C1224" t="str">
        <f t="shared" ca="1" si="230"/>
        <v>Female</v>
      </c>
      <c r="D1224" s="1">
        <f t="shared" ca="1" si="231"/>
        <v>45490</v>
      </c>
      <c r="E1224" s="1">
        <f t="shared" ca="1" si="232"/>
        <v>45504</v>
      </c>
      <c r="F1224" t="str">
        <f t="shared" ca="1" si="233"/>
        <v>Hypertension</v>
      </c>
      <c r="G1224" t="str">
        <f t="shared" ca="1" si="234"/>
        <v>Surgery</v>
      </c>
      <c r="H1224">
        <f t="shared" ca="1" si="235"/>
        <v>14</v>
      </c>
      <c r="I1224" t="str">
        <f t="shared" ca="1" si="236"/>
        <v>Yes</v>
      </c>
      <c r="J1224">
        <f t="shared" ca="1" si="237"/>
        <v>4</v>
      </c>
      <c r="K1224" t="str">
        <f t="shared" ca="1" si="238"/>
        <v>None</v>
      </c>
      <c r="L1224" t="str">
        <f t="shared" ca="1" si="239"/>
        <v>Cardiology</v>
      </c>
    </row>
    <row r="1225" spans="1:12" x14ac:dyDescent="0.25">
      <c r="A1225">
        <f t="shared" si="228"/>
        <v>1224</v>
      </c>
      <c r="B1225">
        <f t="shared" ca="1" si="229"/>
        <v>45</v>
      </c>
      <c r="C1225" t="str">
        <f t="shared" ca="1" si="230"/>
        <v>Male</v>
      </c>
      <c r="D1225" s="1">
        <f t="shared" ca="1" si="231"/>
        <v>45594</v>
      </c>
      <c r="E1225" s="1">
        <f t="shared" ca="1" si="232"/>
        <v>45609</v>
      </c>
      <c r="F1225" t="str">
        <f t="shared" ca="1" si="233"/>
        <v>Hypertension</v>
      </c>
      <c r="G1225" t="str">
        <f t="shared" ca="1" si="234"/>
        <v>Medication</v>
      </c>
      <c r="H1225">
        <f t="shared" ca="1" si="235"/>
        <v>15</v>
      </c>
      <c r="I1225" t="str">
        <f t="shared" ca="1" si="236"/>
        <v>No</v>
      </c>
      <c r="J1225">
        <f t="shared" ca="1" si="237"/>
        <v>4</v>
      </c>
      <c r="K1225" t="str">
        <f t="shared" ca="1" si="238"/>
        <v>Public</v>
      </c>
      <c r="L1225" t="str">
        <f t="shared" ca="1" si="239"/>
        <v>ER</v>
      </c>
    </row>
    <row r="1226" spans="1:12" x14ac:dyDescent="0.25">
      <c r="A1226">
        <f t="shared" si="228"/>
        <v>1225</v>
      </c>
      <c r="B1226">
        <f t="shared" ca="1" si="229"/>
        <v>60</v>
      </c>
      <c r="C1226" t="str">
        <f t="shared" ca="1" si="230"/>
        <v>Male</v>
      </c>
      <c r="D1226" s="1">
        <f t="shared" ca="1" si="231"/>
        <v>45359</v>
      </c>
      <c r="E1226" s="1">
        <f t="shared" ca="1" si="232"/>
        <v>45360</v>
      </c>
      <c r="F1226" t="str">
        <f t="shared" ca="1" si="233"/>
        <v>Heart Failure</v>
      </c>
      <c r="G1226" t="str">
        <f t="shared" ca="1" si="234"/>
        <v>Surgery</v>
      </c>
      <c r="H1226">
        <f t="shared" ca="1" si="235"/>
        <v>1</v>
      </c>
      <c r="I1226" t="str">
        <f t="shared" ca="1" si="236"/>
        <v>No</v>
      </c>
      <c r="J1226">
        <f t="shared" ca="1" si="237"/>
        <v>2</v>
      </c>
      <c r="K1226" t="str">
        <f t="shared" ca="1" si="238"/>
        <v>Public</v>
      </c>
      <c r="L1226" t="str">
        <f t="shared" ca="1" si="239"/>
        <v>Neurology</v>
      </c>
    </row>
    <row r="1227" spans="1:12" x14ac:dyDescent="0.25">
      <c r="A1227">
        <f t="shared" si="228"/>
        <v>1226</v>
      </c>
      <c r="B1227">
        <f t="shared" ca="1" si="229"/>
        <v>78</v>
      </c>
      <c r="C1227" t="str">
        <f t="shared" ca="1" si="230"/>
        <v>Female</v>
      </c>
      <c r="D1227" s="1">
        <f t="shared" ca="1" si="231"/>
        <v>45297</v>
      </c>
      <c r="E1227" s="1">
        <f t="shared" ca="1" si="232"/>
        <v>45298</v>
      </c>
      <c r="F1227" t="str">
        <f t="shared" ca="1" si="233"/>
        <v>Pneumonia</v>
      </c>
      <c r="G1227" t="str">
        <f t="shared" ca="1" si="234"/>
        <v>Therapy</v>
      </c>
      <c r="H1227">
        <f t="shared" ca="1" si="235"/>
        <v>1</v>
      </c>
      <c r="I1227" t="str">
        <f t="shared" ca="1" si="236"/>
        <v>No</v>
      </c>
      <c r="J1227">
        <f t="shared" ca="1" si="237"/>
        <v>4</v>
      </c>
      <c r="K1227" t="str">
        <f t="shared" ca="1" si="238"/>
        <v>Private</v>
      </c>
      <c r="L1227" t="str">
        <f t="shared" ca="1" si="239"/>
        <v>ER</v>
      </c>
    </row>
    <row r="1228" spans="1:12" x14ac:dyDescent="0.25">
      <c r="A1228">
        <f t="shared" si="228"/>
        <v>1227</v>
      </c>
      <c r="B1228">
        <f t="shared" ca="1" si="229"/>
        <v>41</v>
      </c>
      <c r="C1228" t="str">
        <f t="shared" ca="1" si="230"/>
        <v>Male</v>
      </c>
      <c r="D1228" s="1">
        <f t="shared" ca="1" si="231"/>
        <v>45475</v>
      </c>
      <c r="E1228" s="1">
        <f t="shared" ca="1" si="232"/>
        <v>45485</v>
      </c>
      <c r="F1228" t="str">
        <f t="shared" ca="1" si="233"/>
        <v>Heart Failure</v>
      </c>
      <c r="G1228" t="str">
        <f t="shared" ca="1" si="234"/>
        <v>Medication</v>
      </c>
      <c r="H1228">
        <f t="shared" ca="1" si="235"/>
        <v>10</v>
      </c>
      <c r="I1228" t="str">
        <f t="shared" ca="1" si="236"/>
        <v>No</v>
      </c>
      <c r="J1228">
        <f t="shared" ca="1" si="237"/>
        <v>0</v>
      </c>
      <c r="K1228" t="str">
        <f t="shared" ca="1" si="238"/>
        <v>None</v>
      </c>
      <c r="L1228" t="str">
        <f t="shared" ca="1" si="239"/>
        <v>ER</v>
      </c>
    </row>
    <row r="1229" spans="1:12" x14ac:dyDescent="0.25">
      <c r="A1229">
        <f t="shared" si="228"/>
        <v>1228</v>
      </c>
      <c r="B1229">
        <f t="shared" ca="1" si="229"/>
        <v>87</v>
      </c>
      <c r="C1229" t="str">
        <f t="shared" ca="1" si="230"/>
        <v>Female</v>
      </c>
      <c r="D1229" s="1">
        <f t="shared" ca="1" si="231"/>
        <v>45312</v>
      </c>
      <c r="E1229" s="1">
        <f t="shared" ca="1" si="232"/>
        <v>45327</v>
      </c>
      <c r="F1229" t="str">
        <f t="shared" ca="1" si="233"/>
        <v>Hypertension</v>
      </c>
      <c r="G1229" t="str">
        <f t="shared" ca="1" si="234"/>
        <v>Medication</v>
      </c>
      <c r="H1229">
        <f t="shared" ca="1" si="235"/>
        <v>15</v>
      </c>
      <c r="I1229" t="str">
        <f t="shared" ca="1" si="236"/>
        <v>No</v>
      </c>
      <c r="J1229">
        <f t="shared" ca="1" si="237"/>
        <v>3</v>
      </c>
      <c r="K1229" t="str">
        <f t="shared" ca="1" si="238"/>
        <v>Private</v>
      </c>
      <c r="L1229" t="str">
        <f t="shared" ca="1" si="239"/>
        <v>General</v>
      </c>
    </row>
    <row r="1230" spans="1:12" x14ac:dyDescent="0.25">
      <c r="A1230">
        <f t="shared" si="228"/>
        <v>1229</v>
      </c>
      <c r="B1230">
        <f t="shared" ca="1" si="229"/>
        <v>79</v>
      </c>
      <c r="C1230" t="str">
        <f t="shared" ca="1" si="230"/>
        <v>Female</v>
      </c>
      <c r="D1230" s="1">
        <f t="shared" ca="1" si="231"/>
        <v>45499</v>
      </c>
      <c r="E1230" s="1">
        <f t="shared" ca="1" si="232"/>
        <v>45508</v>
      </c>
      <c r="F1230" t="str">
        <f t="shared" ca="1" si="233"/>
        <v>Hypertension</v>
      </c>
      <c r="G1230" t="str">
        <f t="shared" ca="1" si="234"/>
        <v>Medication</v>
      </c>
      <c r="H1230">
        <f t="shared" ca="1" si="235"/>
        <v>9</v>
      </c>
      <c r="I1230" t="str">
        <f t="shared" ca="1" si="236"/>
        <v>No</v>
      </c>
      <c r="J1230">
        <f t="shared" ca="1" si="237"/>
        <v>0</v>
      </c>
      <c r="K1230" t="str">
        <f t="shared" ca="1" si="238"/>
        <v>Public</v>
      </c>
      <c r="L1230" t="str">
        <f t="shared" ca="1" si="239"/>
        <v>General</v>
      </c>
    </row>
    <row r="1231" spans="1:12" x14ac:dyDescent="0.25">
      <c r="A1231">
        <f t="shared" si="228"/>
        <v>1230</v>
      </c>
      <c r="B1231">
        <f t="shared" ca="1" si="229"/>
        <v>75</v>
      </c>
      <c r="C1231" t="str">
        <f t="shared" ca="1" si="230"/>
        <v>Male</v>
      </c>
      <c r="D1231" s="1">
        <f t="shared" ca="1" si="231"/>
        <v>45648</v>
      </c>
      <c r="E1231" s="1">
        <f t="shared" ca="1" si="232"/>
        <v>45656</v>
      </c>
      <c r="F1231" t="str">
        <f t="shared" ca="1" si="233"/>
        <v>Heart Failure</v>
      </c>
      <c r="G1231" t="str">
        <f t="shared" ca="1" si="234"/>
        <v>Therapy</v>
      </c>
      <c r="H1231">
        <f t="shared" ca="1" si="235"/>
        <v>8</v>
      </c>
      <c r="I1231" t="str">
        <f t="shared" ca="1" si="236"/>
        <v>No</v>
      </c>
      <c r="J1231">
        <f t="shared" ca="1" si="237"/>
        <v>4</v>
      </c>
      <c r="K1231" t="str">
        <f t="shared" ca="1" si="238"/>
        <v>None</v>
      </c>
      <c r="L1231" t="str">
        <f t="shared" ca="1" si="239"/>
        <v>ER</v>
      </c>
    </row>
    <row r="1232" spans="1:12" x14ac:dyDescent="0.25">
      <c r="A1232">
        <f t="shared" si="228"/>
        <v>1231</v>
      </c>
      <c r="B1232">
        <f t="shared" ca="1" si="229"/>
        <v>22</v>
      </c>
      <c r="C1232" t="str">
        <f t="shared" ca="1" si="230"/>
        <v>Female</v>
      </c>
      <c r="D1232" s="1">
        <f t="shared" ca="1" si="231"/>
        <v>45520</v>
      </c>
      <c r="E1232" s="1">
        <f t="shared" ca="1" si="232"/>
        <v>45526</v>
      </c>
      <c r="F1232" t="str">
        <f t="shared" ca="1" si="233"/>
        <v>Diabetes</v>
      </c>
      <c r="G1232" t="str">
        <f t="shared" ca="1" si="234"/>
        <v>Medication</v>
      </c>
      <c r="H1232">
        <f t="shared" ca="1" si="235"/>
        <v>6</v>
      </c>
      <c r="I1232" t="str">
        <f t="shared" ca="1" si="236"/>
        <v>No</v>
      </c>
      <c r="J1232">
        <f t="shared" ca="1" si="237"/>
        <v>4</v>
      </c>
      <c r="K1232" t="str">
        <f t="shared" ca="1" si="238"/>
        <v>Private</v>
      </c>
      <c r="L1232" t="str">
        <f t="shared" ca="1" si="239"/>
        <v>Neurology</v>
      </c>
    </row>
    <row r="1233" spans="1:12" x14ac:dyDescent="0.25">
      <c r="A1233">
        <f t="shared" si="228"/>
        <v>1232</v>
      </c>
      <c r="B1233">
        <f t="shared" ca="1" si="229"/>
        <v>85</v>
      </c>
      <c r="C1233" t="str">
        <f t="shared" ca="1" si="230"/>
        <v>Male</v>
      </c>
      <c r="D1233" s="1">
        <f t="shared" ca="1" si="231"/>
        <v>45595</v>
      </c>
      <c r="E1233" s="1">
        <f t="shared" ca="1" si="232"/>
        <v>45596</v>
      </c>
      <c r="F1233" t="str">
        <f t="shared" ca="1" si="233"/>
        <v>Heart Failure</v>
      </c>
      <c r="G1233" t="str">
        <f t="shared" ca="1" si="234"/>
        <v>Surgery</v>
      </c>
      <c r="H1233">
        <f t="shared" ca="1" si="235"/>
        <v>1</v>
      </c>
      <c r="I1233" t="str">
        <f t="shared" ca="1" si="236"/>
        <v>No</v>
      </c>
      <c r="J1233">
        <f t="shared" ca="1" si="237"/>
        <v>2</v>
      </c>
      <c r="K1233" t="str">
        <f t="shared" ca="1" si="238"/>
        <v>Private</v>
      </c>
      <c r="L1233" t="str">
        <f t="shared" ca="1" si="239"/>
        <v>Cardiology</v>
      </c>
    </row>
    <row r="1234" spans="1:12" x14ac:dyDescent="0.25">
      <c r="A1234">
        <f t="shared" si="228"/>
        <v>1233</v>
      </c>
      <c r="B1234">
        <f t="shared" ca="1" si="229"/>
        <v>49</v>
      </c>
      <c r="C1234" t="str">
        <f t="shared" ca="1" si="230"/>
        <v>Female</v>
      </c>
      <c r="D1234" s="1">
        <f t="shared" ca="1" si="231"/>
        <v>45493</v>
      </c>
      <c r="E1234" s="1">
        <f t="shared" ca="1" si="232"/>
        <v>45506</v>
      </c>
      <c r="F1234" t="str">
        <f t="shared" ca="1" si="233"/>
        <v>Hypertension</v>
      </c>
      <c r="G1234" t="str">
        <f t="shared" ca="1" si="234"/>
        <v>Surgery</v>
      </c>
      <c r="H1234">
        <f t="shared" ca="1" si="235"/>
        <v>13</v>
      </c>
      <c r="I1234" t="str">
        <f t="shared" ca="1" si="236"/>
        <v>No</v>
      </c>
      <c r="J1234">
        <f t="shared" ca="1" si="237"/>
        <v>3</v>
      </c>
      <c r="K1234" t="str">
        <f t="shared" ca="1" si="238"/>
        <v>None</v>
      </c>
      <c r="L1234" t="str">
        <f t="shared" ca="1" si="239"/>
        <v>Neurology</v>
      </c>
    </row>
    <row r="1235" spans="1:12" x14ac:dyDescent="0.25">
      <c r="A1235">
        <f t="shared" si="228"/>
        <v>1234</v>
      </c>
      <c r="B1235">
        <f t="shared" ca="1" si="229"/>
        <v>27</v>
      </c>
      <c r="C1235" t="str">
        <f t="shared" ca="1" si="230"/>
        <v>Female</v>
      </c>
      <c r="D1235" s="1">
        <f t="shared" ca="1" si="231"/>
        <v>45412</v>
      </c>
      <c r="E1235" s="1">
        <f t="shared" ca="1" si="232"/>
        <v>45418</v>
      </c>
      <c r="F1235" t="str">
        <f t="shared" ca="1" si="233"/>
        <v>Stroke</v>
      </c>
      <c r="G1235" t="str">
        <f t="shared" ca="1" si="234"/>
        <v>Therapy</v>
      </c>
      <c r="H1235">
        <f t="shared" ca="1" si="235"/>
        <v>6</v>
      </c>
      <c r="I1235" t="str">
        <f t="shared" ca="1" si="236"/>
        <v>No</v>
      </c>
      <c r="J1235">
        <f t="shared" ca="1" si="237"/>
        <v>3</v>
      </c>
      <c r="K1235" t="str">
        <f t="shared" ca="1" si="238"/>
        <v>Private</v>
      </c>
      <c r="L1235" t="str">
        <f t="shared" ca="1" si="239"/>
        <v>ICU</v>
      </c>
    </row>
    <row r="1236" spans="1:12" x14ac:dyDescent="0.25">
      <c r="A1236">
        <f t="shared" si="228"/>
        <v>1235</v>
      </c>
      <c r="B1236">
        <f t="shared" ca="1" si="229"/>
        <v>70</v>
      </c>
      <c r="C1236" t="str">
        <f t="shared" ca="1" si="230"/>
        <v>Female</v>
      </c>
      <c r="D1236" s="1">
        <f t="shared" ca="1" si="231"/>
        <v>45488</v>
      </c>
      <c r="E1236" s="1">
        <f t="shared" ca="1" si="232"/>
        <v>45494</v>
      </c>
      <c r="F1236" t="str">
        <f t="shared" ca="1" si="233"/>
        <v>Diabetes</v>
      </c>
      <c r="G1236" t="str">
        <f t="shared" ca="1" si="234"/>
        <v>Therapy</v>
      </c>
      <c r="H1236">
        <f t="shared" ca="1" si="235"/>
        <v>6</v>
      </c>
      <c r="I1236" t="str">
        <f t="shared" ca="1" si="236"/>
        <v>Yes</v>
      </c>
      <c r="J1236">
        <f t="shared" ca="1" si="237"/>
        <v>3</v>
      </c>
      <c r="K1236" t="str">
        <f t="shared" ca="1" si="238"/>
        <v>Private</v>
      </c>
      <c r="L1236" t="str">
        <f t="shared" ca="1" si="239"/>
        <v>ER</v>
      </c>
    </row>
    <row r="1237" spans="1:12" x14ac:dyDescent="0.25">
      <c r="A1237">
        <f t="shared" si="228"/>
        <v>1236</v>
      </c>
      <c r="B1237">
        <f t="shared" ca="1" si="229"/>
        <v>73</v>
      </c>
      <c r="C1237" t="str">
        <f t="shared" ca="1" si="230"/>
        <v>Male</v>
      </c>
      <c r="D1237" s="1">
        <f t="shared" ca="1" si="231"/>
        <v>45541</v>
      </c>
      <c r="E1237" s="1">
        <f t="shared" ca="1" si="232"/>
        <v>45549</v>
      </c>
      <c r="F1237" t="str">
        <f t="shared" ca="1" si="233"/>
        <v>Heart Failure</v>
      </c>
      <c r="G1237" t="str">
        <f t="shared" ca="1" si="234"/>
        <v>Medication</v>
      </c>
      <c r="H1237">
        <f t="shared" ca="1" si="235"/>
        <v>8</v>
      </c>
      <c r="I1237" t="str">
        <f t="shared" ca="1" si="236"/>
        <v>No</v>
      </c>
      <c r="J1237">
        <f t="shared" ca="1" si="237"/>
        <v>4</v>
      </c>
      <c r="K1237" t="str">
        <f t="shared" ca="1" si="238"/>
        <v>Private</v>
      </c>
      <c r="L1237" t="str">
        <f t="shared" ca="1" si="239"/>
        <v>Neurology</v>
      </c>
    </row>
    <row r="1238" spans="1:12" x14ac:dyDescent="0.25">
      <c r="A1238">
        <f t="shared" si="228"/>
        <v>1237</v>
      </c>
      <c r="B1238">
        <f t="shared" ca="1" si="229"/>
        <v>87</v>
      </c>
      <c r="C1238" t="str">
        <f t="shared" ca="1" si="230"/>
        <v>Female</v>
      </c>
      <c r="D1238" s="1">
        <f t="shared" ca="1" si="231"/>
        <v>45544</v>
      </c>
      <c r="E1238" s="1">
        <f t="shared" ca="1" si="232"/>
        <v>45550</v>
      </c>
      <c r="F1238" t="str">
        <f t="shared" ca="1" si="233"/>
        <v>Pneumonia</v>
      </c>
      <c r="G1238" t="str">
        <f t="shared" ca="1" si="234"/>
        <v>Medication</v>
      </c>
      <c r="H1238">
        <f t="shared" ca="1" si="235"/>
        <v>6</v>
      </c>
      <c r="I1238" t="str">
        <f t="shared" ca="1" si="236"/>
        <v>No</v>
      </c>
      <c r="J1238">
        <f t="shared" ca="1" si="237"/>
        <v>3</v>
      </c>
      <c r="K1238" t="str">
        <f t="shared" ca="1" si="238"/>
        <v>None</v>
      </c>
      <c r="L1238" t="str">
        <f t="shared" ca="1" si="239"/>
        <v>General</v>
      </c>
    </row>
    <row r="1239" spans="1:12" x14ac:dyDescent="0.25">
      <c r="A1239">
        <f t="shared" si="228"/>
        <v>1238</v>
      </c>
      <c r="B1239">
        <f t="shared" ca="1" si="229"/>
        <v>78</v>
      </c>
      <c r="C1239" t="str">
        <f t="shared" ca="1" si="230"/>
        <v>Female</v>
      </c>
      <c r="D1239" s="1">
        <f t="shared" ca="1" si="231"/>
        <v>45609</v>
      </c>
      <c r="E1239" s="1">
        <f t="shared" ca="1" si="232"/>
        <v>45623</v>
      </c>
      <c r="F1239" t="str">
        <f t="shared" ca="1" si="233"/>
        <v>Pneumonia</v>
      </c>
      <c r="G1239" t="str">
        <f t="shared" ca="1" si="234"/>
        <v>Medication</v>
      </c>
      <c r="H1239">
        <f t="shared" ca="1" si="235"/>
        <v>14</v>
      </c>
      <c r="I1239" t="str">
        <f t="shared" ca="1" si="236"/>
        <v>No</v>
      </c>
      <c r="J1239">
        <f t="shared" ca="1" si="237"/>
        <v>3</v>
      </c>
      <c r="K1239" t="str">
        <f t="shared" ca="1" si="238"/>
        <v>Private</v>
      </c>
      <c r="L1239" t="str">
        <f t="shared" ca="1" si="239"/>
        <v>ICU</v>
      </c>
    </row>
    <row r="1240" spans="1:12" x14ac:dyDescent="0.25">
      <c r="A1240">
        <f t="shared" si="228"/>
        <v>1239</v>
      </c>
      <c r="B1240">
        <f t="shared" ca="1" si="229"/>
        <v>84</v>
      </c>
      <c r="C1240" t="str">
        <f t="shared" ca="1" si="230"/>
        <v>Male</v>
      </c>
      <c r="D1240" s="1">
        <f t="shared" ca="1" si="231"/>
        <v>45537</v>
      </c>
      <c r="E1240" s="1">
        <f t="shared" ca="1" si="232"/>
        <v>45549</v>
      </c>
      <c r="F1240" t="str">
        <f t="shared" ca="1" si="233"/>
        <v>Hypertension</v>
      </c>
      <c r="G1240" t="str">
        <f t="shared" ca="1" si="234"/>
        <v>Surgery</v>
      </c>
      <c r="H1240">
        <f t="shared" ca="1" si="235"/>
        <v>12</v>
      </c>
      <c r="I1240" t="str">
        <f t="shared" ca="1" si="236"/>
        <v>Yes</v>
      </c>
      <c r="J1240">
        <f t="shared" ca="1" si="237"/>
        <v>4</v>
      </c>
      <c r="K1240" t="str">
        <f t="shared" ca="1" si="238"/>
        <v>None</v>
      </c>
      <c r="L1240" t="str">
        <f t="shared" ca="1" si="239"/>
        <v>Cardiology</v>
      </c>
    </row>
    <row r="1241" spans="1:12" x14ac:dyDescent="0.25">
      <c r="A1241">
        <f t="shared" si="228"/>
        <v>1240</v>
      </c>
      <c r="B1241">
        <f t="shared" ca="1" si="229"/>
        <v>62</v>
      </c>
      <c r="C1241" t="str">
        <f t="shared" ca="1" si="230"/>
        <v>Male</v>
      </c>
      <c r="D1241" s="1">
        <f t="shared" ca="1" si="231"/>
        <v>45621</v>
      </c>
      <c r="E1241" s="1">
        <f t="shared" ca="1" si="232"/>
        <v>45629</v>
      </c>
      <c r="F1241" t="str">
        <f t="shared" ca="1" si="233"/>
        <v>Pneumonia</v>
      </c>
      <c r="G1241" t="str">
        <f t="shared" ca="1" si="234"/>
        <v>Therapy</v>
      </c>
      <c r="H1241">
        <f t="shared" ca="1" si="235"/>
        <v>8</v>
      </c>
      <c r="I1241" t="str">
        <f t="shared" ca="1" si="236"/>
        <v>Yes</v>
      </c>
      <c r="J1241">
        <f t="shared" ca="1" si="237"/>
        <v>3</v>
      </c>
      <c r="K1241" t="str">
        <f t="shared" ca="1" si="238"/>
        <v>Private</v>
      </c>
      <c r="L1241" t="str">
        <f t="shared" ca="1" si="239"/>
        <v>General</v>
      </c>
    </row>
    <row r="1242" spans="1:12" x14ac:dyDescent="0.25">
      <c r="A1242">
        <f t="shared" si="228"/>
        <v>1241</v>
      </c>
      <c r="B1242">
        <f t="shared" ca="1" si="229"/>
        <v>42</v>
      </c>
      <c r="C1242" t="str">
        <f t="shared" ca="1" si="230"/>
        <v>Male</v>
      </c>
      <c r="D1242" s="1">
        <f t="shared" ca="1" si="231"/>
        <v>45500</v>
      </c>
      <c r="E1242" s="1">
        <f t="shared" ca="1" si="232"/>
        <v>45507</v>
      </c>
      <c r="F1242" t="str">
        <f t="shared" ca="1" si="233"/>
        <v>Stroke</v>
      </c>
      <c r="G1242" t="str">
        <f t="shared" ca="1" si="234"/>
        <v>Therapy</v>
      </c>
      <c r="H1242">
        <f t="shared" ca="1" si="235"/>
        <v>7</v>
      </c>
      <c r="I1242" t="str">
        <f t="shared" ca="1" si="236"/>
        <v>No</v>
      </c>
      <c r="J1242">
        <f t="shared" ca="1" si="237"/>
        <v>4</v>
      </c>
      <c r="K1242" t="str">
        <f t="shared" ca="1" si="238"/>
        <v>Private</v>
      </c>
      <c r="L1242" t="str">
        <f t="shared" ca="1" si="239"/>
        <v>ICU</v>
      </c>
    </row>
    <row r="1243" spans="1:12" x14ac:dyDescent="0.25">
      <c r="A1243">
        <f t="shared" si="228"/>
        <v>1242</v>
      </c>
      <c r="B1243">
        <f t="shared" ca="1" si="229"/>
        <v>74</v>
      </c>
      <c r="C1243" t="str">
        <f t="shared" ca="1" si="230"/>
        <v>Female</v>
      </c>
      <c r="D1243" s="1">
        <f t="shared" ca="1" si="231"/>
        <v>45345</v>
      </c>
      <c r="E1243" s="1">
        <f t="shared" ca="1" si="232"/>
        <v>45353</v>
      </c>
      <c r="F1243" t="str">
        <f t="shared" ca="1" si="233"/>
        <v>Stroke</v>
      </c>
      <c r="G1243" t="str">
        <f t="shared" ca="1" si="234"/>
        <v>Surgery</v>
      </c>
      <c r="H1243">
        <f t="shared" ca="1" si="235"/>
        <v>8</v>
      </c>
      <c r="I1243" t="str">
        <f t="shared" ca="1" si="236"/>
        <v>No</v>
      </c>
      <c r="J1243">
        <f t="shared" ca="1" si="237"/>
        <v>4</v>
      </c>
      <c r="K1243" t="str">
        <f t="shared" ca="1" si="238"/>
        <v>Private</v>
      </c>
      <c r="L1243" t="str">
        <f t="shared" ca="1" si="239"/>
        <v>ER</v>
      </c>
    </row>
    <row r="1244" spans="1:12" x14ac:dyDescent="0.25">
      <c r="A1244">
        <f t="shared" si="228"/>
        <v>1243</v>
      </c>
      <c r="B1244">
        <f t="shared" ca="1" si="229"/>
        <v>84</v>
      </c>
      <c r="C1244" t="str">
        <f t="shared" ca="1" si="230"/>
        <v>Female</v>
      </c>
      <c r="D1244" s="1">
        <f t="shared" ca="1" si="231"/>
        <v>45550</v>
      </c>
      <c r="E1244" s="1">
        <f t="shared" ca="1" si="232"/>
        <v>45556</v>
      </c>
      <c r="F1244" t="str">
        <f t="shared" ca="1" si="233"/>
        <v>Heart Failure</v>
      </c>
      <c r="G1244" t="str">
        <f t="shared" ca="1" si="234"/>
        <v>Medication</v>
      </c>
      <c r="H1244">
        <f t="shared" ca="1" si="235"/>
        <v>6</v>
      </c>
      <c r="I1244" t="str">
        <f t="shared" ca="1" si="236"/>
        <v>No</v>
      </c>
      <c r="J1244">
        <f t="shared" ca="1" si="237"/>
        <v>0</v>
      </c>
      <c r="K1244" t="str">
        <f t="shared" ca="1" si="238"/>
        <v>None</v>
      </c>
      <c r="L1244" t="str">
        <f t="shared" ca="1" si="239"/>
        <v>Cardiology</v>
      </c>
    </row>
    <row r="1245" spans="1:12" x14ac:dyDescent="0.25">
      <c r="A1245">
        <f t="shared" si="228"/>
        <v>1244</v>
      </c>
      <c r="B1245">
        <f t="shared" ca="1" si="229"/>
        <v>65</v>
      </c>
      <c r="C1245" t="str">
        <f t="shared" ca="1" si="230"/>
        <v>Female</v>
      </c>
      <c r="D1245" s="1">
        <f t="shared" ca="1" si="231"/>
        <v>45633</v>
      </c>
      <c r="E1245" s="1">
        <f t="shared" ca="1" si="232"/>
        <v>45648</v>
      </c>
      <c r="F1245" t="str">
        <f t="shared" ca="1" si="233"/>
        <v>Diabetes</v>
      </c>
      <c r="G1245" t="str">
        <f t="shared" ca="1" si="234"/>
        <v>Surgery</v>
      </c>
      <c r="H1245">
        <f t="shared" ca="1" si="235"/>
        <v>15</v>
      </c>
      <c r="I1245" t="str">
        <f t="shared" ca="1" si="236"/>
        <v>Yes</v>
      </c>
      <c r="J1245">
        <f t="shared" ca="1" si="237"/>
        <v>0</v>
      </c>
      <c r="K1245" t="str">
        <f t="shared" ca="1" si="238"/>
        <v>Private</v>
      </c>
      <c r="L1245" t="str">
        <f t="shared" ca="1" si="239"/>
        <v>ER</v>
      </c>
    </row>
    <row r="1246" spans="1:12" x14ac:dyDescent="0.25">
      <c r="A1246">
        <f t="shared" si="228"/>
        <v>1245</v>
      </c>
      <c r="B1246">
        <f t="shared" ca="1" si="229"/>
        <v>43</v>
      </c>
      <c r="C1246" t="str">
        <f t="shared" ca="1" si="230"/>
        <v>Male</v>
      </c>
      <c r="D1246" s="1">
        <f t="shared" ca="1" si="231"/>
        <v>45303</v>
      </c>
      <c r="E1246" s="1">
        <f t="shared" ca="1" si="232"/>
        <v>45317</v>
      </c>
      <c r="F1246" t="str">
        <f t="shared" ca="1" si="233"/>
        <v>Heart Failure</v>
      </c>
      <c r="G1246" t="str">
        <f t="shared" ca="1" si="234"/>
        <v>Surgery</v>
      </c>
      <c r="H1246">
        <f t="shared" ca="1" si="235"/>
        <v>14</v>
      </c>
      <c r="I1246" t="str">
        <f t="shared" ca="1" si="236"/>
        <v>Yes</v>
      </c>
      <c r="J1246">
        <f t="shared" ca="1" si="237"/>
        <v>0</v>
      </c>
      <c r="K1246" t="str">
        <f t="shared" ca="1" si="238"/>
        <v>Public</v>
      </c>
      <c r="L1246" t="str">
        <f t="shared" ca="1" si="239"/>
        <v>Cardiology</v>
      </c>
    </row>
    <row r="1247" spans="1:12" x14ac:dyDescent="0.25">
      <c r="A1247">
        <f t="shared" si="228"/>
        <v>1246</v>
      </c>
      <c r="B1247">
        <f t="shared" ca="1" si="229"/>
        <v>48</v>
      </c>
      <c r="C1247" t="str">
        <f t="shared" ca="1" si="230"/>
        <v>Male</v>
      </c>
      <c r="D1247" s="1">
        <f t="shared" ca="1" si="231"/>
        <v>45579</v>
      </c>
      <c r="E1247" s="1">
        <f t="shared" ca="1" si="232"/>
        <v>45580</v>
      </c>
      <c r="F1247" t="str">
        <f t="shared" ca="1" si="233"/>
        <v>Diabetes</v>
      </c>
      <c r="G1247" t="str">
        <f t="shared" ca="1" si="234"/>
        <v>Medication</v>
      </c>
      <c r="H1247">
        <f t="shared" ca="1" si="235"/>
        <v>1</v>
      </c>
      <c r="I1247" t="str">
        <f t="shared" ca="1" si="236"/>
        <v>Yes</v>
      </c>
      <c r="J1247">
        <f t="shared" ca="1" si="237"/>
        <v>3</v>
      </c>
      <c r="K1247" t="str">
        <f t="shared" ca="1" si="238"/>
        <v>Private</v>
      </c>
      <c r="L1247" t="str">
        <f t="shared" ca="1" si="239"/>
        <v>Neurology</v>
      </c>
    </row>
    <row r="1248" spans="1:12" x14ac:dyDescent="0.25">
      <c r="A1248">
        <f t="shared" si="228"/>
        <v>1247</v>
      </c>
      <c r="B1248">
        <f t="shared" ca="1" si="229"/>
        <v>27</v>
      </c>
      <c r="C1248" t="str">
        <f t="shared" ca="1" si="230"/>
        <v>Male</v>
      </c>
      <c r="D1248" s="1">
        <f t="shared" ca="1" si="231"/>
        <v>45603</v>
      </c>
      <c r="E1248" s="1">
        <f t="shared" ca="1" si="232"/>
        <v>45608</v>
      </c>
      <c r="F1248" t="str">
        <f t="shared" ca="1" si="233"/>
        <v>Stroke</v>
      </c>
      <c r="G1248" t="str">
        <f t="shared" ca="1" si="234"/>
        <v>Medication</v>
      </c>
      <c r="H1248">
        <f t="shared" ca="1" si="235"/>
        <v>5</v>
      </c>
      <c r="I1248" t="str">
        <f t="shared" ca="1" si="236"/>
        <v>No</v>
      </c>
      <c r="J1248">
        <f t="shared" ca="1" si="237"/>
        <v>1</v>
      </c>
      <c r="K1248" t="str">
        <f t="shared" ca="1" si="238"/>
        <v>Public</v>
      </c>
      <c r="L1248" t="str">
        <f t="shared" ca="1" si="239"/>
        <v>Cardiology</v>
      </c>
    </row>
    <row r="1249" spans="1:12" x14ac:dyDescent="0.25">
      <c r="A1249">
        <f t="shared" si="228"/>
        <v>1248</v>
      </c>
      <c r="B1249">
        <f t="shared" ca="1" si="229"/>
        <v>86</v>
      </c>
      <c r="C1249" t="str">
        <f t="shared" ca="1" si="230"/>
        <v>Male</v>
      </c>
      <c r="D1249" s="1">
        <f t="shared" ca="1" si="231"/>
        <v>45329</v>
      </c>
      <c r="E1249" s="1">
        <f t="shared" ca="1" si="232"/>
        <v>45338</v>
      </c>
      <c r="F1249" t="str">
        <f t="shared" ca="1" si="233"/>
        <v>Pneumonia</v>
      </c>
      <c r="G1249" t="str">
        <f t="shared" ca="1" si="234"/>
        <v>Medication</v>
      </c>
      <c r="H1249">
        <f t="shared" ca="1" si="235"/>
        <v>9</v>
      </c>
      <c r="I1249" t="str">
        <f t="shared" ca="1" si="236"/>
        <v>Yes</v>
      </c>
      <c r="J1249">
        <f t="shared" ca="1" si="237"/>
        <v>3</v>
      </c>
      <c r="K1249" t="str">
        <f t="shared" ca="1" si="238"/>
        <v>None</v>
      </c>
      <c r="L1249" t="str">
        <f t="shared" ca="1" si="239"/>
        <v>Cardiology</v>
      </c>
    </row>
    <row r="1250" spans="1:12" x14ac:dyDescent="0.25">
      <c r="A1250">
        <f t="shared" si="228"/>
        <v>1249</v>
      </c>
      <c r="B1250">
        <f t="shared" ca="1" si="229"/>
        <v>31</v>
      </c>
      <c r="C1250" t="str">
        <f t="shared" ca="1" si="230"/>
        <v>Male</v>
      </c>
      <c r="D1250" s="1">
        <f t="shared" ca="1" si="231"/>
        <v>45457</v>
      </c>
      <c r="E1250" s="1">
        <f t="shared" ca="1" si="232"/>
        <v>45458</v>
      </c>
      <c r="F1250" t="str">
        <f t="shared" ca="1" si="233"/>
        <v>Heart Failure</v>
      </c>
      <c r="G1250" t="str">
        <f t="shared" ca="1" si="234"/>
        <v>Medication</v>
      </c>
      <c r="H1250">
        <f t="shared" ca="1" si="235"/>
        <v>1</v>
      </c>
      <c r="I1250" t="str">
        <f t="shared" ca="1" si="236"/>
        <v>Yes</v>
      </c>
      <c r="J1250">
        <f t="shared" ca="1" si="237"/>
        <v>2</v>
      </c>
      <c r="K1250" t="str">
        <f t="shared" ca="1" si="238"/>
        <v>None</v>
      </c>
      <c r="L1250" t="str">
        <f t="shared" ca="1" si="239"/>
        <v>ER</v>
      </c>
    </row>
    <row r="1251" spans="1:12" x14ac:dyDescent="0.25">
      <c r="A1251">
        <f t="shared" si="228"/>
        <v>1250</v>
      </c>
      <c r="B1251">
        <f t="shared" ca="1" si="229"/>
        <v>37</v>
      </c>
      <c r="C1251" t="str">
        <f t="shared" ca="1" si="230"/>
        <v>Female</v>
      </c>
      <c r="D1251" s="1">
        <f t="shared" ca="1" si="231"/>
        <v>45374</v>
      </c>
      <c r="E1251" s="1">
        <f t="shared" ca="1" si="232"/>
        <v>45377</v>
      </c>
      <c r="F1251" t="str">
        <f t="shared" ca="1" si="233"/>
        <v>Heart Failure</v>
      </c>
      <c r="G1251" t="str">
        <f t="shared" ca="1" si="234"/>
        <v>Therapy</v>
      </c>
      <c r="H1251">
        <f t="shared" ca="1" si="235"/>
        <v>3</v>
      </c>
      <c r="I1251" t="str">
        <f t="shared" ca="1" si="236"/>
        <v>No</v>
      </c>
      <c r="J1251">
        <f t="shared" ca="1" si="237"/>
        <v>2</v>
      </c>
      <c r="K1251" t="str">
        <f t="shared" ca="1" si="238"/>
        <v>Private</v>
      </c>
      <c r="L1251" t="str">
        <f t="shared" ca="1" si="239"/>
        <v>Neurology</v>
      </c>
    </row>
    <row r="1252" spans="1:12" x14ac:dyDescent="0.25">
      <c r="A1252">
        <f t="shared" si="228"/>
        <v>1251</v>
      </c>
      <c r="B1252">
        <f t="shared" ca="1" si="229"/>
        <v>41</v>
      </c>
      <c r="C1252" t="str">
        <f t="shared" ca="1" si="230"/>
        <v>Female</v>
      </c>
      <c r="D1252" s="1">
        <f t="shared" ca="1" si="231"/>
        <v>45570</v>
      </c>
      <c r="E1252" s="1">
        <f t="shared" ca="1" si="232"/>
        <v>45581</v>
      </c>
      <c r="F1252" t="str">
        <f t="shared" ca="1" si="233"/>
        <v>Hypertension</v>
      </c>
      <c r="G1252" t="str">
        <f t="shared" ca="1" si="234"/>
        <v>Therapy</v>
      </c>
      <c r="H1252">
        <f t="shared" ca="1" si="235"/>
        <v>11</v>
      </c>
      <c r="I1252" t="str">
        <f t="shared" ca="1" si="236"/>
        <v>No</v>
      </c>
      <c r="J1252">
        <f t="shared" ca="1" si="237"/>
        <v>4</v>
      </c>
      <c r="K1252" t="str">
        <f t="shared" ca="1" si="238"/>
        <v>Private</v>
      </c>
      <c r="L1252" t="str">
        <f t="shared" ca="1" si="239"/>
        <v>Cardiology</v>
      </c>
    </row>
    <row r="1253" spans="1:12" x14ac:dyDescent="0.25">
      <c r="A1253">
        <f t="shared" si="228"/>
        <v>1252</v>
      </c>
      <c r="B1253">
        <f t="shared" ca="1" si="229"/>
        <v>69</v>
      </c>
      <c r="C1253" t="str">
        <f t="shared" ca="1" si="230"/>
        <v>Female</v>
      </c>
      <c r="D1253" s="1">
        <f t="shared" ca="1" si="231"/>
        <v>45470</v>
      </c>
      <c r="E1253" s="1">
        <f t="shared" ca="1" si="232"/>
        <v>45485</v>
      </c>
      <c r="F1253" t="str">
        <f t="shared" ca="1" si="233"/>
        <v>Heart Failure</v>
      </c>
      <c r="G1253" t="str">
        <f t="shared" ca="1" si="234"/>
        <v>Medication</v>
      </c>
      <c r="H1253">
        <f t="shared" ca="1" si="235"/>
        <v>15</v>
      </c>
      <c r="I1253" t="str">
        <f t="shared" ca="1" si="236"/>
        <v>Yes</v>
      </c>
      <c r="J1253">
        <f t="shared" ca="1" si="237"/>
        <v>2</v>
      </c>
      <c r="K1253" t="str">
        <f t="shared" ca="1" si="238"/>
        <v>Private</v>
      </c>
      <c r="L1253" t="str">
        <f t="shared" ca="1" si="239"/>
        <v>General</v>
      </c>
    </row>
    <row r="1254" spans="1:12" x14ac:dyDescent="0.25">
      <c r="A1254">
        <f t="shared" si="228"/>
        <v>1253</v>
      </c>
      <c r="B1254">
        <f t="shared" ca="1" si="229"/>
        <v>52</v>
      </c>
      <c r="C1254" t="str">
        <f t="shared" ca="1" si="230"/>
        <v>Male</v>
      </c>
      <c r="D1254" s="1">
        <f t="shared" ca="1" si="231"/>
        <v>45608</v>
      </c>
      <c r="E1254" s="1">
        <f t="shared" ca="1" si="232"/>
        <v>45623</v>
      </c>
      <c r="F1254" t="str">
        <f t="shared" ca="1" si="233"/>
        <v>Pneumonia</v>
      </c>
      <c r="G1254" t="str">
        <f t="shared" ca="1" si="234"/>
        <v>Medication</v>
      </c>
      <c r="H1254">
        <f t="shared" ca="1" si="235"/>
        <v>15</v>
      </c>
      <c r="I1254" t="str">
        <f t="shared" ca="1" si="236"/>
        <v>No</v>
      </c>
      <c r="J1254">
        <f t="shared" ca="1" si="237"/>
        <v>1</v>
      </c>
      <c r="K1254" t="str">
        <f t="shared" ca="1" si="238"/>
        <v>Private</v>
      </c>
      <c r="L1254" t="str">
        <f t="shared" ca="1" si="239"/>
        <v>General</v>
      </c>
    </row>
    <row r="1255" spans="1:12" x14ac:dyDescent="0.25">
      <c r="A1255">
        <f t="shared" si="228"/>
        <v>1254</v>
      </c>
      <c r="B1255">
        <f t="shared" ca="1" si="229"/>
        <v>30</v>
      </c>
      <c r="C1255" t="str">
        <f t="shared" ca="1" si="230"/>
        <v>Male</v>
      </c>
      <c r="D1255" s="1">
        <f t="shared" ca="1" si="231"/>
        <v>45559</v>
      </c>
      <c r="E1255" s="1">
        <f t="shared" ca="1" si="232"/>
        <v>45570</v>
      </c>
      <c r="F1255" t="str">
        <f t="shared" ca="1" si="233"/>
        <v>Heart Failure</v>
      </c>
      <c r="G1255" t="str">
        <f t="shared" ca="1" si="234"/>
        <v>Surgery</v>
      </c>
      <c r="H1255">
        <f t="shared" ca="1" si="235"/>
        <v>11</v>
      </c>
      <c r="I1255" t="str">
        <f t="shared" ca="1" si="236"/>
        <v>Yes</v>
      </c>
      <c r="J1255">
        <f t="shared" ca="1" si="237"/>
        <v>0</v>
      </c>
      <c r="K1255" t="str">
        <f t="shared" ca="1" si="238"/>
        <v>Private</v>
      </c>
      <c r="L1255" t="str">
        <f t="shared" ca="1" si="239"/>
        <v>ICU</v>
      </c>
    </row>
    <row r="1256" spans="1:12" x14ac:dyDescent="0.25">
      <c r="A1256">
        <f t="shared" si="228"/>
        <v>1255</v>
      </c>
      <c r="B1256">
        <f t="shared" ca="1" si="229"/>
        <v>50</v>
      </c>
      <c r="C1256" t="str">
        <f t="shared" ca="1" si="230"/>
        <v>Female</v>
      </c>
      <c r="D1256" s="1">
        <f t="shared" ca="1" si="231"/>
        <v>45556</v>
      </c>
      <c r="E1256" s="1">
        <f t="shared" ca="1" si="232"/>
        <v>45568</v>
      </c>
      <c r="F1256" t="str">
        <f t="shared" ca="1" si="233"/>
        <v>Diabetes</v>
      </c>
      <c r="G1256" t="str">
        <f t="shared" ca="1" si="234"/>
        <v>Medication</v>
      </c>
      <c r="H1256">
        <f t="shared" ca="1" si="235"/>
        <v>12</v>
      </c>
      <c r="I1256" t="str">
        <f t="shared" ca="1" si="236"/>
        <v>No</v>
      </c>
      <c r="J1256">
        <f t="shared" ca="1" si="237"/>
        <v>0</v>
      </c>
      <c r="K1256" t="str">
        <f t="shared" ca="1" si="238"/>
        <v>Private</v>
      </c>
      <c r="L1256" t="str">
        <f t="shared" ca="1" si="239"/>
        <v>Cardiology</v>
      </c>
    </row>
    <row r="1257" spans="1:12" x14ac:dyDescent="0.25">
      <c r="A1257">
        <f t="shared" si="228"/>
        <v>1256</v>
      </c>
      <c r="B1257">
        <f t="shared" ca="1" si="229"/>
        <v>67</v>
      </c>
      <c r="C1257" t="str">
        <f t="shared" ca="1" si="230"/>
        <v>Male</v>
      </c>
      <c r="D1257" s="1">
        <f t="shared" ca="1" si="231"/>
        <v>45303</v>
      </c>
      <c r="E1257" s="1">
        <f t="shared" ca="1" si="232"/>
        <v>45305</v>
      </c>
      <c r="F1257" t="str">
        <f t="shared" ca="1" si="233"/>
        <v>Hypertension</v>
      </c>
      <c r="G1257" t="str">
        <f t="shared" ca="1" si="234"/>
        <v>Therapy</v>
      </c>
      <c r="H1257">
        <f t="shared" ca="1" si="235"/>
        <v>2</v>
      </c>
      <c r="I1257" t="str">
        <f t="shared" ca="1" si="236"/>
        <v>No</v>
      </c>
      <c r="J1257">
        <f t="shared" ca="1" si="237"/>
        <v>0</v>
      </c>
      <c r="K1257" t="str">
        <f t="shared" ca="1" si="238"/>
        <v>Private</v>
      </c>
      <c r="L1257" t="str">
        <f t="shared" ca="1" si="239"/>
        <v>Cardiology</v>
      </c>
    </row>
    <row r="1258" spans="1:12" x14ac:dyDescent="0.25">
      <c r="A1258">
        <f t="shared" si="228"/>
        <v>1257</v>
      </c>
      <c r="B1258">
        <f t="shared" ca="1" si="229"/>
        <v>56</v>
      </c>
      <c r="C1258" t="str">
        <f t="shared" ca="1" si="230"/>
        <v>Male</v>
      </c>
      <c r="D1258" s="1">
        <f t="shared" ca="1" si="231"/>
        <v>45349</v>
      </c>
      <c r="E1258" s="1">
        <f t="shared" ca="1" si="232"/>
        <v>45358</v>
      </c>
      <c r="F1258" t="str">
        <f t="shared" ca="1" si="233"/>
        <v>Hypertension</v>
      </c>
      <c r="G1258" t="str">
        <f t="shared" ca="1" si="234"/>
        <v>Medication</v>
      </c>
      <c r="H1258">
        <f t="shared" ca="1" si="235"/>
        <v>9</v>
      </c>
      <c r="I1258" t="str">
        <f t="shared" ca="1" si="236"/>
        <v>No</v>
      </c>
      <c r="J1258">
        <f t="shared" ca="1" si="237"/>
        <v>2</v>
      </c>
      <c r="K1258" t="str">
        <f t="shared" ca="1" si="238"/>
        <v>None</v>
      </c>
      <c r="L1258" t="str">
        <f t="shared" ca="1" si="239"/>
        <v>Cardiology</v>
      </c>
    </row>
    <row r="1259" spans="1:12" x14ac:dyDescent="0.25">
      <c r="A1259">
        <f t="shared" si="228"/>
        <v>1258</v>
      </c>
      <c r="B1259">
        <f t="shared" ca="1" si="229"/>
        <v>26</v>
      </c>
      <c r="C1259" t="str">
        <f t="shared" ca="1" si="230"/>
        <v>Male</v>
      </c>
      <c r="D1259" s="1">
        <f t="shared" ca="1" si="231"/>
        <v>45385</v>
      </c>
      <c r="E1259" s="1">
        <f t="shared" ca="1" si="232"/>
        <v>45392</v>
      </c>
      <c r="F1259" t="str">
        <f t="shared" ca="1" si="233"/>
        <v>Stroke</v>
      </c>
      <c r="G1259" t="str">
        <f t="shared" ca="1" si="234"/>
        <v>Therapy</v>
      </c>
      <c r="H1259">
        <f t="shared" ca="1" si="235"/>
        <v>7</v>
      </c>
      <c r="I1259" t="str">
        <f t="shared" ca="1" si="236"/>
        <v>No</v>
      </c>
      <c r="J1259">
        <f t="shared" ca="1" si="237"/>
        <v>3</v>
      </c>
      <c r="K1259" t="str">
        <f t="shared" ca="1" si="238"/>
        <v>Private</v>
      </c>
      <c r="L1259" t="str">
        <f t="shared" ca="1" si="239"/>
        <v>Neurology</v>
      </c>
    </row>
    <row r="1260" spans="1:12" x14ac:dyDescent="0.25">
      <c r="A1260">
        <f t="shared" si="228"/>
        <v>1259</v>
      </c>
      <c r="B1260">
        <f t="shared" ca="1" si="229"/>
        <v>59</v>
      </c>
      <c r="C1260" t="str">
        <f t="shared" ca="1" si="230"/>
        <v>Male</v>
      </c>
      <c r="D1260" s="1">
        <f t="shared" ca="1" si="231"/>
        <v>45458</v>
      </c>
      <c r="E1260" s="1">
        <f t="shared" ca="1" si="232"/>
        <v>45465</v>
      </c>
      <c r="F1260" t="str">
        <f t="shared" ca="1" si="233"/>
        <v>Heart Failure</v>
      </c>
      <c r="G1260" t="str">
        <f t="shared" ca="1" si="234"/>
        <v>Therapy</v>
      </c>
      <c r="H1260">
        <f t="shared" ca="1" si="235"/>
        <v>7</v>
      </c>
      <c r="I1260" t="str">
        <f t="shared" ca="1" si="236"/>
        <v>Yes</v>
      </c>
      <c r="J1260">
        <f t="shared" ca="1" si="237"/>
        <v>0</v>
      </c>
      <c r="K1260" t="str">
        <f t="shared" ca="1" si="238"/>
        <v>None</v>
      </c>
      <c r="L1260" t="str">
        <f t="shared" ca="1" si="239"/>
        <v>ER</v>
      </c>
    </row>
    <row r="1261" spans="1:12" x14ac:dyDescent="0.25">
      <c r="A1261">
        <f t="shared" si="228"/>
        <v>1260</v>
      </c>
      <c r="B1261">
        <f t="shared" ca="1" si="229"/>
        <v>27</v>
      </c>
      <c r="C1261" t="str">
        <f t="shared" ca="1" si="230"/>
        <v>Female</v>
      </c>
      <c r="D1261" s="1">
        <f t="shared" ca="1" si="231"/>
        <v>45573</v>
      </c>
      <c r="E1261" s="1">
        <f t="shared" ca="1" si="232"/>
        <v>45585</v>
      </c>
      <c r="F1261" t="str">
        <f t="shared" ca="1" si="233"/>
        <v>Diabetes</v>
      </c>
      <c r="G1261" t="str">
        <f t="shared" ca="1" si="234"/>
        <v>Medication</v>
      </c>
      <c r="H1261">
        <f t="shared" ca="1" si="235"/>
        <v>12</v>
      </c>
      <c r="I1261" t="str">
        <f t="shared" ca="1" si="236"/>
        <v>No</v>
      </c>
      <c r="J1261">
        <f t="shared" ca="1" si="237"/>
        <v>1</v>
      </c>
      <c r="K1261" t="str">
        <f t="shared" ca="1" si="238"/>
        <v>Private</v>
      </c>
      <c r="L1261" t="str">
        <f t="shared" ca="1" si="239"/>
        <v>Cardiology</v>
      </c>
    </row>
    <row r="1262" spans="1:12" x14ac:dyDescent="0.25">
      <c r="A1262">
        <f t="shared" si="228"/>
        <v>1261</v>
      </c>
      <c r="B1262">
        <f t="shared" ca="1" si="229"/>
        <v>37</v>
      </c>
      <c r="C1262" t="str">
        <f t="shared" ca="1" si="230"/>
        <v>Male</v>
      </c>
      <c r="D1262" s="1">
        <f t="shared" ca="1" si="231"/>
        <v>45328</v>
      </c>
      <c r="E1262" s="1">
        <f t="shared" ca="1" si="232"/>
        <v>45331</v>
      </c>
      <c r="F1262" t="str">
        <f t="shared" ca="1" si="233"/>
        <v>Heart Failure</v>
      </c>
      <c r="G1262" t="str">
        <f t="shared" ca="1" si="234"/>
        <v>Surgery</v>
      </c>
      <c r="H1262">
        <f t="shared" ca="1" si="235"/>
        <v>3</v>
      </c>
      <c r="I1262" t="str">
        <f t="shared" ca="1" si="236"/>
        <v>Yes</v>
      </c>
      <c r="J1262">
        <f t="shared" ca="1" si="237"/>
        <v>2</v>
      </c>
      <c r="K1262" t="str">
        <f t="shared" ca="1" si="238"/>
        <v>None</v>
      </c>
      <c r="L1262" t="str">
        <f t="shared" ca="1" si="239"/>
        <v>General</v>
      </c>
    </row>
    <row r="1263" spans="1:12" x14ac:dyDescent="0.25">
      <c r="A1263">
        <f t="shared" si="228"/>
        <v>1262</v>
      </c>
      <c r="B1263">
        <f t="shared" ca="1" si="229"/>
        <v>53</v>
      </c>
      <c r="C1263" t="str">
        <f t="shared" ca="1" si="230"/>
        <v>Male</v>
      </c>
      <c r="D1263" s="1">
        <f t="shared" ca="1" si="231"/>
        <v>45574</v>
      </c>
      <c r="E1263" s="1">
        <f t="shared" ca="1" si="232"/>
        <v>45588</v>
      </c>
      <c r="F1263" t="str">
        <f t="shared" ca="1" si="233"/>
        <v>Stroke</v>
      </c>
      <c r="G1263" t="str">
        <f t="shared" ca="1" si="234"/>
        <v>Surgery</v>
      </c>
      <c r="H1263">
        <f t="shared" ca="1" si="235"/>
        <v>14</v>
      </c>
      <c r="I1263" t="str">
        <f t="shared" ca="1" si="236"/>
        <v>No</v>
      </c>
      <c r="J1263">
        <f t="shared" ca="1" si="237"/>
        <v>2</v>
      </c>
      <c r="K1263" t="str">
        <f t="shared" ca="1" si="238"/>
        <v>Private</v>
      </c>
      <c r="L1263" t="str">
        <f t="shared" ca="1" si="239"/>
        <v>ICU</v>
      </c>
    </row>
    <row r="1264" spans="1:12" x14ac:dyDescent="0.25">
      <c r="A1264">
        <f t="shared" si="228"/>
        <v>1263</v>
      </c>
      <c r="B1264">
        <f t="shared" ca="1" si="229"/>
        <v>62</v>
      </c>
      <c r="C1264" t="str">
        <f t="shared" ca="1" si="230"/>
        <v>Male</v>
      </c>
      <c r="D1264" s="1">
        <f t="shared" ca="1" si="231"/>
        <v>45558</v>
      </c>
      <c r="E1264" s="1">
        <f t="shared" ca="1" si="232"/>
        <v>45561</v>
      </c>
      <c r="F1264" t="str">
        <f t="shared" ca="1" si="233"/>
        <v>Heart Failure</v>
      </c>
      <c r="G1264" t="str">
        <f t="shared" ca="1" si="234"/>
        <v>Surgery</v>
      </c>
      <c r="H1264">
        <f t="shared" ca="1" si="235"/>
        <v>3</v>
      </c>
      <c r="I1264" t="str">
        <f t="shared" ca="1" si="236"/>
        <v>No</v>
      </c>
      <c r="J1264">
        <f t="shared" ca="1" si="237"/>
        <v>2</v>
      </c>
      <c r="K1264" t="str">
        <f t="shared" ca="1" si="238"/>
        <v>Private</v>
      </c>
      <c r="L1264" t="str">
        <f t="shared" ca="1" si="239"/>
        <v>Neurology</v>
      </c>
    </row>
    <row r="1265" spans="1:12" x14ac:dyDescent="0.25">
      <c r="A1265">
        <f t="shared" si="228"/>
        <v>1264</v>
      </c>
      <c r="B1265">
        <f t="shared" ca="1" si="229"/>
        <v>43</v>
      </c>
      <c r="C1265" t="str">
        <f t="shared" ca="1" si="230"/>
        <v>Female</v>
      </c>
      <c r="D1265" s="1">
        <f t="shared" ca="1" si="231"/>
        <v>45309</v>
      </c>
      <c r="E1265" s="1">
        <f t="shared" ca="1" si="232"/>
        <v>45316</v>
      </c>
      <c r="F1265" t="str">
        <f t="shared" ca="1" si="233"/>
        <v>Stroke</v>
      </c>
      <c r="G1265" t="str">
        <f t="shared" ca="1" si="234"/>
        <v>Medication</v>
      </c>
      <c r="H1265">
        <f t="shared" ca="1" si="235"/>
        <v>7</v>
      </c>
      <c r="I1265" t="str">
        <f t="shared" ca="1" si="236"/>
        <v>No</v>
      </c>
      <c r="J1265">
        <f t="shared" ca="1" si="237"/>
        <v>4</v>
      </c>
      <c r="K1265" t="str">
        <f t="shared" ca="1" si="238"/>
        <v>Public</v>
      </c>
      <c r="L1265" t="str">
        <f t="shared" ca="1" si="239"/>
        <v>Cardiology</v>
      </c>
    </row>
    <row r="1266" spans="1:12" x14ac:dyDescent="0.25">
      <c r="A1266">
        <f t="shared" si="228"/>
        <v>1265</v>
      </c>
      <c r="B1266">
        <f t="shared" ca="1" si="229"/>
        <v>59</v>
      </c>
      <c r="C1266" t="str">
        <f t="shared" ca="1" si="230"/>
        <v>Male</v>
      </c>
      <c r="D1266" s="1">
        <f t="shared" ca="1" si="231"/>
        <v>45414</v>
      </c>
      <c r="E1266" s="1">
        <f t="shared" ca="1" si="232"/>
        <v>45425</v>
      </c>
      <c r="F1266" t="str">
        <f t="shared" ca="1" si="233"/>
        <v>Heart Failure</v>
      </c>
      <c r="G1266" t="str">
        <f t="shared" ca="1" si="234"/>
        <v>Medication</v>
      </c>
      <c r="H1266">
        <f t="shared" ca="1" si="235"/>
        <v>11</v>
      </c>
      <c r="I1266" t="str">
        <f t="shared" ca="1" si="236"/>
        <v>Yes</v>
      </c>
      <c r="J1266">
        <f t="shared" ca="1" si="237"/>
        <v>1</v>
      </c>
      <c r="K1266" t="str">
        <f t="shared" ca="1" si="238"/>
        <v>Public</v>
      </c>
      <c r="L1266" t="str">
        <f t="shared" ca="1" si="239"/>
        <v>General</v>
      </c>
    </row>
    <row r="1267" spans="1:12" x14ac:dyDescent="0.25">
      <c r="A1267">
        <f t="shared" si="228"/>
        <v>1266</v>
      </c>
      <c r="B1267">
        <f t="shared" ca="1" si="229"/>
        <v>25</v>
      </c>
      <c r="C1267" t="str">
        <f t="shared" ca="1" si="230"/>
        <v>Male</v>
      </c>
      <c r="D1267" s="1">
        <f t="shared" ca="1" si="231"/>
        <v>45377</v>
      </c>
      <c r="E1267" s="1">
        <f t="shared" ca="1" si="232"/>
        <v>45392</v>
      </c>
      <c r="F1267" t="str">
        <f t="shared" ca="1" si="233"/>
        <v>Pneumonia</v>
      </c>
      <c r="G1267" t="str">
        <f t="shared" ca="1" si="234"/>
        <v>Surgery</v>
      </c>
      <c r="H1267">
        <f t="shared" ca="1" si="235"/>
        <v>15</v>
      </c>
      <c r="I1267" t="str">
        <f t="shared" ca="1" si="236"/>
        <v>No</v>
      </c>
      <c r="J1267">
        <f t="shared" ca="1" si="237"/>
        <v>4</v>
      </c>
      <c r="K1267" t="str">
        <f t="shared" ca="1" si="238"/>
        <v>Public</v>
      </c>
      <c r="L1267" t="str">
        <f t="shared" ca="1" si="239"/>
        <v>ICU</v>
      </c>
    </row>
    <row r="1268" spans="1:12" x14ac:dyDescent="0.25">
      <c r="A1268">
        <f t="shared" si="228"/>
        <v>1267</v>
      </c>
      <c r="B1268">
        <f t="shared" ca="1" si="229"/>
        <v>78</v>
      </c>
      <c r="C1268" t="str">
        <f t="shared" ca="1" si="230"/>
        <v>Female</v>
      </c>
      <c r="D1268" s="1">
        <f t="shared" ca="1" si="231"/>
        <v>45297</v>
      </c>
      <c r="E1268" s="1">
        <f t="shared" ca="1" si="232"/>
        <v>45309</v>
      </c>
      <c r="F1268" t="str">
        <f t="shared" ca="1" si="233"/>
        <v>Diabetes</v>
      </c>
      <c r="G1268" t="str">
        <f t="shared" ca="1" si="234"/>
        <v>Therapy</v>
      </c>
      <c r="H1268">
        <f t="shared" ca="1" si="235"/>
        <v>12</v>
      </c>
      <c r="I1268" t="str">
        <f t="shared" ca="1" si="236"/>
        <v>No</v>
      </c>
      <c r="J1268">
        <f t="shared" ca="1" si="237"/>
        <v>2</v>
      </c>
      <c r="K1268" t="str">
        <f t="shared" ca="1" si="238"/>
        <v>None</v>
      </c>
      <c r="L1268" t="str">
        <f t="shared" ca="1" si="239"/>
        <v>General</v>
      </c>
    </row>
    <row r="1269" spans="1:12" x14ac:dyDescent="0.25">
      <c r="A1269">
        <f t="shared" si="228"/>
        <v>1268</v>
      </c>
      <c r="B1269">
        <f t="shared" ca="1" si="229"/>
        <v>28</v>
      </c>
      <c r="C1269" t="str">
        <f t="shared" ca="1" si="230"/>
        <v>Female</v>
      </c>
      <c r="D1269" s="1">
        <f t="shared" ca="1" si="231"/>
        <v>45329</v>
      </c>
      <c r="E1269" s="1">
        <f t="shared" ca="1" si="232"/>
        <v>45338</v>
      </c>
      <c r="F1269" t="str">
        <f t="shared" ca="1" si="233"/>
        <v>Heart Failure</v>
      </c>
      <c r="G1269" t="str">
        <f t="shared" ca="1" si="234"/>
        <v>Surgery</v>
      </c>
      <c r="H1269">
        <f t="shared" ca="1" si="235"/>
        <v>9</v>
      </c>
      <c r="I1269" t="str">
        <f t="shared" ca="1" si="236"/>
        <v>Yes</v>
      </c>
      <c r="J1269">
        <f t="shared" ca="1" si="237"/>
        <v>2</v>
      </c>
      <c r="K1269" t="str">
        <f t="shared" ca="1" si="238"/>
        <v>Private</v>
      </c>
      <c r="L1269" t="str">
        <f t="shared" ca="1" si="239"/>
        <v>Cardiology</v>
      </c>
    </row>
    <row r="1270" spans="1:12" x14ac:dyDescent="0.25">
      <c r="A1270">
        <f t="shared" si="228"/>
        <v>1269</v>
      </c>
      <c r="B1270">
        <f t="shared" ca="1" si="229"/>
        <v>40</v>
      </c>
      <c r="C1270" t="str">
        <f t="shared" ca="1" si="230"/>
        <v>Female</v>
      </c>
      <c r="D1270" s="1">
        <f t="shared" ca="1" si="231"/>
        <v>45382</v>
      </c>
      <c r="E1270" s="1">
        <f t="shared" ca="1" si="232"/>
        <v>45397</v>
      </c>
      <c r="F1270" t="str">
        <f t="shared" ca="1" si="233"/>
        <v>Stroke</v>
      </c>
      <c r="G1270" t="str">
        <f t="shared" ca="1" si="234"/>
        <v>Medication</v>
      </c>
      <c r="H1270">
        <f t="shared" ca="1" si="235"/>
        <v>15</v>
      </c>
      <c r="I1270" t="str">
        <f t="shared" ca="1" si="236"/>
        <v>Yes</v>
      </c>
      <c r="J1270">
        <f t="shared" ca="1" si="237"/>
        <v>4</v>
      </c>
      <c r="K1270" t="str">
        <f t="shared" ca="1" si="238"/>
        <v>Private</v>
      </c>
      <c r="L1270" t="str">
        <f t="shared" ca="1" si="239"/>
        <v>Neurology</v>
      </c>
    </row>
    <row r="1271" spans="1:12" x14ac:dyDescent="0.25">
      <c r="A1271">
        <f t="shared" si="228"/>
        <v>1270</v>
      </c>
      <c r="B1271">
        <f t="shared" ca="1" si="229"/>
        <v>39</v>
      </c>
      <c r="C1271" t="str">
        <f t="shared" ca="1" si="230"/>
        <v>Female</v>
      </c>
      <c r="D1271" s="1">
        <f t="shared" ca="1" si="231"/>
        <v>45417</v>
      </c>
      <c r="E1271" s="1">
        <f t="shared" ca="1" si="232"/>
        <v>45424</v>
      </c>
      <c r="F1271" t="str">
        <f t="shared" ca="1" si="233"/>
        <v>Hypertension</v>
      </c>
      <c r="G1271" t="str">
        <f t="shared" ca="1" si="234"/>
        <v>Surgery</v>
      </c>
      <c r="H1271">
        <f t="shared" ca="1" si="235"/>
        <v>7</v>
      </c>
      <c r="I1271" t="str">
        <f t="shared" ca="1" si="236"/>
        <v>No</v>
      </c>
      <c r="J1271">
        <f t="shared" ca="1" si="237"/>
        <v>3</v>
      </c>
      <c r="K1271" t="str">
        <f t="shared" ca="1" si="238"/>
        <v>Public</v>
      </c>
      <c r="L1271" t="str">
        <f t="shared" ca="1" si="239"/>
        <v>Neurology</v>
      </c>
    </row>
    <row r="1272" spans="1:12" x14ac:dyDescent="0.25">
      <c r="A1272">
        <f t="shared" si="228"/>
        <v>1271</v>
      </c>
      <c r="B1272">
        <f t="shared" ca="1" si="229"/>
        <v>21</v>
      </c>
      <c r="C1272" t="str">
        <f t="shared" ca="1" si="230"/>
        <v>Female</v>
      </c>
      <c r="D1272" s="1">
        <f t="shared" ca="1" si="231"/>
        <v>45569</v>
      </c>
      <c r="E1272" s="1">
        <f t="shared" ca="1" si="232"/>
        <v>45580</v>
      </c>
      <c r="F1272" t="str">
        <f t="shared" ca="1" si="233"/>
        <v>Heart Failure</v>
      </c>
      <c r="G1272" t="str">
        <f t="shared" ca="1" si="234"/>
        <v>Surgery</v>
      </c>
      <c r="H1272">
        <f t="shared" ca="1" si="235"/>
        <v>11</v>
      </c>
      <c r="I1272" t="str">
        <f t="shared" ca="1" si="236"/>
        <v>No</v>
      </c>
      <c r="J1272">
        <f t="shared" ca="1" si="237"/>
        <v>4</v>
      </c>
      <c r="K1272" t="str">
        <f t="shared" ca="1" si="238"/>
        <v>None</v>
      </c>
      <c r="L1272" t="str">
        <f t="shared" ca="1" si="239"/>
        <v>ER</v>
      </c>
    </row>
    <row r="1273" spans="1:12" x14ac:dyDescent="0.25">
      <c r="A1273">
        <f t="shared" si="228"/>
        <v>1272</v>
      </c>
      <c r="B1273">
        <f t="shared" ca="1" si="229"/>
        <v>21</v>
      </c>
      <c r="C1273" t="str">
        <f t="shared" ca="1" si="230"/>
        <v>Female</v>
      </c>
      <c r="D1273" s="1">
        <f t="shared" ca="1" si="231"/>
        <v>45513</v>
      </c>
      <c r="E1273" s="1">
        <f t="shared" ca="1" si="232"/>
        <v>45520</v>
      </c>
      <c r="F1273" t="str">
        <f t="shared" ca="1" si="233"/>
        <v>Heart Failure</v>
      </c>
      <c r="G1273" t="str">
        <f t="shared" ca="1" si="234"/>
        <v>Therapy</v>
      </c>
      <c r="H1273">
        <f t="shared" ca="1" si="235"/>
        <v>7</v>
      </c>
      <c r="I1273" t="str">
        <f t="shared" ca="1" si="236"/>
        <v>No</v>
      </c>
      <c r="J1273">
        <f t="shared" ca="1" si="237"/>
        <v>3</v>
      </c>
      <c r="K1273" t="str">
        <f t="shared" ca="1" si="238"/>
        <v>None</v>
      </c>
      <c r="L1273" t="str">
        <f t="shared" ca="1" si="239"/>
        <v>General</v>
      </c>
    </row>
    <row r="1274" spans="1:12" x14ac:dyDescent="0.25">
      <c r="A1274">
        <f t="shared" si="228"/>
        <v>1273</v>
      </c>
      <c r="B1274">
        <f t="shared" ca="1" si="229"/>
        <v>74</v>
      </c>
      <c r="C1274" t="str">
        <f t="shared" ca="1" si="230"/>
        <v>Female</v>
      </c>
      <c r="D1274" s="1">
        <f t="shared" ca="1" si="231"/>
        <v>45365</v>
      </c>
      <c r="E1274" s="1">
        <f t="shared" ca="1" si="232"/>
        <v>45380</v>
      </c>
      <c r="F1274" t="str">
        <f t="shared" ca="1" si="233"/>
        <v>Heart Failure</v>
      </c>
      <c r="G1274" t="str">
        <f t="shared" ca="1" si="234"/>
        <v>Surgery</v>
      </c>
      <c r="H1274">
        <f t="shared" ca="1" si="235"/>
        <v>15</v>
      </c>
      <c r="I1274" t="str">
        <f t="shared" ca="1" si="236"/>
        <v>No</v>
      </c>
      <c r="J1274">
        <f t="shared" ca="1" si="237"/>
        <v>4</v>
      </c>
      <c r="K1274" t="str">
        <f t="shared" ca="1" si="238"/>
        <v>Public</v>
      </c>
      <c r="L1274" t="str">
        <f t="shared" ca="1" si="239"/>
        <v>ER</v>
      </c>
    </row>
    <row r="1275" spans="1:12" x14ac:dyDescent="0.25">
      <c r="A1275">
        <f t="shared" si="228"/>
        <v>1274</v>
      </c>
      <c r="B1275">
        <f t="shared" ca="1" si="229"/>
        <v>87</v>
      </c>
      <c r="C1275" t="str">
        <f t="shared" ca="1" si="230"/>
        <v>Female</v>
      </c>
      <c r="D1275" s="1">
        <f t="shared" ca="1" si="231"/>
        <v>45419</v>
      </c>
      <c r="E1275" s="1">
        <f t="shared" ca="1" si="232"/>
        <v>45431</v>
      </c>
      <c r="F1275" t="str">
        <f t="shared" ca="1" si="233"/>
        <v>Pneumonia</v>
      </c>
      <c r="G1275" t="str">
        <f t="shared" ca="1" si="234"/>
        <v>Surgery</v>
      </c>
      <c r="H1275">
        <f t="shared" ca="1" si="235"/>
        <v>12</v>
      </c>
      <c r="I1275" t="str">
        <f t="shared" ca="1" si="236"/>
        <v>No</v>
      </c>
      <c r="J1275">
        <f t="shared" ca="1" si="237"/>
        <v>3</v>
      </c>
      <c r="K1275" t="str">
        <f t="shared" ca="1" si="238"/>
        <v>None</v>
      </c>
      <c r="L1275" t="str">
        <f t="shared" ca="1" si="239"/>
        <v>Neurology</v>
      </c>
    </row>
    <row r="1276" spans="1:12" x14ac:dyDescent="0.25">
      <c r="A1276">
        <f t="shared" si="228"/>
        <v>1275</v>
      </c>
      <c r="B1276">
        <f t="shared" ca="1" si="229"/>
        <v>69</v>
      </c>
      <c r="C1276" t="str">
        <f t="shared" ca="1" si="230"/>
        <v>Female</v>
      </c>
      <c r="D1276" s="1">
        <f t="shared" ca="1" si="231"/>
        <v>45362</v>
      </c>
      <c r="E1276" s="1">
        <f t="shared" ca="1" si="232"/>
        <v>45369</v>
      </c>
      <c r="F1276" t="str">
        <f t="shared" ca="1" si="233"/>
        <v>Hypertension</v>
      </c>
      <c r="G1276" t="str">
        <f t="shared" ca="1" si="234"/>
        <v>Therapy</v>
      </c>
      <c r="H1276">
        <f t="shared" ca="1" si="235"/>
        <v>7</v>
      </c>
      <c r="I1276" t="str">
        <f t="shared" ca="1" si="236"/>
        <v>No</v>
      </c>
      <c r="J1276">
        <f t="shared" ca="1" si="237"/>
        <v>0</v>
      </c>
      <c r="K1276" t="str">
        <f t="shared" ca="1" si="238"/>
        <v>None</v>
      </c>
      <c r="L1276" t="str">
        <f t="shared" ca="1" si="239"/>
        <v>ER</v>
      </c>
    </row>
    <row r="1277" spans="1:12" x14ac:dyDescent="0.25">
      <c r="A1277">
        <f t="shared" si="228"/>
        <v>1276</v>
      </c>
      <c r="B1277">
        <f t="shared" ca="1" si="229"/>
        <v>27</v>
      </c>
      <c r="C1277" t="str">
        <f t="shared" ca="1" si="230"/>
        <v>Male</v>
      </c>
      <c r="D1277" s="1">
        <f t="shared" ca="1" si="231"/>
        <v>45491</v>
      </c>
      <c r="E1277" s="1">
        <f t="shared" ca="1" si="232"/>
        <v>45498</v>
      </c>
      <c r="F1277" t="str">
        <f t="shared" ca="1" si="233"/>
        <v>Hypertension</v>
      </c>
      <c r="G1277" t="str">
        <f t="shared" ca="1" si="234"/>
        <v>Therapy</v>
      </c>
      <c r="H1277">
        <f t="shared" ca="1" si="235"/>
        <v>7</v>
      </c>
      <c r="I1277" t="str">
        <f t="shared" ca="1" si="236"/>
        <v>Yes</v>
      </c>
      <c r="J1277">
        <f t="shared" ca="1" si="237"/>
        <v>3</v>
      </c>
      <c r="K1277" t="str">
        <f t="shared" ca="1" si="238"/>
        <v>None</v>
      </c>
      <c r="L1277" t="str">
        <f t="shared" ca="1" si="239"/>
        <v>General</v>
      </c>
    </row>
    <row r="1278" spans="1:12" x14ac:dyDescent="0.25">
      <c r="A1278">
        <f t="shared" si="228"/>
        <v>1277</v>
      </c>
      <c r="B1278">
        <f t="shared" ca="1" si="229"/>
        <v>80</v>
      </c>
      <c r="C1278" t="str">
        <f t="shared" ca="1" si="230"/>
        <v>Female</v>
      </c>
      <c r="D1278" s="1">
        <f t="shared" ca="1" si="231"/>
        <v>45533</v>
      </c>
      <c r="E1278" s="1">
        <f t="shared" ca="1" si="232"/>
        <v>45542</v>
      </c>
      <c r="F1278" t="str">
        <f t="shared" ca="1" si="233"/>
        <v>Hypertension</v>
      </c>
      <c r="G1278" t="str">
        <f t="shared" ca="1" si="234"/>
        <v>Medication</v>
      </c>
      <c r="H1278">
        <f t="shared" ca="1" si="235"/>
        <v>9</v>
      </c>
      <c r="I1278" t="str">
        <f t="shared" ca="1" si="236"/>
        <v>No</v>
      </c>
      <c r="J1278">
        <f t="shared" ca="1" si="237"/>
        <v>2</v>
      </c>
      <c r="K1278" t="str">
        <f t="shared" ca="1" si="238"/>
        <v>Public</v>
      </c>
      <c r="L1278" t="str">
        <f t="shared" ca="1" si="239"/>
        <v>ICU</v>
      </c>
    </row>
    <row r="1279" spans="1:12" x14ac:dyDescent="0.25">
      <c r="A1279">
        <f t="shared" si="228"/>
        <v>1278</v>
      </c>
      <c r="B1279">
        <f t="shared" ca="1" si="229"/>
        <v>48</v>
      </c>
      <c r="C1279" t="str">
        <f t="shared" ca="1" si="230"/>
        <v>Female</v>
      </c>
      <c r="D1279" s="1">
        <f t="shared" ca="1" si="231"/>
        <v>45620</v>
      </c>
      <c r="E1279" s="1">
        <f t="shared" ca="1" si="232"/>
        <v>45621</v>
      </c>
      <c r="F1279" t="str">
        <f t="shared" ca="1" si="233"/>
        <v>Hypertension</v>
      </c>
      <c r="G1279" t="str">
        <f t="shared" ca="1" si="234"/>
        <v>Surgery</v>
      </c>
      <c r="H1279">
        <f t="shared" ca="1" si="235"/>
        <v>1</v>
      </c>
      <c r="I1279" t="str">
        <f t="shared" ca="1" si="236"/>
        <v>No</v>
      </c>
      <c r="J1279">
        <f t="shared" ca="1" si="237"/>
        <v>2</v>
      </c>
      <c r="K1279" t="str">
        <f t="shared" ca="1" si="238"/>
        <v>None</v>
      </c>
      <c r="L1279" t="str">
        <f t="shared" ca="1" si="239"/>
        <v>ER</v>
      </c>
    </row>
    <row r="1280" spans="1:12" x14ac:dyDescent="0.25">
      <c r="A1280">
        <f t="shared" si="228"/>
        <v>1279</v>
      </c>
      <c r="B1280">
        <f t="shared" ca="1" si="229"/>
        <v>75</v>
      </c>
      <c r="C1280" t="str">
        <f t="shared" ca="1" si="230"/>
        <v>Male</v>
      </c>
      <c r="D1280" s="1">
        <f t="shared" ca="1" si="231"/>
        <v>45372</v>
      </c>
      <c r="E1280" s="1">
        <f t="shared" ca="1" si="232"/>
        <v>45384</v>
      </c>
      <c r="F1280" t="str">
        <f t="shared" ca="1" si="233"/>
        <v>Diabetes</v>
      </c>
      <c r="G1280" t="str">
        <f t="shared" ca="1" si="234"/>
        <v>Therapy</v>
      </c>
      <c r="H1280">
        <f t="shared" ca="1" si="235"/>
        <v>12</v>
      </c>
      <c r="I1280" t="str">
        <f t="shared" ca="1" si="236"/>
        <v>No</v>
      </c>
      <c r="J1280">
        <f t="shared" ca="1" si="237"/>
        <v>1</v>
      </c>
      <c r="K1280" t="str">
        <f t="shared" ca="1" si="238"/>
        <v>Private</v>
      </c>
      <c r="L1280" t="str">
        <f t="shared" ca="1" si="239"/>
        <v>ICU</v>
      </c>
    </row>
    <row r="1281" spans="1:12" x14ac:dyDescent="0.25">
      <c r="A1281">
        <f t="shared" si="228"/>
        <v>1280</v>
      </c>
      <c r="B1281">
        <f t="shared" ca="1" si="229"/>
        <v>69</v>
      </c>
      <c r="C1281" t="str">
        <f t="shared" ca="1" si="230"/>
        <v>Male</v>
      </c>
      <c r="D1281" s="1">
        <f t="shared" ca="1" si="231"/>
        <v>45608</v>
      </c>
      <c r="E1281" s="1">
        <f t="shared" ca="1" si="232"/>
        <v>45614</v>
      </c>
      <c r="F1281" t="str">
        <f t="shared" ca="1" si="233"/>
        <v>Stroke</v>
      </c>
      <c r="G1281" t="str">
        <f t="shared" ca="1" si="234"/>
        <v>Surgery</v>
      </c>
      <c r="H1281">
        <f t="shared" ca="1" si="235"/>
        <v>6</v>
      </c>
      <c r="I1281" t="str">
        <f t="shared" ca="1" si="236"/>
        <v>No</v>
      </c>
      <c r="J1281">
        <f t="shared" ca="1" si="237"/>
        <v>0</v>
      </c>
      <c r="K1281" t="str">
        <f t="shared" ca="1" si="238"/>
        <v>None</v>
      </c>
      <c r="L1281" t="str">
        <f t="shared" ca="1" si="239"/>
        <v>Neurology</v>
      </c>
    </row>
    <row r="1282" spans="1:12" x14ac:dyDescent="0.25">
      <c r="A1282">
        <f t="shared" si="228"/>
        <v>1281</v>
      </c>
      <c r="B1282">
        <f t="shared" ca="1" si="229"/>
        <v>45</v>
      </c>
      <c r="C1282" t="str">
        <f t="shared" ca="1" si="230"/>
        <v>Female</v>
      </c>
      <c r="D1282" s="1">
        <f t="shared" ca="1" si="231"/>
        <v>45438</v>
      </c>
      <c r="E1282" s="1">
        <f t="shared" ca="1" si="232"/>
        <v>45440</v>
      </c>
      <c r="F1282" t="str">
        <f t="shared" ca="1" si="233"/>
        <v>Diabetes</v>
      </c>
      <c r="G1282" t="str">
        <f t="shared" ca="1" si="234"/>
        <v>Therapy</v>
      </c>
      <c r="H1282">
        <f t="shared" ca="1" si="235"/>
        <v>2</v>
      </c>
      <c r="I1282" t="str">
        <f t="shared" ca="1" si="236"/>
        <v>No</v>
      </c>
      <c r="J1282">
        <f t="shared" ca="1" si="237"/>
        <v>0</v>
      </c>
      <c r="K1282" t="str">
        <f t="shared" ca="1" si="238"/>
        <v>Private</v>
      </c>
      <c r="L1282" t="str">
        <f t="shared" ca="1" si="239"/>
        <v>ER</v>
      </c>
    </row>
    <row r="1283" spans="1:12" x14ac:dyDescent="0.25">
      <c r="A1283">
        <f t="shared" ref="A1283:A1346" si="240">ROW() -1</f>
        <v>1282</v>
      </c>
      <c r="B1283">
        <f t="shared" ref="B1283:B1346" ca="1" si="241">RANDBETWEEN(20,90)</f>
        <v>78</v>
      </c>
      <c r="C1283" t="str">
        <f t="shared" ref="C1283:C1346" ca="1" si="242">IF(RAND()&lt;0.5,"Male","Female")</f>
        <v>Female</v>
      </c>
      <c r="D1283" s="1">
        <f t="shared" ref="D1283:D1346" ca="1" si="243">DATE(2024,1,1)+RANDBETWEEN(0,364)</f>
        <v>45498</v>
      </c>
      <c r="E1283" s="1">
        <f t="shared" ref="E1283:E1346" ca="1" si="244">D1283+RANDBETWEEN(1,15)</f>
        <v>45501</v>
      </c>
      <c r="F1283" t="str">
        <f t="shared" ref="F1283:F1346" ca="1" si="245">CHOOSE(RANDBETWEEN(1,5),"Diabetes","Heart Failure","Pneumonia","Stroke","Hypertension")</f>
        <v>Diabetes</v>
      </c>
      <c r="G1283" t="str">
        <f t="shared" ref="G1283:G1346" ca="1" si="246">CHOOSE(RANDBETWEEN(1,3),"Medication","Surgery","Therapy")</f>
        <v>Therapy</v>
      </c>
      <c r="H1283">
        <f t="shared" ref="H1283:H1346" ca="1" si="247">DATEDIF(D1283,E1283,"D")</f>
        <v>3</v>
      </c>
      <c r="I1283" t="str">
        <f t="shared" ref="I1283:I1346" ca="1" si="248">IF(RAND()&lt;0.3,"Yes","No")</f>
        <v>No</v>
      </c>
      <c r="J1283">
        <f t="shared" ref="J1283:J1346" ca="1" si="249">RANDBETWEEN(0,4)</f>
        <v>2</v>
      </c>
      <c r="K1283" t="str">
        <f t="shared" ref="K1283:K1346" ca="1" si="250">CHOOSE(RANDBETWEEN(1,3),"Private","Public","None")</f>
        <v>None</v>
      </c>
      <c r="L1283" t="str">
        <f t="shared" ref="L1283:L1346" ca="1" si="251">CHOOSE(RANDBETWEEN(1,5),"ER","Cardiology","Neurology","General","ICU")</f>
        <v>ER</v>
      </c>
    </row>
    <row r="1284" spans="1:12" x14ac:dyDescent="0.25">
      <c r="A1284">
        <f t="shared" si="240"/>
        <v>1283</v>
      </c>
      <c r="B1284">
        <f t="shared" ca="1" si="241"/>
        <v>50</v>
      </c>
      <c r="C1284" t="str">
        <f t="shared" ca="1" si="242"/>
        <v>Male</v>
      </c>
      <c r="D1284" s="1">
        <f t="shared" ca="1" si="243"/>
        <v>45401</v>
      </c>
      <c r="E1284" s="1">
        <f t="shared" ca="1" si="244"/>
        <v>45412</v>
      </c>
      <c r="F1284" t="str">
        <f t="shared" ca="1" si="245"/>
        <v>Stroke</v>
      </c>
      <c r="G1284" t="str">
        <f t="shared" ca="1" si="246"/>
        <v>Therapy</v>
      </c>
      <c r="H1284">
        <f t="shared" ca="1" si="247"/>
        <v>11</v>
      </c>
      <c r="I1284" t="str">
        <f t="shared" ca="1" si="248"/>
        <v>No</v>
      </c>
      <c r="J1284">
        <f t="shared" ca="1" si="249"/>
        <v>1</v>
      </c>
      <c r="K1284" t="str">
        <f t="shared" ca="1" si="250"/>
        <v>Private</v>
      </c>
      <c r="L1284" t="str">
        <f t="shared" ca="1" si="251"/>
        <v>ER</v>
      </c>
    </row>
    <row r="1285" spans="1:12" x14ac:dyDescent="0.25">
      <c r="A1285">
        <f t="shared" si="240"/>
        <v>1284</v>
      </c>
      <c r="B1285">
        <f t="shared" ca="1" si="241"/>
        <v>47</v>
      </c>
      <c r="C1285" t="str">
        <f t="shared" ca="1" si="242"/>
        <v>Female</v>
      </c>
      <c r="D1285" s="1">
        <f t="shared" ca="1" si="243"/>
        <v>45445</v>
      </c>
      <c r="E1285" s="1">
        <f t="shared" ca="1" si="244"/>
        <v>45446</v>
      </c>
      <c r="F1285" t="str">
        <f t="shared" ca="1" si="245"/>
        <v>Stroke</v>
      </c>
      <c r="G1285" t="str">
        <f t="shared" ca="1" si="246"/>
        <v>Surgery</v>
      </c>
      <c r="H1285">
        <f t="shared" ca="1" si="247"/>
        <v>1</v>
      </c>
      <c r="I1285" t="str">
        <f t="shared" ca="1" si="248"/>
        <v>No</v>
      </c>
      <c r="J1285">
        <f t="shared" ca="1" si="249"/>
        <v>1</v>
      </c>
      <c r="K1285" t="str">
        <f t="shared" ca="1" si="250"/>
        <v>Private</v>
      </c>
      <c r="L1285" t="str">
        <f t="shared" ca="1" si="251"/>
        <v>General</v>
      </c>
    </row>
    <row r="1286" spans="1:12" x14ac:dyDescent="0.25">
      <c r="A1286">
        <f t="shared" si="240"/>
        <v>1285</v>
      </c>
      <c r="B1286">
        <f t="shared" ca="1" si="241"/>
        <v>70</v>
      </c>
      <c r="C1286" t="str">
        <f t="shared" ca="1" si="242"/>
        <v>Male</v>
      </c>
      <c r="D1286" s="1">
        <f t="shared" ca="1" si="243"/>
        <v>45517</v>
      </c>
      <c r="E1286" s="1">
        <f t="shared" ca="1" si="244"/>
        <v>45526</v>
      </c>
      <c r="F1286" t="str">
        <f t="shared" ca="1" si="245"/>
        <v>Heart Failure</v>
      </c>
      <c r="G1286" t="str">
        <f t="shared" ca="1" si="246"/>
        <v>Surgery</v>
      </c>
      <c r="H1286">
        <f t="shared" ca="1" si="247"/>
        <v>9</v>
      </c>
      <c r="I1286" t="str">
        <f t="shared" ca="1" si="248"/>
        <v>Yes</v>
      </c>
      <c r="J1286">
        <f t="shared" ca="1" si="249"/>
        <v>0</v>
      </c>
      <c r="K1286" t="str">
        <f t="shared" ca="1" si="250"/>
        <v>Private</v>
      </c>
      <c r="L1286" t="str">
        <f t="shared" ca="1" si="251"/>
        <v>Cardiology</v>
      </c>
    </row>
    <row r="1287" spans="1:12" x14ac:dyDescent="0.25">
      <c r="A1287">
        <f t="shared" si="240"/>
        <v>1286</v>
      </c>
      <c r="B1287">
        <f t="shared" ca="1" si="241"/>
        <v>59</v>
      </c>
      <c r="C1287" t="str">
        <f t="shared" ca="1" si="242"/>
        <v>Male</v>
      </c>
      <c r="D1287" s="1">
        <f t="shared" ca="1" si="243"/>
        <v>45491</v>
      </c>
      <c r="E1287" s="1">
        <f t="shared" ca="1" si="244"/>
        <v>45500</v>
      </c>
      <c r="F1287" t="str">
        <f t="shared" ca="1" si="245"/>
        <v>Heart Failure</v>
      </c>
      <c r="G1287" t="str">
        <f t="shared" ca="1" si="246"/>
        <v>Medication</v>
      </c>
      <c r="H1287">
        <f t="shared" ca="1" si="247"/>
        <v>9</v>
      </c>
      <c r="I1287" t="str">
        <f t="shared" ca="1" si="248"/>
        <v>No</v>
      </c>
      <c r="J1287">
        <f t="shared" ca="1" si="249"/>
        <v>2</v>
      </c>
      <c r="K1287" t="str">
        <f t="shared" ca="1" si="250"/>
        <v>Private</v>
      </c>
      <c r="L1287" t="str">
        <f t="shared" ca="1" si="251"/>
        <v>Neurology</v>
      </c>
    </row>
    <row r="1288" spans="1:12" x14ac:dyDescent="0.25">
      <c r="A1288">
        <f t="shared" si="240"/>
        <v>1287</v>
      </c>
      <c r="B1288">
        <f t="shared" ca="1" si="241"/>
        <v>78</v>
      </c>
      <c r="C1288" t="str">
        <f t="shared" ca="1" si="242"/>
        <v>Female</v>
      </c>
      <c r="D1288" s="1">
        <f t="shared" ca="1" si="243"/>
        <v>45609</v>
      </c>
      <c r="E1288" s="1">
        <f t="shared" ca="1" si="244"/>
        <v>45614</v>
      </c>
      <c r="F1288" t="str">
        <f t="shared" ca="1" si="245"/>
        <v>Pneumonia</v>
      </c>
      <c r="G1288" t="str">
        <f t="shared" ca="1" si="246"/>
        <v>Surgery</v>
      </c>
      <c r="H1288">
        <f t="shared" ca="1" si="247"/>
        <v>5</v>
      </c>
      <c r="I1288" t="str">
        <f t="shared" ca="1" si="248"/>
        <v>Yes</v>
      </c>
      <c r="J1288">
        <f t="shared" ca="1" si="249"/>
        <v>0</v>
      </c>
      <c r="K1288" t="str">
        <f t="shared" ca="1" si="250"/>
        <v>Public</v>
      </c>
      <c r="L1288" t="str">
        <f t="shared" ca="1" si="251"/>
        <v>ER</v>
      </c>
    </row>
    <row r="1289" spans="1:12" x14ac:dyDescent="0.25">
      <c r="A1289">
        <f t="shared" si="240"/>
        <v>1288</v>
      </c>
      <c r="B1289">
        <f t="shared" ca="1" si="241"/>
        <v>66</v>
      </c>
      <c r="C1289" t="str">
        <f t="shared" ca="1" si="242"/>
        <v>Female</v>
      </c>
      <c r="D1289" s="1">
        <f t="shared" ca="1" si="243"/>
        <v>45515</v>
      </c>
      <c r="E1289" s="1">
        <f t="shared" ca="1" si="244"/>
        <v>45529</v>
      </c>
      <c r="F1289" t="str">
        <f t="shared" ca="1" si="245"/>
        <v>Diabetes</v>
      </c>
      <c r="G1289" t="str">
        <f t="shared" ca="1" si="246"/>
        <v>Therapy</v>
      </c>
      <c r="H1289">
        <f t="shared" ca="1" si="247"/>
        <v>14</v>
      </c>
      <c r="I1289" t="str">
        <f t="shared" ca="1" si="248"/>
        <v>Yes</v>
      </c>
      <c r="J1289">
        <f t="shared" ca="1" si="249"/>
        <v>0</v>
      </c>
      <c r="K1289" t="str">
        <f t="shared" ca="1" si="250"/>
        <v>Public</v>
      </c>
      <c r="L1289" t="str">
        <f t="shared" ca="1" si="251"/>
        <v>Neurology</v>
      </c>
    </row>
    <row r="1290" spans="1:12" x14ac:dyDescent="0.25">
      <c r="A1290">
        <f t="shared" si="240"/>
        <v>1289</v>
      </c>
      <c r="B1290">
        <f t="shared" ca="1" si="241"/>
        <v>49</v>
      </c>
      <c r="C1290" t="str">
        <f t="shared" ca="1" si="242"/>
        <v>Female</v>
      </c>
      <c r="D1290" s="1">
        <f t="shared" ca="1" si="243"/>
        <v>45590</v>
      </c>
      <c r="E1290" s="1">
        <f t="shared" ca="1" si="244"/>
        <v>45605</v>
      </c>
      <c r="F1290" t="str">
        <f t="shared" ca="1" si="245"/>
        <v>Hypertension</v>
      </c>
      <c r="G1290" t="str">
        <f t="shared" ca="1" si="246"/>
        <v>Medication</v>
      </c>
      <c r="H1290">
        <f t="shared" ca="1" si="247"/>
        <v>15</v>
      </c>
      <c r="I1290" t="str">
        <f t="shared" ca="1" si="248"/>
        <v>No</v>
      </c>
      <c r="J1290">
        <f t="shared" ca="1" si="249"/>
        <v>1</v>
      </c>
      <c r="K1290" t="str">
        <f t="shared" ca="1" si="250"/>
        <v>Public</v>
      </c>
      <c r="L1290" t="str">
        <f t="shared" ca="1" si="251"/>
        <v>General</v>
      </c>
    </row>
    <row r="1291" spans="1:12" x14ac:dyDescent="0.25">
      <c r="A1291">
        <f t="shared" si="240"/>
        <v>1290</v>
      </c>
      <c r="B1291">
        <f t="shared" ca="1" si="241"/>
        <v>34</v>
      </c>
      <c r="C1291" t="str">
        <f t="shared" ca="1" si="242"/>
        <v>Female</v>
      </c>
      <c r="D1291" s="1">
        <f t="shared" ca="1" si="243"/>
        <v>45637</v>
      </c>
      <c r="E1291" s="1">
        <f t="shared" ca="1" si="244"/>
        <v>45641</v>
      </c>
      <c r="F1291" t="str">
        <f t="shared" ca="1" si="245"/>
        <v>Diabetes</v>
      </c>
      <c r="G1291" t="str">
        <f t="shared" ca="1" si="246"/>
        <v>Therapy</v>
      </c>
      <c r="H1291">
        <f t="shared" ca="1" si="247"/>
        <v>4</v>
      </c>
      <c r="I1291" t="str">
        <f t="shared" ca="1" si="248"/>
        <v>No</v>
      </c>
      <c r="J1291">
        <f t="shared" ca="1" si="249"/>
        <v>4</v>
      </c>
      <c r="K1291" t="str">
        <f t="shared" ca="1" si="250"/>
        <v>Private</v>
      </c>
      <c r="L1291" t="str">
        <f t="shared" ca="1" si="251"/>
        <v>General</v>
      </c>
    </row>
    <row r="1292" spans="1:12" x14ac:dyDescent="0.25">
      <c r="A1292">
        <f t="shared" si="240"/>
        <v>1291</v>
      </c>
      <c r="B1292">
        <f t="shared" ca="1" si="241"/>
        <v>64</v>
      </c>
      <c r="C1292" t="str">
        <f t="shared" ca="1" si="242"/>
        <v>Male</v>
      </c>
      <c r="D1292" s="1">
        <f t="shared" ca="1" si="243"/>
        <v>45560</v>
      </c>
      <c r="E1292" s="1">
        <f t="shared" ca="1" si="244"/>
        <v>45572</v>
      </c>
      <c r="F1292" t="str">
        <f t="shared" ca="1" si="245"/>
        <v>Diabetes</v>
      </c>
      <c r="G1292" t="str">
        <f t="shared" ca="1" si="246"/>
        <v>Therapy</v>
      </c>
      <c r="H1292">
        <f t="shared" ca="1" si="247"/>
        <v>12</v>
      </c>
      <c r="I1292" t="str">
        <f t="shared" ca="1" si="248"/>
        <v>No</v>
      </c>
      <c r="J1292">
        <f t="shared" ca="1" si="249"/>
        <v>0</v>
      </c>
      <c r="K1292" t="str">
        <f t="shared" ca="1" si="250"/>
        <v>None</v>
      </c>
      <c r="L1292" t="str">
        <f t="shared" ca="1" si="251"/>
        <v>General</v>
      </c>
    </row>
    <row r="1293" spans="1:12" x14ac:dyDescent="0.25">
      <c r="A1293">
        <f t="shared" si="240"/>
        <v>1292</v>
      </c>
      <c r="B1293">
        <f t="shared" ca="1" si="241"/>
        <v>85</v>
      </c>
      <c r="C1293" t="str">
        <f t="shared" ca="1" si="242"/>
        <v>Female</v>
      </c>
      <c r="D1293" s="1">
        <f t="shared" ca="1" si="243"/>
        <v>45626</v>
      </c>
      <c r="E1293" s="1">
        <f t="shared" ca="1" si="244"/>
        <v>45631</v>
      </c>
      <c r="F1293" t="str">
        <f t="shared" ca="1" si="245"/>
        <v>Pneumonia</v>
      </c>
      <c r="G1293" t="str">
        <f t="shared" ca="1" si="246"/>
        <v>Therapy</v>
      </c>
      <c r="H1293">
        <f t="shared" ca="1" si="247"/>
        <v>5</v>
      </c>
      <c r="I1293" t="str">
        <f t="shared" ca="1" si="248"/>
        <v>No</v>
      </c>
      <c r="J1293">
        <f t="shared" ca="1" si="249"/>
        <v>4</v>
      </c>
      <c r="K1293" t="str">
        <f t="shared" ca="1" si="250"/>
        <v>Public</v>
      </c>
      <c r="L1293" t="str">
        <f t="shared" ca="1" si="251"/>
        <v>ICU</v>
      </c>
    </row>
    <row r="1294" spans="1:12" x14ac:dyDescent="0.25">
      <c r="A1294">
        <f t="shared" si="240"/>
        <v>1293</v>
      </c>
      <c r="B1294">
        <f t="shared" ca="1" si="241"/>
        <v>47</v>
      </c>
      <c r="C1294" t="str">
        <f t="shared" ca="1" si="242"/>
        <v>Male</v>
      </c>
      <c r="D1294" s="1">
        <f t="shared" ca="1" si="243"/>
        <v>45621</v>
      </c>
      <c r="E1294" s="1">
        <f t="shared" ca="1" si="244"/>
        <v>45633</v>
      </c>
      <c r="F1294" t="str">
        <f t="shared" ca="1" si="245"/>
        <v>Stroke</v>
      </c>
      <c r="G1294" t="str">
        <f t="shared" ca="1" si="246"/>
        <v>Medication</v>
      </c>
      <c r="H1294">
        <f t="shared" ca="1" si="247"/>
        <v>12</v>
      </c>
      <c r="I1294" t="str">
        <f t="shared" ca="1" si="248"/>
        <v>No</v>
      </c>
      <c r="J1294">
        <f t="shared" ca="1" si="249"/>
        <v>3</v>
      </c>
      <c r="K1294" t="str">
        <f t="shared" ca="1" si="250"/>
        <v>Private</v>
      </c>
      <c r="L1294" t="str">
        <f t="shared" ca="1" si="251"/>
        <v>General</v>
      </c>
    </row>
    <row r="1295" spans="1:12" x14ac:dyDescent="0.25">
      <c r="A1295">
        <f t="shared" si="240"/>
        <v>1294</v>
      </c>
      <c r="B1295">
        <f t="shared" ca="1" si="241"/>
        <v>37</v>
      </c>
      <c r="C1295" t="str">
        <f t="shared" ca="1" si="242"/>
        <v>Female</v>
      </c>
      <c r="D1295" s="1">
        <f t="shared" ca="1" si="243"/>
        <v>45437</v>
      </c>
      <c r="E1295" s="1">
        <f t="shared" ca="1" si="244"/>
        <v>45442</v>
      </c>
      <c r="F1295" t="str">
        <f t="shared" ca="1" si="245"/>
        <v>Diabetes</v>
      </c>
      <c r="G1295" t="str">
        <f t="shared" ca="1" si="246"/>
        <v>Therapy</v>
      </c>
      <c r="H1295">
        <f t="shared" ca="1" si="247"/>
        <v>5</v>
      </c>
      <c r="I1295" t="str">
        <f t="shared" ca="1" si="248"/>
        <v>Yes</v>
      </c>
      <c r="J1295">
        <f t="shared" ca="1" si="249"/>
        <v>1</v>
      </c>
      <c r="K1295" t="str">
        <f t="shared" ca="1" si="250"/>
        <v>None</v>
      </c>
      <c r="L1295" t="str">
        <f t="shared" ca="1" si="251"/>
        <v>Cardiology</v>
      </c>
    </row>
    <row r="1296" spans="1:12" x14ac:dyDescent="0.25">
      <c r="A1296">
        <f t="shared" si="240"/>
        <v>1295</v>
      </c>
      <c r="B1296">
        <f t="shared" ca="1" si="241"/>
        <v>71</v>
      </c>
      <c r="C1296" t="str">
        <f t="shared" ca="1" si="242"/>
        <v>Male</v>
      </c>
      <c r="D1296" s="1">
        <f t="shared" ca="1" si="243"/>
        <v>45386</v>
      </c>
      <c r="E1296" s="1">
        <f t="shared" ca="1" si="244"/>
        <v>45392</v>
      </c>
      <c r="F1296" t="str">
        <f t="shared" ca="1" si="245"/>
        <v>Stroke</v>
      </c>
      <c r="G1296" t="str">
        <f t="shared" ca="1" si="246"/>
        <v>Medication</v>
      </c>
      <c r="H1296">
        <f t="shared" ca="1" si="247"/>
        <v>6</v>
      </c>
      <c r="I1296" t="str">
        <f t="shared" ca="1" si="248"/>
        <v>Yes</v>
      </c>
      <c r="J1296">
        <f t="shared" ca="1" si="249"/>
        <v>2</v>
      </c>
      <c r="K1296" t="str">
        <f t="shared" ca="1" si="250"/>
        <v>Public</v>
      </c>
      <c r="L1296" t="str">
        <f t="shared" ca="1" si="251"/>
        <v>ER</v>
      </c>
    </row>
    <row r="1297" spans="1:12" x14ac:dyDescent="0.25">
      <c r="A1297">
        <f t="shared" si="240"/>
        <v>1296</v>
      </c>
      <c r="B1297">
        <f t="shared" ca="1" si="241"/>
        <v>55</v>
      </c>
      <c r="C1297" t="str">
        <f t="shared" ca="1" si="242"/>
        <v>Male</v>
      </c>
      <c r="D1297" s="1">
        <f t="shared" ca="1" si="243"/>
        <v>45394</v>
      </c>
      <c r="E1297" s="1">
        <f t="shared" ca="1" si="244"/>
        <v>45400</v>
      </c>
      <c r="F1297" t="str">
        <f t="shared" ca="1" si="245"/>
        <v>Diabetes</v>
      </c>
      <c r="G1297" t="str">
        <f t="shared" ca="1" si="246"/>
        <v>Medication</v>
      </c>
      <c r="H1297">
        <f t="shared" ca="1" si="247"/>
        <v>6</v>
      </c>
      <c r="I1297" t="str">
        <f t="shared" ca="1" si="248"/>
        <v>Yes</v>
      </c>
      <c r="J1297">
        <f t="shared" ca="1" si="249"/>
        <v>4</v>
      </c>
      <c r="K1297" t="str">
        <f t="shared" ca="1" si="250"/>
        <v>Public</v>
      </c>
      <c r="L1297" t="str">
        <f t="shared" ca="1" si="251"/>
        <v>General</v>
      </c>
    </row>
    <row r="1298" spans="1:12" x14ac:dyDescent="0.25">
      <c r="A1298">
        <f t="shared" si="240"/>
        <v>1297</v>
      </c>
      <c r="B1298">
        <f t="shared" ca="1" si="241"/>
        <v>86</v>
      </c>
      <c r="C1298" t="str">
        <f t="shared" ca="1" si="242"/>
        <v>Female</v>
      </c>
      <c r="D1298" s="1">
        <f t="shared" ca="1" si="243"/>
        <v>45630</v>
      </c>
      <c r="E1298" s="1">
        <f t="shared" ca="1" si="244"/>
        <v>45634</v>
      </c>
      <c r="F1298" t="str">
        <f t="shared" ca="1" si="245"/>
        <v>Heart Failure</v>
      </c>
      <c r="G1298" t="str">
        <f t="shared" ca="1" si="246"/>
        <v>Surgery</v>
      </c>
      <c r="H1298">
        <f t="shared" ca="1" si="247"/>
        <v>4</v>
      </c>
      <c r="I1298" t="str">
        <f t="shared" ca="1" si="248"/>
        <v>No</v>
      </c>
      <c r="J1298">
        <f t="shared" ca="1" si="249"/>
        <v>3</v>
      </c>
      <c r="K1298" t="str">
        <f t="shared" ca="1" si="250"/>
        <v>Public</v>
      </c>
      <c r="L1298" t="str">
        <f t="shared" ca="1" si="251"/>
        <v>ICU</v>
      </c>
    </row>
    <row r="1299" spans="1:12" x14ac:dyDescent="0.25">
      <c r="A1299">
        <f t="shared" si="240"/>
        <v>1298</v>
      </c>
      <c r="B1299">
        <f t="shared" ca="1" si="241"/>
        <v>68</v>
      </c>
      <c r="C1299" t="str">
        <f t="shared" ca="1" si="242"/>
        <v>Female</v>
      </c>
      <c r="D1299" s="1">
        <f t="shared" ca="1" si="243"/>
        <v>45419</v>
      </c>
      <c r="E1299" s="1">
        <f t="shared" ca="1" si="244"/>
        <v>45420</v>
      </c>
      <c r="F1299" t="str">
        <f t="shared" ca="1" si="245"/>
        <v>Diabetes</v>
      </c>
      <c r="G1299" t="str">
        <f t="shared" ca="1" si="246"/>
        <v>Therapy</v>
      </c>
      <c r="H1299">
        <f t="shared" ca="1" si="247"/>
        <v>1</v>
      </c>
      <c r="I1299" t="str">
        <f t="shared" ca="1" si="248"/>
        <v>Yes</v>
      </c>
      <c r="J1299">
        <f t="shared" ca="1" si="249"/>
        <v>3</v>
      </c>
      <c r="K1299" t="str">
        <f t="shared" ca="1" si="250"/>
        <v>Private</v>
      </c>
      <c r="L1299" t="str">
        <f t="shared" ca="1" si="251"/>
        <v>General</v>
      </c>
    </row>
    <row r="1300" spans="1:12" x14ac:dyDescent="0.25">
      <c r="A1300">
        <f t="shared" si="240"/>
        <v>1299</v>
      </c>
      <c r="B1300">
        <f t="shared" ca="1" si="241"/>
        <v>72</v>
      </c>
      <c r="C1300" t="str">
        <f t="shared" ca="1" si="242"/>
        <v>Male</v>
      </c>
      <c r="D1300" s="1">
        <f t="shared" ca="1" si="243"/>
        <v>45322</v>
      </c>
      <c r="E1300" s="1">
        <f t="shared" ca="1" si="244"/>
        <v>45323</v>
      </c>
      <c r="F1300" t="str">
        <f t="shared" ca="1" si="245"/>
        <v>Stroke</v>
      </c>
      <c r="G1300" t="str">
        <f t="shared" ca="1" si="246"/>
        <v>Medication</v>
      </c>
      <c r="H1300">
        <f t="shared" ca="1" si="247"/>
        <v>1</v>
      </c>
      <c r="I1300" t="str">
        <f t="shared" ca="1" si="248"/>
        <v>No</v>
      </c>
      <c r="J1300">
        <f t="shared" ca="1" si="249"/>
        <v>3</v>
      </c>
      <c r="K1300" t="str">
        <f t="shared" ca="1" si="250"/>
        <v>Private</v>
      </c>
      <c r="L1300" t="str">
        <f t="shared" ca="1" si="251"/>
        <v>Neurology</v>
      </c>
    </row>
    <row r="1301" spans="1:12" x14ac:dyDescent="0.25">
      <c r="A1301">
        <f t="shared" si="240"/>
        <v>1300</v>
      </c>
      <c r="B1301">
        <f t="shared" ca="1" si="241"/>
        <v>76</v>
      </c>
      <c r="C1301" t="str">
        <f t="shared" ca="1" si="242"/>
        <v>Male</v>
      </c>
      <c r="D1301" s="1">
        <f t="shared" ca="1" si="243"/>
        <v>45319</v>
      </c>
      <c r="E1301" s="1">
        <f t="shared" ca="1" si="244"/>
        <v>45333</v>
      </c>
      <c r="F1301" t="str">
        <f t="shared" ca="1" si="245"/>
        <v>Pneumonia</v>
      </c>
      <c r="G1301" t="str">
        <f t="shared" ca="1" si="246"/>
        <v>Medication</v>
      </c>
      <c r="H1301">
        <f t="shared" ca="1" si="247"/>
        <v>14</v>
      </c>
      <c r="I1301" t="str">
        <f t="shared" ca="1" si="248"/>
        <v>No</v>
      </c>
      <c r="J1301">
        <f t="shared" ca="1" si="249"/>
        <v>2</v>
      </c>
      <c r="K1301" t="str">
        <f t="shared" ca="1" si="250"/>
        <v>Private</v>
      </c>
      <c r="L1301" t="str">
        <f t="shared" ca="1" si="251"/>
        <v>Neurology</v>
      </c>
    </row>
    <row r="1302" spans="1:12" x14ac:dyDescent="0.25">
      <c r="A1302">
        <f t="shared" si="240"/>
        <v>1301</v>
      </c>
      <c r="B1302">
        <f t="shared" ca="1" si="241"/>
        <v>37</v>
      </c>
      <c r="C1302" t="str">
        <f t="shared" ca="1" si="242"/>
        <v>Female</v>
      </c>
      <c r="D1302" s="1">
        <f t="shared" ca="1" si="243"/>
        <v>45382</v>
      </c>
      <c r="E1302" s="1">
        <f t="shared" ca="1" si="244"/>
        <v>45388</v>
      </c>
      <c r="F1302" t="str">
        <f t="shared" ca="1" si="245"/>
        <v>Hypertension</v>
      </c>
      <c r="G1302" t="str">
        <f t="shared" ca="1" si="246"/>
        <v>Therapy</v>
      </c>
      <c r="H1302">
        <f t="shared" ca="1" si="247"/>
        <v>6</v>
      </c>
      <c r="I1302" t="str">
        <f t="shared" ca="1" si="248"/>
        <v>Yes</v>
      </c>
      <c r="J1302">
        <f t="shared" ca="1" si="249"/>
        <v>0</v>
      </c>
      <c r="K1302" t="str">
        <f t="shared" ca="1" si="250"/>
        <v>Public</v>
      </c>
      <c r="L1302" t="str">
        <f t="shared" ca="1" si="251"/>
        <v>Neurology</v>
      </c>
    </row>
    <row r="1303" spans="1:12" x14ac:dyDescent="0.25">
      <c r="A1303">
        <f t="shared" si="240"/>
        <v>1302</v>
      </c>
      <c r="B1303">
        <f t="shared" ca="1" si="241"/>
        <v>38</v>
      </c>
      <c r="C1303" t="str">
        <f t="shared" ca="1" si="242"/>
        <v>Female</v>
      </c>
      <c r="D1303" s="1">
        <f t="shared" ca="1" si="243"/>
        <v>45314</v>
      </c>
      <c r="E1303" s="1">
        <f t="shared" ca="1" si="244"/>
        <v>45324</v>
      </c>
      <c r="F1303" t="str">
        <f t="shared" ca="1" si="245"/>
        <v>Hypertension</v>
      </c>
      <c r="G1303" t="str">
        <f t="shared" ca="1" si="246"/>
        <v>Therapy</v>
      </c>
      <c r="H1303">
        <f t="shared" ca="1" si="247"/>
        <v>10</v>
      </c>
      <c r="I1303" t="str">
        <f t="shared" ca="1" si="248"/>
        <v>No</v>
      </c>
      <c r="J1303">
        <f t="shared" ca="1" si="249"/>
        <v>4</v>
      </c>
      <c r="K1303" t="str">
        <f t="shared" ca="1" si="250"/>
        <v>Public</v>
      </c>
      <c r="L1303" t="str">
        <f t="shared" ca="1" si="251"/>
        <v>General</v>
      </c>
    </row>
    <row r="1304" spans="1:12" x14ac:dyDescent="0.25">
      <c r="A1304">
        <f t="shared" si="240"/>
        <v>1303</v>
      </c>
      <c r="B1304">
        <f t="shared" ca="1" si="241"/>
        <v>60</v>
      </c>
      <c r="C1304" t="str">
        <f t="shared" ca="1" si="242"/>
        <v>Female</v>
      </c>
      <c r="D1304" s="1">
        <f t="shared" ca="1" si="243"/>
        <v>45513</v>
      </c>
      <c r="E1304" s="1">
        <f t="shared" ca="1" si="244"/>
        <v>45515</v>
      </c>
      <c r="F1304" t="str">
        <f t="shared" ca="1" si="245"/>
        <v>Diabetes</v>
      </c>
      <c r="G1304" t="str">
        <f t="shared" ca="1" si="246"/>
        <v>Medication</v>
      </c>
      <c r="H1304">
        <f t="shared" ca="1" si="247"/>
        <v>2</v>
      </c>
      <c r="I1304" t="str">
        <f t="shared" ca="1" si="248"/>
        <v>No</v>
      </c>
      <c r="J1304">
        <f t="shared" ca="1" si="249"/>
        <v>3</v>
      </c>
      <c r="K1304" t="str">
        <f t="shared" ca="1" si="250"/>
        <v>Public</v>
      </c>
      <c r="L1304" t="str">
        <f t="shared" ca="1" si="251"/>
        <v>ER</v>
      </c>
    </row>
    <row r="1305" spans="1:12" x14ac:dyDescent="0.25">
      <c r="A1305">
        <f t="shared" si="240"/>
        <v>1304</v>
      </c>
      <c r="B1305">
        <f t="shared" ca="1" si="241"/>
        <v>66</v>
      </c>
      <c r="C1305" t="str">
        <f t="shared" ca="1" si="242"/>
        <v>Male</v>
      </c>
      <c r="D1305" s="1">
        <f t="shared" ca="1" si="243"/>
        <v>45618</v>
      </c>
      <c r="E1305" s="1">
        <f t="shared" ca="1" si="244"/>
        <v>45625</v>
      </c>
      <c r="F1305" t="str">
        <f t="shared" ca="1" si="245"/>
        <v>Stroke</v>
      </c>
      <c r="G1305" t="str">
        <f t="shared" ca="1" si="246"/>
        <v>Therapy</v>
      </c>
      <c r="H1305">
        <f t="shared" ca="1" si="247"/>
        <v>7</v>
      </c>
      <c r="I1305" t="str">
        <f t="shared" ca="1" si="248"/>
        <v>Yes</v>
      </c>
      <c r="J1305">
        <f t="shared" ca="1" si="249"/>
        <v>4</v>
      </c>
      <c r="K1305" t="str">
        <f t="shared" ca="1" si="250"/>
        <v>Public</v>
      </c>
      <c r="L1305" t="str">
        <f t="shared" ca="1" si="251"/>
        <v>ER</v>
      </c>
    </row>
    <row r="1306" spans="1:12" x14ac:dyDescent="0.25">
      <c r="A1306">
        <f t="shared" si="240"/>
        <v>1305</v>
      </c>
      <c r="B1306">
        <f t="shared" ca="1" si="241"/>
        <v>69</v>
      </c>
      <c r="C1306" t="str">
        <f t="shared" ca="1" si="242"/>
        <v>Female</v>
      </c>
      <c r="D1306" s="1">
        <f t="shared" ca="1" si="243"/>
        <v>45427</v>
      </c>
      <c r="E1306" s="1">
        <f t="shared" ca="1" si="244"/>
        <v>45440</v>
      </c>
      <c r="F1306" t="str">
        <f t="shared" ca="1" si="245"/>
        <v>Pneumonia</v>
      </c>
      <c r="G1306" t="str">
        <f t="shared" ca="1" si="246"/>
        <v>Medication</v>
      </c>
      <c r="H1306">
        <f t="shared" ca="1" si="247"/>
        <v>13</v>
      </c>
      <c r="I1306" t="str">
        <f t="shared" ca="1" si="248"/>
        <v>No</v>
      </c>
      <c r="J1306">
        <f t="shared" ca="1" si="249"/>
        <v>1</v>
      </c>
      <c r="K1306" t="str">
        <f t="shared" ca="1" si="250"/>
        <v>None</v>
      </c>
      <c r="L1306" t="str">
        <f t="shared" ca="1" si="251"/>
        <v>Neurology</v>
      </c>
    </row>
    <row r="1307" spans="1:12" x14ac:dyDescent="0.25">
      <c r="A1307">
        <f t="shared" si="240"/>
        <v>1306</v>
      </c>
      <c r="B1307">
        <f t="shared" ca="1" si="241"/>
        <v>41</v>
      </c>
      <c r="C1307" t="str">
        <f t="shared" ca="1" si="242"/>
        <v>Male</v>
      </c>
      <c r="D1307" s="1">
        <f t="shared" ca="1" si="243"/>
        <v>45293</v>
      </c>
      <c r="E1307" s="1">
        <f t="shared" ca="1" si="244"/>
        <v>45298</v>
      </c>
      <c r="F1307" t="str">
        <f t="shared" ca="1" si="245"/>
        <v>Pneumonia</v>
      </c>
      <c r="G1307" t="str">
        <f t="shared" ca="1" si="246"/>
        <v>Surgery</v>
      </c>
      <c r="H1307">
        <f t="shared" ca="1" si="247"/>
        <v>5</v>
      </c>
      <c r="I1307" t="str">
        <f t="shared" ca="1" si="248"/>
        <v>Yes</v>
      </c>
      <c r="J1307">
        <f t="shared" ca="1" si="249"/>
        <v>0</v>
      </c>
      <c r="K1307" t="str">
        <f t="shared" ca="1" si="250"/>
        <v>None</v>
      </c>
      <c r="L1307" t="str">
        <f t="shared" ca="1" si="251"/>
        <v>Neurology</v>
      </c>
    </row>
    <row r="1308" spans="1:12" x14ac:dyDescent="0.25">
      <c r="A1308">
        <f t="shared" si="240"/>
        <v>1307</v>
      </c>
      <c r="B1308">
        <f t="shared" ca="1" si="241"/>
        <v>51</v>
      </c>
      <c r="C1308" t="str">
        <f t="shared" ca="1" si="242"/>
        <v>Male</v>
      </c>
      <c r="D1308" s="1">
        <f t="shared" ca="1" si="243"/>
        <v>45440</v>
      </c>
      <c r="E1308" s="1">
        <f t="shared" ca="1" si="244"/>
        <v>45453</v>
      </c>
      <c r="F1308" t="str">
        <f t="shared" ca="1" si="245"/>
        <v>Diabetes</v>
      </c>
      <c r="G1308" t="str">
        <f t="shared" ca="1" si="246"/>
        <v>Medication</v>
      </c>
      <c r="H1308">
        <f t="shared" ca="1" si="247"/>
        <v>13</v>
      </c>
      <c r="I1308" t="str">
        <f t="shared" ca="1" si="248"/>
        <v>No</v>
      </c>
      <c r="J1308">
        <f t="shared" ca="1" si="249"/>
        <v>4</v>
      </c>
      <c r="K1308" t="str">
        <f t="shared" ca="1" si="250"/>
        <v>Public</v>
      </c>
      <c r="L1308" t="str">
        <f t="shared" ca="1" si="251"/>
        <v>General</v>
      </c>
    </row>
    <row r="1309" spans="1:12" x14ac:dyDescent="0.25">
      <c r="A1309">
        <f t="shared" si="240"/>
        <v>1308</v>
      </c>
      <c r="B1309">
        <f t="shared" ca="1" si="241"/>
        <v>30</v>
      </c>
      <c r="C1309" t="str">
        <f t="shared" ca="1" si="242"/>
        <v>Female</v>
      </c>
      <c r="D1309" s="1">
        <f t="shared" ca="1" si="243"/>
        <v>45510</v>
      </c>
      <c r="E1309" s="1">
        <f t="shared" ca="1" si="244"/>
        <v>45522</v>
      </c>
      <c r="F1309" t="str">
        <f t="shared" ca="1" si="245"/>
        <v>Hypertension</v>
      </c>
      <c r="G1309" t="str">
        <f t="shared" ca="1" si="246"/>
        <v>Surgery</v>
      </c>
      <c r="H1309">
        <f t="shared" ca="1" si="247"/>
        <v>12</v>
      </c>
      <c r="I1309" t="str">
        <f t="shared" ca="1" si="248"/>
        <v>No</v>
      </c>
      <c r="J1309">
        <f t="shared" ca="1" si="249"/>
        <v>4</v>
      </c>
      <c r="K1309" t="str">
        <f t="shared" ca="1" si="250"/>
        <v>Private</v>
      </c>
      <c r="L1309" t="str">
        <f t="shared" ca="1" si="251"/>
        <v>ER</v>
      </c>
    </row>
    <row r="1310" spans="1:12" x14ac:dyDescent="0.25">
      <c r="A1310">
        <f t="shared" si="240"/>
        <v>1309</v>
      </c>
      <c r="B1310">
        <f t="shared" ca="1" si="241"/>
        <v>58</v>
      </c>
      <c r="C1310" t="str">
        <f t="shared" ca="1" si="242"/>
        <v>Female</v>
      </c>
      <c r="D1310" s="1">
        <f t="shared" ca="1" si="243"/>
        <v>45391</v>
      </c>
      <c r="E1310" s="1">
        <f t="shared" ca="1" si="244"/>
        <v>45398</v>
      </c>
      <c r="F1310" t="str">
        <f t="shared" ca="1" si="245"/>
        <v>Heart Failure</v>
      </c>
      <c r="G1310" t="str">
        <f t="shared" ca="1" si="246"/>
        <v>Therapy</v>
      </c>
      <c r="H1310">
        <f t="shared" ca="1" si="247"/>
        <v>7</v>
      </c>
      <c r="I1310" t="str">
        <f t="shared" ca="1" si="248"/>
        <v>No</v>
      </c>
      <c r="J1310">
        <f t="shared" ca="1" si="249"/>
        <v>4</v>
      </c>
      <c r="K1310" t="str">
        <f t="shared" ca="1" si="250"/>
        <v>None</v>
      </c>
      <c r="L1310" t="str">
        <f t="shared" ca="1" si="251"/>
        <v>ICU</v>
      </c>
    </row>
    <row r="1311" spans="1:12" x14ac:dyDescent="0.25">
      <c r="A1311">
        <f t="shared" si="240"/>
        <v>1310</v>
      </c>
      <c r="B1311">
        <f t="shared" ca="1" si="241"/>
        <v>52</v>
      </c>
      <c r="C1311" t="str">
        <f t="shared" ca="1" si="242"/>
        <v>Male</v>
      </c>
      <c r="D1311" s="1">
        <f t="shared" ca="1" si="243"/>
        <v>45506</v>
      </c>
      <c r="E1311" s="1">
        <f t="shared" ca="1" si="244"/>
        <v>45520</v>
      </c>
      <c r="F1311" t="str">
        <f t="shared" ca="1" si="245"/>
        <v>Diabetes</v>
      </c>
      <c r="G1311" t="str">
        <f t="shared" ca="1" si="246"/>
        <v>Surgery</v>
      </c>
      <c r="H1311">
        <f t="shared" ca="1" si="247"/>
        <v>14</v>
      </c>
      <c r="I1311" t="str">
        <f t="shared" ca="1" si="248"/>
        <v>Yes</v>
      </c>
      <c r="J1311">
        <f t="shared" ca="1" si="249"/>
        <v>3</v>
      </c>
      <c r="K1311" t="str">
        <f t="shared" ca="1" si="250"/>
        <v>Public</v>
      </c>
      <c r="L1311" t="str">
        <f t="shared" ca="1" si="251"/>
        <v>General</v>
      </c>
    </row>
    <row r="1312" spans="1:12" x14ac:dyDescent="0.25">
      <c r="A1312">
        <f t="shared" si="240"/>
        <v>1311</v>
      </c>
      <c r="B1312">
        <f t="shared" ca="1" si="241"/>
        <v>22</v>
      </c>
      <c r="C1312" t="str">
        <f t="shared" ca="1" si="242"/>
        <v>Male</v>
      </c>
      <c r="D1312" s="1">
        <f t="shared" ca="1" si="243"/>
        <v>45628</v>
      </c>
      <c r="E1312" s="1">
        <f t="shared" ca="1" si="244"/>
        <v>45631</v>
      </c>
      <c r="F1312" t="str">
        <f t="shared" ca="1" si="245"/>
        <v>Pneumonia</v>
      </c>
      <c r="G1312" t="str">
        <f t="shared" ca="1" si="246"/>
        <v>Surgery</v>
      </c>
      <c r="H1312">
        <f t="shared" ca="1" si="247"/>
        <v>3</v>
      </c>
      <c r="I1312" t="str">
        <f t="shared" ca="1" si="248"/>
        <v>No</v>
      </c>
      <c r="J1312">
        <f t="shared" ca="1" si="249"/>
        <v>0</v>
      </c>
      <c r="K1312" t="str">
        <f t="shared" ca="1" si="250"/>
        <v>None</v>
      </c>
      <c r="L1312" t="str">
        <f t="shared" ca="1" si="251"/>
        <v>ER</v>
      </c>
    </row>
    <row r="1313" spans="1:12" x14ac:dyDescent="0.25">
      <c r="A1313">
        <f t="shared" si="240"/>
        <v>1312</v>
      </c>
      <c r="B1313">
        <f t="shared" ca="1" si="241"/>
        <v>72</v>
      </c>
      <c r="C1313" t="str">
        <f t="shared" ca="1" si="242"/>
        <v>Male</v>
      </c>
      <c r="D1313" s="1">
        <f t="shared" ca="1" si="243"/>
        <v>45359</v>
      </c>
      <c r="E1313" s="1">
        <f t="shared" ca="1" si="244"/>
        <v>45372</v>
      </c>
      <c r="F1313" t="str">
        <f t="shared" ca="1" si="245"/>
        <v>Diabetes</v>
      </c>
      <c r="G1313" t="str">
        <f t="shared" ca="1" si="246"/>
        <v>Surgery</v>
      </c>
      <c r="H1313">
        <f t="shared" ca="1" si="247"/>
        <v>13</v>
      </c>
      <c r="I1313" t="str">
        <f t="shared" ca="1" si="248"/>
        <v>No</v>
      </c>
      <c r="J1313">
        <f t="shared" ca="1" si="249"/>
        <v>2</v>
      </c>
      <c r="K1313" t="str">
        <f t="shared" ca="1" si="250"/>
        <v>Public</v>
      </c>
      <c r="L1313" t="str">
        <f t="shared" ca="1" si="251"/>
        <v>General</v>
      </c>
    </row>
    <row r="1314" spans="1:12" x14ac:dyDescent="0.25">
      <c r="A1314">
        <f t="shared" si="240"/>
        <v>1313</v>
      </c>
      <c r="B1314">
        <f t="shared" ca="1" si="241"/>
        <v>31</v>
      </c>
      <c r="C1314" t="str">
        <f t="shared" ca="1" si="242"/>
        <v>Male</v>
      </c>
      <c r="D1314" s="1">
        <f t="shared" ca="1" si="243"/>
        <v>45383</v>
      </c>
      <c r="E1314" s="1">
        <f t="shared" ca="1" si="244"/>
        <v>45386</v>
      </c>
      <c r="F1314" t="str">
        <f t="shared" ca="1" si="245"/>
        <v>Diabetes</v>
      </c>
      <c r="G1314" t="str">
        <f t="shared" ca="1" si="246"/>
        <v>Therapy</v>
      </c>
      <c r="H1314">
        <f t="shared" ca="1" si="247"/>
        <v>3</v>
      </c>
      <c r="I1314" t="str">
        <f t="shared" ca="1" si="248"/>
        <v>No</v>
      </c>
      <c r="J1314">
        <f t="shared" ca="1" si="249"/>
        <v>3</v>
      </c>
      <c r="K1314" t="str">
        <f t="shared" ca="1" si="250"/>
        <v>Private</v>
      </c>
      <c r="L1314" t="str">
        <f t="shared" ca="1" si="251"/>
        <v>ER</v>
      </c>
    </row>
    <row r="1315" spans="1:12" x14ac:dyDescent="0.25">
      <c r="A1315">
        <f t="shared" si="240"/>
        <v>1314</v>
      </c>
      <c r="B1315">
        <f t="shared" ca="1" si="241"/>
        <v>59</v>
      </c>
      <c r="C1315" t="str">
        <f t="shared" ca="1" si="242"/>
        <v>Male</v>
      </c>
      <c r="D1315" s="1">
        <f t="shared" ca="1" si="243"/>
        <v>45393</v>
      </c>
      <c r="E1315" s="1">
        <f t="shared" ca="1" si="244"/>
        <v>45402</v>
      </c>
      <c r="F1315" t="str">
        <f t="shared" ca="1" si="245"/>
        <v>Pneumonia</v>
      </c>
      <c r="G1315" t="str">
        <f t="shared" ca="1" si="246"/>
        <v>Surgery</v>
      </c>
      <c r="H1315">
        <f t="shared" ca="1" si="247"/>
        <v>9</v>
      </c>
      <c r="I1315" t="str">
        <f t="shared" ca="1" si="248"/>
        <v>No</v>
      </c>
      <c r="J1315">
        <f t="shared" ca="1" si="249"/>
        <v>3</v>
      </c>
      <c r="K1315" t="str">
        <f t="shared" ca="1" si="250"/>
        <v>Private</v>
      </c>
      <c r="L1315" t="str">
        <f t="shared" ca="1" si="251"/>
        <v>Neurology</v>
      </c>
    </row>
    <row r="1316" spans="1:12" x14ac:dyDescent="0.25">
      <c r="A1316">
        <f t="shared" si="240"/>
        <v>1315</v>
      </c>
      <c r="B1316">
        <f t="shared" ca="1" si="241"/>
        <v>36</v>
      </c>
      <c r="C1316" t="str">
        <f t="shared" ca="1" si="242"/>
        <v>Male</v>
      </c>
      <c r="D1316" s="1">
        <f t="shared" ca="1" si="243"/>
        <v>45629</v>
      </c>
      <c r="E1316" s="1">
        <f t="shared" ca="1" si="244"/>
        <v>45635</v>
      </c>
      <c r="F1316" t="str">
        <f t="shared" ca="1" si="245"/>
        <v>Pneumonia</v>
      </c>
      <c r="G1316" t="str">
        <f t="shared" ca="1" si="246"/>
        <v>Medication</v>
      </c>
      <c r="H1316">
        <f t="shared" ca="1" si="247"/>
        <v>6</v>
      </c>
      <c r="I1316" t="str">
        <f t="shared" ca="1" si="248"/>
        <v>No</v>
      </c>
      <c r="J1316">
        <f t="shared" ca="1" si="249"/>
        <v>1</v>
      </c>
      <c r="K1316" t="str">
        <f t="shared" ca="1" si="250"/>
        <v>Public</v>
      </c>
      <c r="L1316" t="str">
        <f t="shared" ca="1" si="251"/>
        <v>ICU</v>
      </c>
    </row>
    <row r="1317" spans="1:12" x14ac:dyDescent="0.25">
      <c r="A1317">
        <f t="shared" si="240"/>
        <v>1316</v>
      </c>
      <c r="B1317">
        <f t="shared" ca="1" si="241"/>
        <v>76</v>
      </c>
      <c r="C1317" t="str">
        <f t="shared" ca="1" si="242"/>
        <v>Male</v>
      </c>
      <c r="D1317" s="1">
        <f t="shared" ca="1" si="243"/>
        <v>45645</v>
      </c>
      <c r="E1317" s="1">
        <f t="shared" ca="1" si="244"/>
        <v>45646</v>
      </c>
      <c r="F1317" t="str">
        <f t="shared" ca="1" si="245"/>
        <v>Stroke</v>
      </c>
      <c r="G1317" t="str">
        <f t="shared" ca="1" si="246"/>
        <v>Surgery</v>
      </c>
      <c r="H1317">
        <f t="shared" ca="1" si="247"/>
        <v>1</v>
      </c>
      <c r="I1317" t="str">
        <f t="shared" ca="1" si="248"/>
        <v>Yes</v>
      </c>
      <c r="J1317">
        <f t="shared" ca="1" si="249"/>
        <v>4</v>
      </c>
      <c r="K1317" t="str">
        <f t="shared" ca="1" si="250"/>
        <v>None</v>
      </c>
      <c r="L1317" t="str">
        <f t="shared" ca="1" si="251"/>
        <v>ICU</v>
      </c>
    </row>
    <row r="1318" spans="1:12" x14ac:dyDescent="0.25">
      <c r="A1318">
        <f t="shared" si="240"/>
        <v>1317</v>
      </c>
      <c r="B1318">
        <f t="shared" ca="1" si="241"/>
        <v>50</v>
      </c>
      <c r="C1318" t="str">
        <f t="shared" ca="1" si="242"/>
        <v>Male</v>
      </c>
      <c r="D1318" s="1">
        <f t="shared" ca="1" si="243"/>
        <v>45622</v>
      </c>
      <c r="E1318" s="1">
        <f t="shared" ca="1" si="244"/>
        <v>45626</v>
      </c>
      <c r="F1318" t="str">
        <f t="shared" ca="1" si="245"/>
        <v>Stroke</v>
      </c>
      <c r="G1318" t="str">
        <f t="shared" ca="1" si="246"/>
        <v>Therapy</v>
      </c>
      <c r="H1318">
        <f t="shared" ca="1" si="247"/>
        <v>4</v>
      </c>
      <c r="I1318" t="str">
        <f t="shared" ca="1" si="248"/>
        <v>No</v>
      </c>
      <c r="J1318">
        <f t="shared" ca="1" si="249"/>
        <v>1</v>
      </c>
      <c r="K1318" t="str">
        <f t="shared" ca="1" si="250"/>
        <v>None</v>
      </c>
      <c r="L1318" t="str">
        <f t="shared" ca="1" si="251"/>
        <v>Neurology</v>
      </c>
    </row>
    <row r="1319" spans="1:12" x14ac:dyDescent="0.25">
      <c r="A1319">
        <f t="shared" si="240"/>
        <v>1318</v>
      </c>
      <c r="B1319">
        <f t="shared" ca="1" si="241"/>
        <v>76</v>
      </c>
      <c r="C1319" t="str">
        <f t="shared" ca="1" si="242"/>
        <v>Female</v>
      </c>
      <c r="D1319" s="1">
        <f t="shared" ca="1" si="243"/>
        <v>45482</v>
      </c>
      <c r="E1319" s="1">
        <f t="shared" ca="1" si="244"/>
        <v>45497</v>
      </c>
      <c r="F1319" t="str">
        <f t="shared" ca="1" si="245"/>
        <v>Pneumonia</v>
      </c>
      <c r="G1319" t="str">
        <f t="shared" ca="1" si="246"/>
        <v>Surgery</v>
      </c>
      <c r="H1319">
        <f t="shared" ca="1" si="247"/>
        <v>15</v>
      </c>
      <c r="I1319" t="str">
        <f t="shared" ca="1" si="248"/>
        <v>No</v>
      </c>
      <c r="J1319">
        <f t="shared" ca="1" si="249"/>
        <v>4</v>
      </c>
      <c r="K1319" t="str">
        <f t="shared" ca="1" si="250"/>
        <v>Public</v>
      </c>
      <c r="L1319" t="str">
        <f t="shared" ca="1" si="251"/>
        <v>ER</v>
      </c>
    </row>
    <row r="1320" spans="1:12" x14ac:dyDescent="0.25">
      <c r="A1320">
        <f t="shared" si="240"/>
        <v>1319</v>
      </c>
      <c r="B1320">
        <f t="shared" ca="1" si="241"/>
        <v>83</v>
      </c>
      <c r="C1320" t="str">
        <f t="shared" ca="1" si="242"/>
        <v>Female</v>
      </c>
      <c r="D1320" s="1">
        <f t="shared" ca="1" si="243"/>
        <v>45515</v>
      </c>
      <c r="E1320" s="1">
        <f t="shared" ca="1" si="244"/>
        <v>45519</v>
      </c>
      <c r="F1320" t="str">
        <f t="shared" ca="1" si="245"/>
        <v>Stroke</v>
      </c>
      <c r="G1320" t="str">
        <f t="shared" ca="1" si="246"/>
        <v>Medication</v>
      </c>
      <c r="H1320">
        <f t="shared" ca="1" si="247"/>
        <v>4</v>
      </c>
      <c r="I1320" t="str">
        <f t="shared" ca="1" si="248"/>
        <v>Yes</v>
      </c>
      <c r="J1320">
        <f t="shared" ca="1" si="249"/>
        <v>0</v>
      </c>
      <c r="K1320" t="str">
        <f t="shared" ca="1" si="250"/>
        <v>Private</v>
      </c>
      <c r="L1320" t="str">
        <f t="shared" ca="1" si="251"/>
        <v>ICU</v>
      </c>
    </row>
    <row r="1321" spans="1:12" x14ac:dyDescent="0.25">
      <c r="A1321">
        <f t="shared" si="240"/>
        <v>1320</v>
      </c>
      <c r="B1321">
        <f t="shared" ca="1" si="241"/>
        <v>29</v>
      </c>
      <c r="C1321" t="str">
        <f t="shared" ca="1" si="242"/>
        <v>Male</v>
      </c>
      <c r="D1321" s="1">
        <f t="shared" ca="1" si="243"/>
        <v>45515</v>
      </c>
      <c r="E1321" s="1">
        <f t="shared" ca="1" si="244"/>
        <v>45519</v>
      </c>
      <c r="F1321" t="str">
        <f t="shared" ca="1" si="245"/>
        <v>Diabetes</v>
      </c>
      <c r="G1321" t="str">
        <f t="shared" ca="1" si="246"/>
        <v>Medication</v>
      </c>
      <c r="H1321">
        <f t="shared" ca="1" si="247"/>
        <v>4</v>
      </c>
      <c r="I1321" t="str">
        <f t="shared" ca="1" si="248"/>
        <v>No</v>
      </c>
      <c r="J1321">
        <f t="shared" ca="1" si="249"/>
        <v>2</v>
      </c>
      <c r="K1321" t="str">
        <f t="shared" ca="1" si="250"/>
        <v>Private</v>
      </c>
      <c r="L1321" t="str">
        <f t="shared" ca="1" si="251"/>
        <v>Cardiology</v>
      </c>
    </row>
    <row r="1322" spans="1:12" x14ac:dyDescent="0.25">
      <c r="A1322">
        <f t="shared" si="240"/>
        <v>1321</v>
      </c>
      <c r="B1322">
        <f t="shared" ca="1" si="241"/>
        <v>42</v>
      </c>
      <c r="C1322" t="str">
        <f t="shared" ca="1" si="242"/>
        <v>Female</v>
      </c>
      <c r="D1322" s="1">
        <f t="shared" ca="1" si="243"/>
        <v>45649</v>
      </c>
      <c r="E1322" s="1">
        <f t="shared" ca="1" si="244"/>
        <v>45652</v>
      </c>
      <c r="F1322" t="str">
        <f t="shared" ca="1" si="245"/>
        <v>Stroke</v>
      </c>
      <c r="G1322" t="str">
        <f t="shared" ca="1" si="246"/>
        <v>Surgery</v>
      </c>
      <c r="H1322">
        <f t="shared" ca="1" si="247"/>
        <v>3</v>
      </c>
      <c r="I1322" t="str">
        <f t="shared" ca="1" si="248"/>
        <v>Yes</v>
      </c>
      <c r="J1322">
        <f t="shared" ca="1" si="249"/>
        <v>1</v>
      </c>
      <c r="K1322" t="str">
        <f t="shared" ca="1" si="250"/>
        <v>None</v>
      </c>
      <c r="L1322" t="str">
        <f t="shared" ca="1" si="251"/>
        <v>ICU</v>
      </c>
    </row>
    <row r="1323" spans="1:12" x14ac:dyDescent="0.25">
      <c r="A1323">
        <f t="shared" si="240"/>
        <v>1322</v>
      </c>
      <c r="B1323">
        <f t="shared" ca="1" si="241"/>
        <v>65</v>
      </c>
      <c r="C1323" t="str">
        <f t="shared" ca="1" si="242"/>
        <v>Female</v>
      </c>
      <c r="D1323" s="1">
        <f t="shared" ca="1" si="243"/>
        <v>45372</v>
      </c>
      <c r="E1323" s="1">
        <f t="shared" ca="1" si="244"/>
        <v>45373</v>
      </c>
      <c r="F1323" t="str">
        <f t="shared" ca="1" si="245"/>
        <v>Stroke</v>
      </c>
      <c r="G1323" t="str">
        <f t="shared" ca="1" si="246"/>
        <v>Surgery</v>
      </c>
      <c r="H1323">
        <f t="shared" ca="1" si="247"/>
        <v>1</v>
      </c>
      <c r="I1323" t="str">
        <f t="shared" ca="1" si="248"/>
        <v>No</v>
      </c>
      <c r="J1323">
        <f t="shared" ca="1" si="249"/>
        <v>0</v>
      </c>
      <c r="K1323" t="str">
        <f t="shared" ca="1" si="250"/>
        <v>None</v>
      </c>
      <c r="L1323" t="str">
        <f t="shared" ca="1" si="251"/>
        <v>ER</v>
      </c>
    </row>
    <row r="1324" spans="1:12" x14ac:dyDescent="0.25">
      <c r="A1324">
        <f t="shared" si="240"/>
        <v>1323</v>
      </c>
      <c r="B1324">
        <f t="shared" ca="1" si="241"/>
        <v>67</v>
      </c>
      <c r="C1324" t="str">
        <f t="shared" ca="1" si="242"/>
        <v>Female</v>
      </c>
      <c r="D1324" s="1">
        <f t="shared" ca="1" si="243"/>
        <v>45498</v>
      </c>
      <c r="E1324" s="1">
        <f t="shared" ca="1" si="244"/>
        <v>45500</v>
      </c>
      <c r="F1324" t="str">
        <f t="shared" ca="1" si="245"/>
        <v>Stroke</v>
      </c>
      <c r="G1324" t="str">
        <f t="shared" ca="1" si="246"/>
        <v>Therapy</v>
      </c>
      <c r="H1324">
        <f t="shared" ca="1" si="247"/>
        <v>2</v>
      </c>
      <c r="I1324" t="str">
        <f t="shared" ca="1" si="248"/>
        <v>No</v>
      </c>
      <c r="J1324">
        <f t="shared" ca="1" si="249"/>
        <v>0</v>
      </c>
      <c r="K1324" t="str">
        <f t="shared" ca="1" si="250"/>
        <v>None</v>
      </c>
      <c r="L1324" t="str">
        <f t="shared" ca="1" si="251"/>
        <v>Neurology</v>
      </c>
    </row>
    <row r="1325" spans="1:12" x14ac:dyDescent="0.25">
      <c r="A1325">
        <f t="shared" si="240"/>
        <v>1324</v>
      </c>
      <c r="B1325">
        <f t="shared" ca="1" si="241"/>
        <v>59</v>
      </c>
      <c r="C1325" t="str">
        <f t="shared" ca="1" si="242"/>
        <v>Male</v>
      </c>
      <c r="D1325" s="1">
        <f t="shared" ca="1" si="243"/>
        <v>45433</v>
      </c>
      <c r="E1325" s="1">
        <f t="shared" ca="1" si="244"/>
        <v>45447</v>
      </c>
      <c r="F1325" t="str">
        <f t="shared" ca="1" si="245"/>
        <v>Diabetes</v>
      </c>
      <c r="G1325" t="str">
        <f t="shared" ca="1" si="246"/>
        <v>Therapy</v>
      </c>
      <c r="H1325">
        <f t="shared" ca="1" si="247"/>
        <v>14</v>
      </c>
      <c r="I1325" t="str">
        <f t="shared" ca="1" si="248"/>
        <v>No</v>
      </c>
      <c r="J1325">
        <f t="shared" ca="1" si="249"/>
        <v>4</v>
      </c>
      <c r="K1325" t="str">
        <f t="shared" ca="1" si="250"/>
        <v>Private</v>
      </c>
      <c r="L1325" t="str">
        <f t="shared" ca="1" si="251"/>
        <v>Cardiology</v>
      </c>
    </row>
    <row r="1326" spans="1:12" x14ac:dyDescent="0.25">
      <c r="A1326">
        <f t="shared" si="240"/>
        <v>1325</v>
      </c>
      <c r="B1326">
        <f t="shared" ca="1" si="241"/>
        <v>51</v>
      </c>
      <c r="C1326" t="str">
        <f t="shared" ca="1" si="242"/>
        <v>Female</v>
      </c>
      <c r="D1326" s="1">
        <f t="shared" ca="1" si="243"/>
        <v>45463</v>
      </c>
      <c r="E1326" s="1">
        <f t="shared" ca="1" si="244"/>
        <v>45473</v>
      </c>
      <c r="F1326" t="str">
        <f t="shared" ca="1" si="245"/>
        <v>Hypertension</v>
      </c>
      <c r="G1326" t="str">
        <f t="shared" ca="1" si="246"/>
        <v>Medication</v>
      </c>
      <c r="H1326">
        <f t="shared" ca="1" si="247"/>
        <v>10</v>
      </c>
      <c r="I1326" t="str">
        <f t="shared" ca="1" si="248"/>
        <v>No</v>
      </c>
      <c r="J1326">
        <f t="shared" ca="1" si="249"/>
        <v>3</v>
      </c>
      <c r="K1326" t="str">
        <f t="shared" ca="1" si="250"/>
        <v>Private</v>
      </c>
      <c r="L1326" t="str">
        <f t="shared" ca="1" si="251"/>
        <v>ICU</v>
      </c>
    </row>
    <row r="1327" spans="1:12" x14ac:dyDescent="0.25">
      <c r="A1327">
        <f t="shared" si="240"/>
        <v>1326</v>
      </c>
      <c r="B1327">
        <f t="shared" ca="1" si="241"/>
        <v>55</v>
      </c>
      <c r="C1327" t="str">
        <f t="shared" ca="1" si="242"/>
        <v>Male</v>
      </c>
      <c r="D1327" s="1">
        <f t="shared" ca="1" si="243"/>
        <v>45606</v>
      </c>
      <c r="E1327" s="1">
        <f t="shared" ca="1" si="244"/>
        <v>45615</v>
      </c>
      <c r="F1327" t="str">
        <f t="shared" ca="1" si="245"/>
        <v>Stroke</v>
      </c>
      <c r="G1327" t="str">
        <f t="shared" ca="1" si="246"/>
        <v>Therapy</v>
      </c>
      <c r="H1327">
        <f t="shared" ca="1" si="247"/>
        <v>9</v>
      </c>
      <c r="I1327" t="str">
        <f t="shared" ca="1" si="248"/>
        <v>No</v>
      </c>
      <c r="J1327">
        <f t="shared" ca="1" si="249"/>
        <v>3</v>
      </c>
      <c r="K1327" t="str">
        <f t="shared" ca="1" si="250"/>
        <v>Public</v>
      </c>
      <c r="L1327" t="str">
        <f t="shared" ca="1" si="251"/>
        <v>ICU</v>
      </c>
    </row>
    <row r="1328" spans="1:12" x14ac:dyDescent="0.25">
      <c r="A1328">
        <f t="shared" si="240"/>
        <v>1327</v>
      </c>
      <c r="B1328">
        <f t="shared" ca="1" si="241"/>
        <v>87</v>
      </c>
      <c r="C1328" t="str">
        <f t="shared" ca="1" si="242"/>
        <v>Male</v>
      </c>
      <c r="D1328" s="1">
        <f t="shared" ca="1" si="243"/>
        <v>45409</v>
      </c>
      <c r="E1328" s="1">
        <f t="shared" ca="1" si="244"/>
        <v>45414</v>
      </c>
      <c r="F1328" t="str">
        <f t="shared" ca="1" si="245"/>
        <v>Diabetes</v>
      </c>
      <c r="G1328" t="str">
        <f t="shared" ca="1" si="246"/>
        <v>Surgery</v>
      </c>
      <c r="H1328">
        <f t="shared" ca="1" si="247"/>
        <v>5</v>
      </c>
      <c r="I1328" t="str">
        <f t="shared" ca="1" si="248"/>
        <v>No</v>
      </c>
      <c r="J1328">
        <f t="shared" ca="1" si="249"/>
        <v>0</v>
      </c>
      <c r="K1328" t="str">
        <f t="shared" ca="1" si="250"/>
        <v>Private</v>
      </c>
      <c r="L1328" t="str">
        <f t="shared" ca="1" si="251"/>
        <v>Neurology</v>
      </c>
    </row>
    <row r="1329" spans="1:12" x14ac:dyDescent="0.25">
      <c r="A1329">
        <f t="shared" si="240"/>
        <v>1328</v>
      </c>
      <c r="B1329">
        <f t="shared" ca="1" si="241"/>
        <v>33</v>
      </c>
      <c r="C1329" t="str">
        <f t="shared" ca="1" si="242"/>
        <v>Female</v>
      </c>
      <c r="D1329" s="1">
        <f t="shared" ca="1" si="243"/>
        <v>45408</v>
      </c>
      <c r="E1329" s="1">
        <f t="shared" ca="1" si="244"/>
        <v>45411</v>
      </c>
      <c r="F1329" t="str">
        <f t="shared" ca="1" si="245"/>
        <v>Pneumonia</v>
      </c>
      <c r="G1329" t="str">
        <f t="shared" ca="1" si="246"/>
        <v>Surgery</v>
      </c>
      <c r="H1329">
        <f t="shared" ca="1" si="247"/>
        <v>3</v>
      </c>
      <c r="I1329" t="str">
        <f t="shared" ca="1" si="248"/>
        <v>Yes</v>
      </c>
      <c r="J1329">
        <f t="shared" ca="1" si="249"/>
        <v>2</v>
      </c>
      <c r="K1329" t="str">
        <f t="shared" ca="1" si="250"/>
        <v>Public</v>
      </c>
      <c r="L1329" t="str">
        <f t="shared" ca="1" si="251"/>
        <v>Neurology</v>
      </c>
    </row>
    <row r="1330" spans="1:12" x14ac:dyDescent="0.25">
      <c r="A1330">
        <f t="shared" si="240"/>
        <v>1329</v>
      </c>
      <c r="B1330">
        <f t="shared" ca="1" si="241"/>
        <v>62</v>
      </c>
      <c r="C1330" t="str">
        <f t="shared" ca="1" si="242"/>
        <v>Male</v>
      </c>
      <c r="D1330" s="1">
        <f t="shared" ca="1" si="243"/>
        <v>45308</v>
      </c>
      <c r="E1330" s="1">
        <f t="shared" ca="1" si="244"/>
        <v>45319</v>
      </c>
      <c r="F1330" t="str">
        <f t="shared" ca="1" si="245"/>
        <v>Pneumonia</v>
      </c>
      <c r="G1330" t="str">
        <f t="shared" ca="1" si="246"/>
        <v>Therapy</v>
      </c>
      <c r="H1330">
        <f t="shared" ca="1" si="247"/>
        <v>11</v>
      </c>
      <c r="I1330" t="str">
        <f t="shared" ca="1" si="248"/>
        <v>No</v>
      </c>
      <c r="J1330">
        <f t="shared" ca="1" si="249"/>
        <v>0</v>
      </c>
      <c r="K1330" t="str">
        <f t="shared" ca="1" si="250"/>
        <v>Private</v>
      </c>
      <c r="L1330" t="str">
        <f t="shared" ca="1" si="251"/>
        <v>ICU</v>
      </c>
    </row>
    <row r="1331" spans="1:12" x14ac:dyDescent="0.25">
      <c r="A1331">
        <f t="shared" si="240"/>
        <v>1330</v>
      </c>
      <c r="B1331">
        <f t="shared" ca="1" si="241"/>
        <v>88</v>
      </c>
      <c r="C1331" t="str">
        <f t="shared" ca="1" si="242"/>
        <v>Male</v>
      </c>
      <c r="D1331" s="1">
        <f t="shared" ca="1" si="243"/>
        <v>45401</v>
      </c>
      <c r="E1331" s="1">
        <f t="shared" ca="1" si="244"/>
        <v>45403</v>
      </c>
      <c r="F1331" t="str">
        <f t="shared" ca="1" si="245"/>
        <v>Hypertension</v>
      </c>
      <c r="G1331" t="str">
        <f t="shared" ca="1" si="246"/>
        <v>Therapy</v>
      </c>
      <c r="H1331">
        <f t="shared" ca="1" si="247"/>
        <v>2</v>
      </c>
      <c r="I1331" t="str">
        <f t="shared" ca="1" si="248"/>
        <v>No</v>
      </c>
      <c r="J1331">
        <f t="shared" ca="1" si="249"/>
        <v>1</v>
      </c>
      <c r="K1331" t="str">
        <f t="shared" ca="1" si="250"/>
        <v>Public</v>
      </c>
      <c r="L1331" t="str">
        <f t="shared" ca="1" si="251"/>
        <v>Neurology</v>
      </c>
    </row>
    <row r="1332" spans="1:12" x14ac:dyDescent="0.25">
      <c r="A1332">
        <f t="shared" si="240"/>
        <v>1331</v>
      </c>
      <c r="B1332">
        <f t="shared" ca="1" si="241"/>
        <v>88</v>
      </c>
      <c r="C1332" t="str">
        <f t="shared" ca="1" si="242"/>
        <v>Female</v>
      </c>
      <c r="D1332" s="1">
        <f t="shared" ca="1" si="243"/>
        <v>45625</v>
      </c>
      <c r="E1332" s="1">
        <f t="shared" ca="1" si="244"/>
        <v>45634</v>
      </c>
      <c r="F1332" t="str">
        <f t="shared" ca="1" si="245"/>
        <v>Pneumonia</v>
      </c>
      <c r="G1332" t="str">
        <f t="shared" ca="1" si="246"/>
        <v>Therapy</v>
      </c>
      <c r="H1332">
        <f t="shared" ca="1" si="247"/>
        <v>9</v>
      </c>
      <c r="I1332" t="str">
        <f t="shared" ca="1" si="248"/>
        <v>Yes</v>
      </c>
      <c r="J1332">
        <f t="shared" ca="1" si="249"/>
        <v>3</v>
      </c>
      <c r="K1332" t="str">
        <f t="shared" ca="1" si="250"/>
        <v>Private</v>
      </c>
      <c r="L1332" t="str">
        <f t="shared" ca="1" si="251"/>
        <v>Cardiology</v>
      </c>
    </row>
    <row r="1333" spans="1:12" x14ac:dyDescent="0.25">
      <c r="A1333">
        <f t="shared" si="240"/>
        <v>1332</v>
      </c>
      <c r="B1333">
        <f t="shared" ca="1" si="241"/>
        <v>20</v>
      </c>
      <c r="C1333" t="str">
        <f t="shared" ca="1" si="242"/>
        <v>Male</v>
      </c>
      <c r="D1333" s="1">
        <f t="shared" ca="1" si="243"/>
        <v>45572</v>
      </c>
      <c r="E1333" s="1">
        <f t="shared" ca="1" si="244"/>
        <v>45581</v>
      </c>
      <c r="F1333" t="str">
        <f t="shared" ca="1" si="245"/>
        <v>Heart Failure</v>
      </c>
      <c r="G1333" t="str">
        <f t="shared" ca="1" si="246"/>
        <v>Medication</v>
      </c>
      <c r="H1333">
        <f t="shared" ca="1" si="247"/>
        <v>9</v>
      </c>
      <c r="I1333" t="str">
        <f t="shared" ca="1" si="248"/>
        <v>No</v>
      </c>
      <c r="J1333">
        <f t="shared" ca="1" si="249"/>
        <v>4</v>
      </c>
      <c r="K1333" t="str">
        <f t="shared" ca="1" si="250"/>
        <v>None</v>
      </c>
      <c r="L1333" t="str">
        <f t="shared" ca="1" si="251"/>
        <v>Cardiology</v>
      </c>
    </row>
    <row r="1334" spans="1:12" x14ac:dyDescent="0.25">
      <c r="A1334">
        <f t="shared" si="240"/>
        <v>1333</v>
      </c>
      <c r="B1334">
        <f t="shared" ca="1" si="241"/>
        <v>34</v>
      </c>
      <c r="C1334" t="str">
        <f t="shared" ca="1" si="242"/>
        <v>Male</v>
      </c>
      <c r="D1334" s="1">
        <f t="shared" ca="1" si="243"/>
        <v>45503</v>
      </c>
      <c r="E1334" s="1">
        <f t="shared" ca="1" si="244"/>
        <v>45514</v>
      </c>
      <c r="F1334" t="str">
        <f t="shared" ca="1" si="245"/>
        <v>Stroke</v>
      </c>
      <c r="G1334" t="str">
        <f t="shared" ca="1" si="246"/>
        <v>Surgery</v>
      </c>
      <c r="H1334">
        <f t="shared" ca="1" si="247"/>
        <v>11</v>
      </c>
      <c r="I1334" t="str">
        <f t="shared" ca="1" si="248"/>
        <v>No</v>
      </c>
      <c r="J1334">
        <f t="shared" ca="1" si="249"/>
        <v>3</v>
      </c>
      <c r="K1334" t="str">
        <f t="shared" ca="1" si="250"/>
        <v>Public</v>
      </c>
      <c r="L1334" t="str">
        <f t="shared" ca="1" si="251"/>
        <v>Cardiology</v>
      </c>
    </row>
    <row r="1335" spans="1:12" x14ac:dyDescent="0.25">
      <c r="A1335">
        <f t="shared" si="240"/>
        <v>1334</v>
      </c>
      <c r="B1335">
        <f t="shared" ca="1" si="241"/>
        <v>62</v>
      </c>
      <c r="C1335" t="str">
        <f t="shared" ca="1" si="242"/>
        <v>Female</v>
      </c>
      <c r="D1335" s="1">
        <f t="shared" ca="1" si="243"/>
        <v>45350</v>
      </c>
      <c r="E1335" s="1">
        <f t="shared" ca="1" si="244"/>
        <v>45353</v>
      </c>
      <c r="F1335" t="str">
        <f t="shared" ca="1" si="245"/>
        <v>Stroke</v>
      </c>
      <c r="G1335" t="str">
        <f t="shared" ca="1" si="246"/>
        <v>Surgery</v>
      </c>
      <c r="H1335">
        <f t="shared" ca="1" si="247"/>
        <v>3</v>
      </c>
      <c r="I1335" t="str">
        <f t="shared" ca="1" si="248"/>
        <v>No</v>
      </c>
      <c r="J1335">
        <f t="shared" ca="1" si="249"/>
        <v>1</v>
      </c>
      <c r="K1335" t="str">
        <f t="shared" ca="1" si="250"/>
        <v>Private</v>
      </c>
      <c r="L1335" t="str">
        <f t="shared" ca="1" si="251"/>
        <v>ER</v>
      </c>
    </row>
    <row r="1336" spans="1:12" x14ac:dyDescent="0.25">
      <c r="A1336">
        <f t="shared" si="240"/>
        <v>1335</v>
      </c>
      <c r="B1336">
        <f t="shared" ca="1" si="241"/>
        <v>80</v>
      </c>
      <c r="C1336" t="str">
        <f t="shared" ca="1" si="242"/>
        <v>Female</v>
      </c>
      <c r="D1336" s="1">
        <f t="shared" ca="1" si="243"/>
        <v>45485</v>
      </c>
      <c r="E1336" s="1">
        <f t="shared" ca="1" si="244"/>
        <v>45491</v>
      </c>
      <c r="F1336" t="str">
        <f t="shared" ca="1" si="245"/>
        <v>Hypertension</v>
      </c>
      <c r="G1336" t="str">
        <f t="shared" ca="1" si="246"/>
        <v>Surgery</v>
      </c>
      <c r="H1336">
        <f t="shared" ca="1" si="247"/>
        <v>6</v>
      </c>
      <c r="I1336" t="str">
        <f t="shared" ca="1" si="248"/>
        <v>No</v>
      </c>
      <c r="J1336">
        <f t="shared" ca="1" si="249"/>
        <v>0</v>
      </c>
      <c r="K1336" t="str">
        <f t="shared" ca="1" si="250"/>
        <v>None</v>
      </c>
      <c r="L1336" t="str">
        <f t="shared" ca="1" si="251"/>
        <v>General</v>
      </c>
    </row>
    <row r="1337" spans="1:12" x14ac:dyDescent="0.25">
      <c r="A1337">
        <f t="shared" si="240"/>
        <v>1336</v>
      </c>
      <c r="B1337">
        <f t="shared" ca="1" si="241"/>
        <v>37</v>
      </c>
      <c r="C1337" t="str">
        <f t="shared" ca="1" si="242"/>
        <v>Female</v>
      </c>
      <c r="D1337" s="1">
        <f t="shared" ca="1" si="243"/>
        <v>45571</v>
      </c>
      <c r="E1337" s="1">
        <f t="shared" ca="1" si="244"/>
        <v>45578</v>
      </c>
      <c r="F1337" t="str">
        <f t="shared" ca="1" si="245"/>
        <v>Pneumonia</v>
      </c>
      <c r="G1337" t="str">
        <f t="shared" ca="1" si="246"/>
        <v>Surgery</v>
      </c>
      <c r="H1337">
        <f t="shared" ca="1" si="247"/>
        <v>7</v>
      </c>
      <c r="I1337" t="str">
        <f t="shared" ca="1" si="248"/>
        <v>Yes</v>
      </c>
      <c r="J1337">
        <f t="shared" ca="1" si="249"/>
        <v>2</v>
      </c>
      <c r="K1337" t="str">
        <f t="shared" ca="1" si="250"/>
        <v>Public</v>
      </c>
      <c r="L1337" t="str">
        <f t="shared" ca="1" si="251"/>
        <v>ER</v>
      </c>
    </row>
    <row r="1338" spans="1:12" x14ac:dyDescent="0.25">
      <c r="A1338">
        <f t="shared" si="240"/>
        <v>1337</v>
      </c>
      <c r="B1338">
        <f t="shared" ca="1" si="241"/>
        <v>57</v>
      </c>
      <c r="C1338" t="str">
        <f t="shared" ca="1" si="242"/>
        <v>Male</v>
      </c>
      <c r="D1338" s="1">
        <f t="shared" ca="1" si="243"/>
        <v>45355</v>
      </c>
      <c r="E1338" s="1">
        <f t="shared" ca="1" si="244"/>
        <v>45360</v>
      </c>
      <c r="F1338" t="str">
        <f t="shared" ca="1" si="245"/>
        <v>Heart Failure</v>
      </c>
      <c r="G1338" t="str">
        <f t="shared" ca="1" si="246"/>
        <v>Therapy</v>
      </c>
      <c r="H1338">
        <f t="shared" ca="1" si="247"/>
        <v>5</v>
      </c>
      <c r="I1338" t="str">
        <f t="shared" ca="1" si="248"/>
        <v>Yes</v>
      </c>
      <c r="J1338">
        <f t="shared" ca="1" si="249"/>
        <v>1</v>
      </c>
      <c r="K1338" t="str">
        <f t="shared" ca="1" si="250"/>
        <v>Public</v>
      </c>
      <c r="L1338" t="str">
        <f t="shared" ca="1" si="251"/>
        <v>Cardiology</v>
      </c>
    </row>
    <row r="1339" spans="1:12" x14ac:dyDescent="0.25">
      <c r="A1339">
        <f t="shared" si="240"/>
        <v>1338</v>
      </c>
      <c r="B1339">
        <f t="shared" ca="1" si="241"/>
        <v>24</v>
      </c>
      <c r="C1339" t="str">
        <f t="shared" ca="1" si="242"/>
        <v>Male</v>
      </c>
      <c r="D1339" s="1">
        <f t="shared" ca="1" si="243"/>
        <v>45625</v>
      </c>
      <c r="E1339" s="1">
        <f t="shared" ca="1" si="244"/>
        <v>45633</v>
      </c>
      <c r="F1339" t="str">
        <f t="shared" ca="1" si="245"/>
        <v>Pneumonia</v>
      </c>
      <c r="G1339" t="str">
        <f t="shared" ca="1" si="246"/>
        <v>Surgery</v>
      </c>
      <c r="H1339">
        <f t="shared" ca="1" si="247"/>
        <v>8</v>
      </c>
      <c r="I1339" t="str">
        <f t="shared" ca="1" si="248"/>
        <v>No</v>
      </c>
      <c r="J1339">
        <f t="shared" ca="1" si="249"/>
        <v>0</v>
      </c>
      <c r="K1339" t="str">
        <f t="shared" ca="1" si="250"/>
        <v>Private</v>
      </c>
      <c r="L1339" t="str">
        <f t="shared" ca="1" si="251"/>
        <v>ER</v>
      </c>
    </row>
    <row r="1340" spans="1:12" x14ac:dyDescent="0.25">
      <c r="A1340">
        <f t="shared" si="240"/>
        <v>1339</v>
      </c>
      <c r="B1340">
        <f t="shared" ca="1" si="241"/>
        <v>24</v>
      </c>
      <c r="C1340" t="str">
        <f t="shared" ca="1" si="242"/>
        <v>Female</v>
      </c>
      <c r="D1340" s="1">
        <f t="shared" ca="1" si="243"/>
        <v>45402</v>
      </c>
      <c r="E1340" s="1">
        <f t="shared" ca="1" si="244"/>
        <v>45403</v>
      </c>
      <c r="F1340" t="str">
        <f t="shared" ca="1" si="245"/>
        <v>Stroke</v>
      </c>
      <c r="G1340" t="str">
        <f t="shared" ca="1" si="246"/>
        <v>Therapy</v>
      </c>
      <c r="H1340">
        <f t="shared" ca="1" si="247"/>
        <v>1</v>
      </c>
      <c r="I1340" t="str">
        <f t="shared" ca="1" si="248"/>
        <v>Yes</v>
      </c>
      <c r="J1340">
        <f t="shared" ca="1" si="249"/>
        <v>0</v>
      </c>
      <c r="K1340" t="str">
        <f t="shared" ca="1" si="250"/>
        <v>Private</v>
      </c>
      <c r="L1340" t="str">
        <f t="shared" ca="1" si="251"/>
        <v>Cardiology</v>
      </c>
    </row>
    <row r="1341" spans="1:12" x14ac:dyDescent="0.25">
      <c r="A1341">
        <f t="shared" si="240"/>
        <v>1340</v>
      </c>
      <c r="B1341">
        <f t="shared" ca="1" si="241"/>
        <v>61</v>
      </c>
      <c r="C1341" t="str">
        <f t="shared" ca="1" si="242"/>
        <v>Male</v>
      </c>
      <c r="D1341" s="1">
        <f t="shared" ca="1" si="243"/>
        <v>45307</v>
      </c>
      <c r="E1341" s="1">
        <f t="shared" ca="1" si="244"/>
        <v>45308</v>
      </c>
      <c r="F1341" t="str">
        <f t="shared" ca="1" si="245"/>
        <v>Diabetes</v>
      </c>
      <c r="G1341" t="str">
        <f t="shared" ca="1" si="246"/>
        <v>Surgery</v>
      </c>
      <c r="H1341">
        <f t="shared" ca="1" si="247"/>
        <v>1</v>
      </c>
      <c r="I1341" t="str">
        <f t="shared" ca="1" si="248"/>
        <v>No</v>
      </c>
      <c r="J1341">
        <f t="shared" ca="1" si="249"/>
        <v>3</v>
      </c>
      <c r="K1341" t="str">
        <f t="shared" ca="1" si="250"/>
        <v>Public</v>
      </c>
      <c r="L1341" t="str">
        <f t="shared" ca="1" si="251"/>
        <v>Neurology</v>
      </c>
    </row>
    <row r="1342" spans="1:12" x14ac:dyDescent="0.25">
      <c r="A1342">
        <f t="shared" si="240"/>
        <v>1341</v>
      </c>
      <c r="B1342">
        <f t="shared" ca="1" si="241"/>
        <v>25</v>
      </c>
      <c r="C1342" t="str">
        <f t="shared" ca="1" si="242"/>
        <v>Male</v>
      </c>
      <c r="D1342" s="1">
        <f t="shared" ca="1" si="243"/>
        <v>45368</v>
      </c>
      <c r="E1342" s="1">
        <f t="shared" ca="1" si="244"/>
        <v>45370</v>
      </c>
      <c r="F1342" t="str">
        <f t="shared" ca="1" si="245"/>
        <v>Heart Failure</v>
      </c>
      <c r="G1342" t="str">
        <f t="shared" ca="1" si="246"/>
        <v>Therapy</v>
      </c>
      <c r="H1342">
        <f t="shared" ca="1" si="247"/>
        <v>2</v>
      </c>
      <c r="I1342" t="str">
        <f t="shared" ca="1" si="248"/>
        <v>No</v>
      </c>
      <c r="J1342">
        <f t="shared" ca="1" si="249"/>
        <v>0</v>
      </c>
      <c r="K1342" t="str">
        <f t="shared" ca="1" si="250"/>
        <v>Private</v>
      </c>
      <c r="L1342" t="str">
        <f t="shared" ca="1" si="251"/>
        <v>Cardiology</v>
      </c>
    </row>
    <row r="1343" spans="1:12" x14ac:dyDescent="0.25">
      <c r="A1343">
        <f t="shared" si="240"/>
        <v>1342</v>
      </c>
      <c r="B1343">
        <f t="shared" ca="1" si="241"/>
        <v>69</v>
      </c>
      <c r="C1343" t="str">
        <f t="shared" ca="1" si="242"/>
        <v>Male</v>
      </c>
      <c r="D1343" s="1">
        <f t="shared" ca="1" si="243"/>
        <v>45649</v>
      </c>
      <c r="E1343" s="1">
        <f t="shared" ca="1" si="244"/>
        <v>45654</v>
      </c>
      <c r="F1343" t="str">
        <f t="shared" ca="1" si="245"/>
        <v>Diabetes</v>
      </c>
      <c r="G1343" t="str">
        <f t="shared" ca="1" si="246"/>
        <v>Surgery</v>
      </c>
      <c r="H1343">
        <f t="shared" ca="1" si="247"/>
        <v>5</v>
      </c>
      <c r="I1343" t="str">
        <f t="shared" ca="1" si="248"/>
        <v>No</v>
      </c>
      <c r="J1343">
        <f t="shared" ca="1" si="249"/>
        <v>1</v>
      </c>
      <c r="K1343" t="str">
        <f t="shared" ca="1" si="250"/>
        <v>Public</v>
      </c>
      <c r="L1343" t="str">
        <f t="shared" ca="1" si="251"/>
        <v>ICU</v>
      </c>
    </row>
    <row r="1344" spans="1:12" x14ac:dyDescent="0.25">
      <c r="A1344">
        <f t="shared" si="240"/>
        <v>1343</v>
      </c>
      <c r="B1344">
        <f t="shared" ca="1" si="241"/>
        <v>65</v>
      </c>
      <c r="C1344" t="str">
        <f t="shared" ca="1" si="242"/>
        <v>Female</v>
      </c>
      <c r="D1344" s="1">
        <f t="shared" ca="1" si="243"/>
        <v>45437</v>
      </c>
      <c r="E1344" s="1">
        <f t="shared" ca="1" si="244"/>
        <v>45452</v>
      </c>
      <c r="F1344" t="str">
        <f t="shared" ca="1" si="245"/>
        <v>Stroke</v>
      </c>
      <c r="G1344" t="str">
        <f t="shared" ca="1" si="246"/>
        <v>Therapy</v>
      </c>
      <c r="H1344">
        <f t="shared" ca="1" si="247"/>
        <v>15</v>
      </c>
      <c r="I1344" t="str">
        <f t="shared" ca="1" si="248"/>
        <v>No</v>
      </c>
      <c r="J1344">
        <f t="shared" ca="1" si="249"/>
        <v>2</v>
      </c>
      <c r="K1344" t="str">
        <f t="shared" ca="1" si="250"/>
        <v>None</v>
      </c>
      <c r="L1344" t="str">
        <f t="shared" ca="1" si="251"/>
        <v>General</v>
      </c>
    </row>
    <row r="1345" spans="1:12" x14ac:dyDescent="0.25">
      <c r="A1345">
        <f t="shared" si="240"/>
        <v>1344</v>
      </c>
      <c r="B1345">
        <f t="shared" ca="1" si="241"/>
        <v>24</v>
      </c>
      <c r="C1345" t="str">
        <f t="shared" ca="1" si="242"/>
        <v>Male</v>
      </c>
      <c r="D1345" s="1">
        <f t="shared" ca="1" si="243"/>
        <v>45402</v>
      </c>
      <c r="E1345" s="1">
        <f t="shared" ca="1" si="244"/>
        <v>45414</v>
      </c>
      <c r="F1345" t="str">
        <f t="shared" ca="1" si="245"/>
        <v>Heart Failure</v>
      </c>
      <c r="G1345" t="str">
        <f t="shared" ca="1" si="246"/>
        <v>Therapy</v>
      </c>
      <c r="H1345">
        <f t="shared" ca="1" si="247"/>
        <v>12</v>
      </c>
      <c r="I1345" t="str">
        <f t="shared" ca="1" si="248"/>
        <v>No</v>
      </c>
      <c r="J1345">
        <f t="shared" ca="1" si="249"/>
        <v>4</v>
      </c>
      <c r="K1345" t="str">
        <f t="shared" ca="1" si="250"/>
        <v>Public</v>
      </c>
      <c r="L1345" t="str">
        <f t="shared" ca="1" si="251"/>
        <v>Neurology</v>
      </c>
    </row>
    <row r="1346" spans="1:12" x14ac:dyDescent="0.25">
      <c r="A1346">
        <f t="shared" si="240"/>
        <v>1345</v>
      </c>
      <c r="B1346">
        <f t="shared" ca="1" si="241"/>
        <v>54</v>
      </c>
      <c r="C1346" t="str">
        <f t="shared" ca="1" si="242"/>
        <v>Male</v>
      </c>
      <c r="D1346" s="1">
        <f t="shared" ca="1" si="243"/>
        <v>45355</v>
      </c>
      <c r="E1346" s="1">
        <f t="shared" ca="1" si="244"/>
        <v>45366</v>
      </c>
      <c r="F1346" t="str">
        <f t="shared" ca="1" si="245"/>
        <v>Stroke</v>
      </c>
      <c r="G1346" t="str">
        <f t="shared" ca="1" si="246"/>
        <v>Medication</v>
      </c>
      <c r="H1346">
        <f t="shared" ca="1" si="247"/>
        <v>11</v>
      </c>
      <c r="I1346" t="str">
        <f t="shared" ca="1" si="248"/>
        <v>No</v>
      </c>
      <c r="J1346">
        <f t="shared" ca="1" si="249"/>
        <v>1</v>
      </c>
      <c r="K1346" t="str">
        <f t="shared" ca="1" si="250"/>
        <v>Private</v>
      </c>
      <c r="L1346" t="str">
        <f t="shared" ca="1" si="251"/>
        <v>ICU</v>
      </c>
    </row>
    <row r="1347" spans="1:12" x14ac:dyDescent="0.25">
      <c r="A1347">
        <f t="shared" ref="A1347:A1410" si="252">ROW() -1</f>
        <v>1346</v>
      </c>
      <c r="B1347">
        <f t="shared" ref="B1347:B1410" ca="1" si="253">RANDBETWEEN(20,90)</f>
        <v>90</v>
      </c>
      <c r="C1347" t="str">
        <f t="shared" ref="C1347:C1410" ca="1" si="254">IF(RAND()&lt;0.5,"Male","Female")</f>
        <v>Female</v>
      </c>
      <c r="D1347" s="1">
        <f t="shared" ref="D1347:D1410" ca="1" si="255">DATE(2024,1,1)+RANDBETWEEN(0,364)</f>
        <v>45339</v>
      </c>
      <c r="E1347" s="1">
        <f t="shared" ref="E1347:E1410" ca="1" si="256">D1347+RANDBETWEEN(1,15)</f>
        <v>45353</v>
      </c>
      <c r="F1347" t="str">
        <f t="shared" ref="F1347:F1410" ca="1" si="257">CHOOSE(RANDBETWEEN(1,5),"Diabetes","Heart Failure","Pneumonia","Stroke","Hypertension")</f>
        <v>Diabetes</v>
      </c>
      <c r="G1347" t="str">
        <f t="shared" ref="G1347:G1410" ca="1" si="258">CHOOSE(RANDBETWEEN(1,3),"Medication","Surgery","Therapy")</f>
        <v>Medication</v>
      </c>
      <c r="H1347">
        <f t="shared" ref="H1347:H1410" ca="1" si="259">DATEDIF(D1347,E1347,"D")</f>
        <v>14</v>
      </c>
      <c r="I1347" t="str">
        <f t="shared" ref="I1347:I1410" ca="1" si="260">IF(RAND()&lt;0.3,"Yes","No")</f>
        <v>No</v>
      </c>
      <c r="J1347">
        <f t="shared" ref="J1347:J1410" ca="1" si="261">RANDBETWEEN(0,4)</f>
        <v>1</v>
      </c>
      <c r="K1347" t="str">
        <f t="shared" ref="K1347:K1410" ca="1" si="262">CHOOSE(RANDBETWEEN(1,3),"Private","Public","None")</f>
        <v>Private</v>
      </c>
      <c r="L1347" t="str">
        <f t="shared" ref="L1347:L1410" ca="1" si="263">CHOOSE(RANDBETWEEN(1,5),"ER","Cardiology","Neurology","General","ICU")</f>
        <v>ICU</v>
      </c>
    </row>
    <row r="1348" spans="1:12" x14ac:dyDescent="0.25">
      <c r="A1348">
        <f t="shared" si="252"/>
        <v>1347</v>
      </c>
      <c r="B1348">
        <f t="shared" ca="1" si="253"/>
        <v>69</v>
      </c>
      <c r="C1348" t="str">
        <f t="shared" ca="1" si="254"/>
        <v>Male</v>
      </c>
      <c r="D1348" s="1">
        <f t="shared" ca="1" si="255"/>
        <v>45637</v>
      </c>
      <c r="E1348" s="1">
        <f t="shared" ca="1" si="256"/>
        <v>45640</v>
      </c>
      <c r="F1348" t="str">
        <f t="shared" ca="1" si="257"/>
        <v>Diabetes</v>
      </c>
      <c r="G1348" t="str">
        <f t="shared" ca="1" si="258"/>
        <v>Surgery</v>
      </c>
      <c r="H1348">
        <f t="shared" ca="1" si="259"/>
        <v>3</v>
      </c>
      <c r="I1348" t="str">
        <f t="shared" ca="1" si="260"/>
        <v>No</v>
      </c>
      <c r="J1348">
        <f t="shared" ca="1" si="261"/>
        <v>2</v>
      </c>
      <c r="K1348" t="str">
        <f t="shared" ca="1" si="262"/>
        <v>Public</v>
      </c>
      <c r="L1348" t="str">
        <f t="shared" ca="1" si="263"/>
        <v>ER</v>
      </c>
    </row>
    <row r="1349" spans="1:12" x14ac:dyDescent="0.25">
      <c r="A1349">
        <f t="shared" si="252"/>
        <v>1348</v>
      </c>
      <c r="B1349">
        <f t="shared" ca="1" si="253"/>
        <v>49</v>
      </c>
      <c r="C1349" t="str">
        <f t="shared" ca="1" si="254"/>
        <v>Male</v>
      </c>
      <c r="D1349" s="1">
        <f t="shared" ca="1" si="255"/>
        <v>45429</v>
      </c>
      <c r="E1349" s="1">
        <f t="shared" ca="1" si="256"/>
        <v>45443</v>
      </c>
      <c r="F1349" t="str">
        <f t="shared" ca="1" si="257"/>
        <v>Hypertension</v>
      </c>
      <c r="G1349" t="str">
        <f t="shared" ca="1" si="258"/>
        <v>Surgery</v>
      </c>
      <c r="H1349">
        <f t="shared" ca="1" si="259"/>
        <v>14</v>
      </c>
      <c r="I1349" t="str">
        <f t="shared" ca="1" si="260"/>
        <v>No</v>
      </c>
      <c r="J1349">
        <f t="shared" ca="1" si="261"/>
        <v>4</v>
      </c>
      <c r="K1349" t="str">
        <f t="shared" ca="1" si="262"/>
        <v>None</v>
      </c>
      <c r="L1349" t="str">
        <f t="shared" ca="1" si="263"/>
        <v>ICU</v>
      </c>
    </row>
    <row r="1350" spans="1:12" x14ac:dyDescent="0.25">
      <c r="A1350">
        <f t="shared" si="252"/>
        <v>1349</v>
      </c>
      <c r="B1350">
        <f t="shared" ca="1" si="253"/>
        <v>33</v>
      </c>
      <c r="C1350" t="str">
        <f t="shared" ca="1" si="254"/>
        <v>Female</v>
      </c>
      <c r="D1350" s="1">
        <f t="shared" ca="1" si="255"/>
        <v>45411</v>
      </c>
      <c r="E1350" s="1">
        <f t="shared" ca="1" si="256"/>
        <v>45416</v>
      </c>
      <c r="F1350" t="str">
        <f t="shared" ca="1" si="257"/>
        <v>Stroke</v>
      </c>
      <c r="G1350" t="str">
        <f t="shared" ca="1" si="258"/>
        <v>Surgery</v>
      </c>
      <c r="H1350">
        <f t="shared" ca="1" si="259"/>
        <v>5</v>
      </c>
      <c r="I1350" t="str">
        <f t="shared" ca="1" si="260"/>
        <v>No</v>
      </c>
      <c r="J1350">
        <f t="shared" ca="1" si="261"/>
        <v>2</v>
      </c>
      <c r="K1350" t="str">
        <f t="shared" ca="1" si="262"/>
        <v>None</v>
      </c>
      <c r="L1350" t="str">
        <f t="shared" ca="1" si="263"/>
        <v>General</v>
      </c>
    </row>
    <row r="1351" spans="1:12" x14ac:dyDescent="0.25">
      <c r="A1351">
        <f t="shared" si="252"/>
        <v>1350</v>
      </c>
      <c r="B1351">
        <f t="shared" ca="1" si="253"/>
        <v>65</v>
      </c>
      <c r="C1351" t="str">
        <f t="shared" ca="1" si="254"/>
        <v>Male</v>
      </c>
      <c r="D1351" s="1">
        <f t="shared" ca="1" si="255"/>
        <v>45338</v>
      </c>
      <c r="E1351" s="1">
        <f t="shared" ca="1" si="256"/>
        <v>45340</v>
      </c>
      <c r="F1351" t="str">
        <f t="shared" ca="1" si="257"/>
        <v>Hypertension</v>
      </c>
      <c r="G1351" t="str">
        <f t="shared" ca="1" si="258"/>
        <v>Therapy</v>
      </c>
      <c r="H1351">
        <f t="shared" ca="1" si="259"/>
        <v>2</v>
      </c>
      <c r="I1351" t="str">
        <f t="shared" ca="1" si="260"/>
        <v>No</v>
      </c>
      <c r="J1351">
        <f t="shared" ca="1" si="261"/>
        <v>1</v>
      </c>
      <c r="K1351" t="str">
        <f t="shared" ca="1" si="262"/>
        <v>Private</v>
      </c>
      <c r="L1351" t="str">
        <f t="shared" ca="1" si="263"/>
        <v>Neurology</v>
      </c>
    </row>
    <row r="1352" spans="1:12" x14ac:dyDescent="0.25">
      <c r="A1352">
        <f t="shared" si="252"/>
        <v>1351</v>
      </c>
      <c r="B1352">
        <f t="shared" ca="1" si="253"/>
        <v>66</v>
      </c>
      <c r="C1352" t="str">
        <f t="shared" ca="1" si="254"/>
        <v>Male</v>
      </c>
      <c r="D1352" s="1">
        <f t="shared" ca="1" si="255"/>
        <v>45350</v>
      </c>
      <c r="E1352" s="1">
        <f t="shared" ca="1" si="256"/>
        <v>45355</v>
      </c>
      <c r="F1352" t="str">
        <f t="shared" ca="1" si="257"/>
        <v>Pneumonia</v>
      </c>
      <c r="G1352" t="str">
        <f t="shared" ca="1" si="258"/>
        <v>Surgery</v>
      </c>
      <c r="H1352">
        <f t="shared" ca="1" si="259"/>
        <v>5</v>
      </c>
      <c r="I1352" t="str">
        <f t="shared" ca="1" si="260"/>
        <v>Yes</v>
      </c>
      <c r="J1352">
        <f t="shared" ca="1" si="261"/>
        <v>4</v>
      </c>
      <c r="K1352" t="str">
        <f t="shared" ca="1" si="262"/>
        <v>Private</v>
      </c>
      <c r="L1352" t="str">
        <f t="shared" ca="1" si="263"/>
        <v>ER</v>
      </c>
    </row>
    <row r="1353" spans="1:12" x14ac:dyDescent="0.25">
      <c r="A1353">
        <f t="shared" si="252"/>
        <v>1352</v>
      </c>
      <c r="B1353">
        <f t="shared" ca="1" si="253"/>
        <v>27</v>
      </c>
      <c r="C1353" t="str">
        <f t="shared" ca="1" si="254"/>
        <v>Female</v>
      </c>
      <c r="D1353" s="1">
        <f t="shared" ca="1" si="255"/>
        <v>45594</v>
      </c>
      <c r="E1353" s="1">
        <f t="shared" ca="1" si="256"/>
        <v>45598</v>
      </c>
      <c r="F1353" t="str">
        <f t="shared" ca="1" si="257"/>
        <v>Hypertension</v>
      </c>
      <c r="G1353" t="str">
        <f t="shared" ca="1" si="258"/>
        <v>Therapy</v>
      </c>
      <c r="H1353">
        <f t="shared" ca="1" si="259"/>
        <v>4</v>
      </c>
      <c r="I1353" t="str">
        <f t="shared" ca="1" si="260"/>
        <v>Yes</v>
      </c>
      <c r="J1353">
        <f t="shared" ca="1" si="261"/>
        <v>2</v>
      </c>
      <c r="K1353" t="str">
        <f t="shared" ca="1" si="262"/>
        <v>Public</v>
      </c>
      <c r="L1353" t="str">
        <f t="shared" ca="1" si="263"/>
        <v>ICU</v>
      </c>
    </row>
    <row r="1354" spans="1:12" x14ac:dyDescent="0.25">
      <c r="A1354">
        <f t="shared" si="252"/>
        <v>1353</v>
      </c>
      <c r="B1354">
        <f t="shared" ca="1" si="253"/>
        <v>73</v>
      </c>
      <c r="C1354" t="str">
        <f t="shared" ca="1" si="254"/>
        <v>Female</v>
      </c>
      <c r="D1354" s="1">
        <f t="shared" ca="1" si="255"/>
        <v>45362</v>
      </c>
      <c r="E1354" s="1">
        <f t="shared" ca="1" si="256"/>
        <v>45372</v>
      </c>
      <c r="F1354" t="str">
        <f t="shared" ca="1" si="257"/>
        <v>Stroke</v>
      </c>
      <c r="G1354" t="str">
        <f t="shared" ca="1" si="258"/>
        <v>Surgery</v>
      </c>
      <c r="H1354">
        <f t="shared" ca="1" si="259"/>
        <v>10</v>
      </c>
      <c r="I1354" t="str">
        <f t="shared" ca="1" si="260"/>
        <v>No</v>
      </c>
      <c r="J1354">
        <f t="shared" ca="1" si="261"/>
        <v>2</v>
      </c>
      <c r="K1354" t="str">
        <f t="shared" ca="1" si="262"/>
        <v>Public</v>
      </c>
      <c r="L1354" t="str">
        <f t="shared" ca="1" si="263"/>
        <v>ICU</v>
      </c>
    </row>
    <row r="1355" spans="1:12" x14ac:dyDescent="0.25">
      <c r="A1355">
        <f t="shared" si="252"/>
        <v>1354</v>
      </c>
      <c r="B1355">
        <f t="shared" ca="1" si="253"/>
        <v>46</v>
      </c>
      <c r="C1355" t="str">
        <f t="shared" ca="1" si="254"/>
        <v>Male</v>
      </c>
      <c r="D1355" s="1">
        <f t="shared" ca="1" si="255"/>
        <v>45499</v>
      </c>
      <c r="E1355" s="1">
        <f t="shared" ca="1" si="256"/>
        <v>45512</v>
      </c>
      <c r="F1355" t="str">
        <f t="shared" ca="1" si="257"/>
        <v>Heart Failure</v>
      </c>
      <c r="G1355" t="str">
        <f t="shared" ca="1" si="258"/>
        <v>Therapy</v>
      </c>
      <c r="H1355">
        <f t="shared" ca="1" si="259"/>
        <v>13</v>
      </c>
      <c r="I1355" t="str">
        <f t="shared" ca="1" si="260"/>
        <v>No</v>
      </c>
      <c r="J1355">
        <f t="shared" ca="1" si="261"/>
        <v>1</v>
      </c>
      <c r="K1355" t="str">
        <f t="shared" ca="1" si="262"/>
        <v>Private</v>
      </c>
      <c r="L1355" t="str">
        <f t="shared" ca="1" si="263"/>
        <v>ER</v>
      </c>
    </row>
    <row r="1356" spans="1:12" x14ac:dyDescent="0.25">
      <c r="A1356">
        <f t="shared" si="252"/>
        <v>1355</v>
      </c>
      <c r="B1356">
        <f t="shared" ca="1" si="253"/>
        <v>23</v>
      </c>
      <c r="C1356" t="str">
        <f t="shared" ca="1" si="254"/>
        <v>Male</v>
      </c>
      <c r="D1356" s="1">
        <f t="shared" ca="1" si="255"/>
        <v>45525</v>
      </c>
      <c r="E1356" s="1">
        <f t="shared" ca="1" si="256"/>
        <v>45529</v>
      </c>
      <c r="F1356" t="str">
        <f t="shared" ca="1" si="257"/>
        <v>Pneumonia</v>
      </c>
      <c r="G1356" t="str">
        <f t="shared" ca="1" si="258"/>
        <v>Surgery</v>
      </c>
      <c r="H1356">
        <f t="shared" ca="1" si="259"/>
        <v>4</v>
      </c>
      <c r="I1356" t="str">
        <f t="shared" ca="1" si="260"/>
        <v>No</v>
      </c>
      <c r="J1356">
        <f t="shared" ca="1" si="261"/>
        <v>3</v>
      </c>
      <c r="K1356" t="str">
        <f t="shared" ca="1" si="262"/>
        <v>Public</v>
      </c>
      <c r="L1356" t="str">
        <f t="shared" ca="1" si="263"/>
        <v>Cardiology</v>
      </c>
    </row>
    <row r="1357" spans="1:12" x14ac:dyDescent="0.25">
      <c r="A1357">
        <f t="shared" si="252"/>
        <v>1356</v>
      </c>
      <c r="B1357">
        <f t="shared" ca="1" si="253"/>
        <v>43</v>
      </c>
      <c r="C1357" t="str">
        <f t="shared" ca="1" si="254"/>
        <v>Female</v>
      </c>
      <c r="D1357" s="1">
        <f t="shared" ca="1" si="255"/>
        <v>45418</v>
      </c>
      <c r="E1357" s="1">
        <f t="shared" ca="1" si="256"/>
        <v>45432</v>
      </c>
      <c r="F1357" t="str">
        <f t="shared" ca="1" si="257"/>
        <v>Diabetes</v>
      </c>
      <c r="G1357" t="str">
        <f t="shared" ca="1" si="258"/>
        <v>Medication</v>
      </c>
      <c r="H1357">
        <f t="shared" ca="1" si="259"/>
        <v>14</v>
      </c>
      <c r="I1357" t="str">
        <f t="shared" ca="1" si="260"/>
        <v>No</v>
      </c>
      <c r="J1357">
        <f t="shared" ca="1" si="261"/>
        <v>0</v>
      </c>
      <c r="K1357" t="str">
        <f t="shared" ca="1" si="262"/>
        <v>None</v>
      </c>
      <c r="L1357" t="str">
        <f t="shared" ca="1" si="263"/>
        <v>Neurology</v>
      </c>
    </row>
    <row r="1358" spans="1:12" x14ac:dyDescent="0.25">
      <c r="A1358">
        <f t="shared" si="252"/>
        <v>1357</v>
      </c>
      <c r="B1358">
        <f t="shared" ca="1" si="253"/>
        <v>23</v>
      </c>
      <c r="C1358" t="str">
        <f t="shared" ca="1" si="254"/>
        <v>Male</v>
      </c>
      <c r="D1358" s="1">
        <f t="shared" ca="1" si="255"/>
        <v>45395</v>
      </c>
      <c r="E1358" s="1">
        <f t="shared" ca="1" si="256"/>
        <v>45404</v>
      </c>
      <c r="F1358" t="str">
        <f t="shared" ca="1" si="257"/>
        <v>Stroke</v>
      </c>
      <c r="G1358" t="str">
        <f t="shared" ca="1" si="258"/>
        <v>Therapy</v>
      </c>
      <c r="H1358">
        <f t="shared" ca="1" si="259"/>
        <v>9</v>
      </c>
      <c r="I1358" t="str">
        <f t="shared" ca="1" si="260"/>
        <v>No</v>
      </c>
      <c r="J1358">
        <f t="shared" ca="1" si="261"/>
        <v>4</v>
      </c>
      <c r="K1358" t="str">
        <f t="shared" ca="1" si="262"/>
        <v>Private</v>
      </c>
      <c r="L1358" t="str">
        <f t="shared" ca="1" si="263"/>
        <v>ER</v>
      </c>
    </row>
    <row r="1359" spans="1:12" x14ac:dyDescent="0.25">
      <c r="A1359">
        <f t="shared" si="252"/>
        <v>1358</v>
      </c>
      <c r="B1359">
        <f t="shared" ca="1" si="253"/>
        <v>75</v>
      </c>
      <c r="C1359" t="str">
        <f t="shared" ca="1" si="254"/>
        <v>Female</v>
      </c>
      <c r="D1359" s="1">
        <f t="shared" ca="1" si="255"/>
        <v>45310</v>
      </c>
      <c r="E1359" s="1">
        <f t="shared" ca="1" si="256"/>
        <v>45315</v>
      </c>
      <c r="F1359" t="str">
        <f t="shared" ca="1" si="257"/>
        <v>Stroke</v>
      </c>
      <c r="G1359" t="str">
        <f t="shared" ca="1" si="258"/>
        <v>Medication</v>
      </c>
      <c r="H1359">
        <f t="shared" ca="1" si="259"/>
        <v>5</v>
      </c>
      <c r="I1359" t="str">
        <f t="shared" ca="1" si="260"/>
        <v>No</v>
      </c>
      <c r="J1359">
        <f t="shared" ca="1" si="261"/>
        <v>1</v>
      </c>
      <c r="K1359" t="str">
        <f t="shared" ca="1" si="262"/>
        <v>Public</v>
      </c>
      <c r="L1359" t="str">
        <f t="shared" ca="1" si="263"/>
        <v>General</v>
      </c>
    </row>
    <row r="1360" spans="1:12" x14ac:dyDescent="0.25">
      <c r="A1360">
        <f t="shared" si="252"/>
        <v>1359</v>
      </c>
      <c r="B1360">
        <f t="shared" ca="1" si="253"/>
        <v>71</v>
      </c>
      <c r="C1360" t="str">
        <f t="shared" ca="1" si="254"/>
        <v>Male</v>
      </c>
      <c r="D1360" s="1">
        <f t="shared" ca="1" si="255"/>
        <v>45602</v>
      </c>
      <c r="E1360" s="1">
        <f t="shared" ca="1" si="256"/>
        <v>45611</v>
      </c>
      <c r="F1360" t="str">
        <f t="shared" ca="1" si="257"/>
        <v>Heart Failure</v>
      </c>
      <c r="G1360" t="str">
        <f t="shared" ca="1" si="258"/>
        <v>Surgery</v>
      </c>
      <c r="H1360">
        <f t="shared" ca="1" si="259"/>
        <v>9</v>
      </c>
      <c r="I1360" t="str">
        <f t="shared" ca="1" si="260"/>
        <v>No</v>
      </c>
      <c r="J1360">
        <f t="shared" ca="1" si="261"/>
        <v>1</v>
      </c>
      <c r="K1360" t="str">
        <f t="shared" ca="1" si="262"/>
        <v>None</v>
      </c>
      <c r="L1360" t="str">
        <f t="shared" ca="1" si="263"/>
        <v>Cardiology</v>
      </c>
    </row>
    <row r="1361" spans="1:12" x14ac:dyDescent="0.25">
      <c r="A1361">
        <f t="shared" si="252"/>
        <v>1360</v>
      </c>
      <c r="B1361">
        <f t="shared" ca="1" si="253"/>
        <v>27</v>
      </c>
      <c r="C1361" t="str">
        <f t="shared" ca="1" si="254"/>
        <v>Female</v>
      </c>
      <c r="D1361" s="1">
        <f t="shared" ca="1" si="255"/>
        <v>45310</v>
      </c>
      <c r="E1361" s="1">
        <f t="shared" ca="1" si="256"/>
        <v>45317</v>
      </c>
      <c r="F1361" t="str">
        <f t="shared" ca="1" si="257"/>
        <v>Diabetes</v>
      </c>
      <c r="G1361" t="str">
        <f t="shared" ca="1" si="258"/>
        <v>Medication</v>
      </c>
      <c r="H1361">
        <f t="shared" ca="1" si="259"/>
        <v>7</v>
      </c>
      <c r="I1361" t="str">
        <f t="shared" ca="1" si="260"/>
        <v>No</v>
      </c>
      <c r="J1361">
        <f t="shared" ca="1" si="261"/>
        <v>2</v>
      </c>
      <c r="K1361" t="str">
        <f t="shared" ca="1" si="262"/>
        <v>None</v>
      </c>
      <c r="L1361" t="str">
        <f t="shared" ca="1" si="263"/>
        <v>ICU</v>
      </c>
    </row>
    <row r="1362" spans="1:12" x14ac:dyDescent="0.25">
      <c r="A1362">
        <f t="shared" si="252"/>
        <v>1361</v>
      </c>
      <c r="B1362">
        <f t="shared" ca="1" si="253"/>
        <v>63</v>
      </c>
      <c r="C1362" t="str">
        <f t="shared" ca="1" si="254"/>
        <v>Male</v>
      </c>
      <c r="D1362" s="1">
        <f t="shared" ca="1" si="255"/>
        <v>45630</v>
      </c>
      <c r="E1362" s="1">
        <f t="shared" ca="1" si="256"/>
        <v>45633</v>
      </c>
      <c r="F1362" t="str">
        <f t="shared" ca="1" si="257"/>
        <v>Diabetes</v>
      </c>
      <c r="G1362" t="str">
        <f t="shared" ca="1" si="258"/>
        <v>Surgery</v>
      </c>
      <c r="H1362">
        <f t="shared" ca="1" si="259"/>
        <v>3</v>
      </c>
      <c r="I1362" t="str">
        <f t="shared" ca="1" si="260"/>
        <v>No</v>
      </c>
      <c r="J1362">
        <f t="shared" ca="1" si="261"/>
        <v>2</v>
      </c>
      <c r="K1362" t="str">
        <f t="shared" ca="1" si="262"/>
        <v>Private</v>
      </c>
      <c r="L1362" t="str">
        <f t="shared" ca="1" si="263"/>
        <v>ICU</v>
      </c>
    </row>
    <row r="1363" spans="1:12" x14ac:dyDescent="0.25">
      <c r="A1363">
        <f t="shared" si="252"/>
        <v>1362</v>
      </c>
      <c r="B1363">
        <f t="shared" ca="1" si="253"/>
        <v>53</v>
      </c>
      <c r="C1363" t="str">
        <f t="shared" ca="1" si="254"/>
        <v>Male</v>
      </c>
      <c r="D1363" s="1">
        <f t="shared" ca="1" si="255"/>
        <v>45517</v>
      </c>
      <c r="E1363" s="1">
        <f t="shared" ca="1" si="256"/>
        <v>45524</v>
      </c>
      <c r="F1363" t="str">
        <f t="shared" ca="1" si="257"/>
        <v>Diabetes</v>
      </c>
      <c r="G1363" t="str">
        <f t="shared" ca="1" si="258"/>
        <v>Therapy</v>
      </c>
      <c r="H1363">
        <f t="shared" ca="1" si="259"/>
        <v>7</v>
      </c>
      <c r="I1363" t="str">
        <f t="shared" ca="1" si="260"/>
        <v>No</v>
      </c>
      <c r="J1363">
        <f t="shared" ca="1" si="261"/>
        <v>0</v>
      </c>
      <c r="K1363" t="str">
        <f t="shared" ca="1" si="262"/>
        <v>None</v>
      </c>
      <c r="L1363" t="str">
        <f t="shared" ca="1" si="263"/>
        <v>Cardiology</v>
      </c>
    </row>
    <row r="1364" spans="1:12" x14ac:dyDescent="0.25">
      <c r="A1364">
        <f t="shared" si="252"/>
        <v>1363</v>
      </c>
      <c r="B1364">
        <f t="shared" ca="1" si="253"/>
        <v>86</v>
      </c>
      <c r="C1364" t="str">
        <f t="shared" ca="1" si="254"/>
        <v>Male</v>
      </c>
      <c r="D1364" s="1">
        <f t="shared" ca="1" si="255"/>
        <v>45469</v>
      </c>
      <c r="E1364" s="1">
        <f t="shared" ca="1" si="256"/>
        <v>45472</v>
      </c>
      <c r="F1364" t="str">
        <f t="shared" ca="1" si="257"/>
        <v>Pneumonia</v>
      </c>
      <c r="G1364" t="str">
        <f t="shared" ca="1" si="258"/>
        <v>Therapy</v>
      </c>
      <c r="H1364">
        <f t="shared" ca="1" si="259"/>
        <v>3</v>
      </c>
      <c r="I1364" t="str">
        <f t="shared" ca="1" si="260"/>
        <v>No</v>
      </c>
      <c r="J1364">
        <f t="shared" ca="1" si="261"/>
        <v>1</v>
      </c>
      <c r="K1364" t="str">
        <f t="shared" ca="1" si="262"/>
        <v>None</v>
      </c>
      <c r="L1364" t="str">
        <f t="shared" ca="1" si="263"/>
        <v>Neurology</v>
      </c>
    </row>
    <row r="1365" spans="1:12" x14ac:dyDescent="0.25">
      <c r="A1365">
        <f t="shared" si="252"/>
        <v>1364</v>
      </c>
      <c r="B1365">
        <f t="shared" ca="1" si="253"/>
        <v>43</v>
      </c>
      <c r="C1365" t="str">
        <f t="shared" ca="1" si="254"/>
        <v>Female</v>
      </c>
      <c r="D1365" s="1">
        <f t="shared" ca="1" si="255"/>
        <v>45613</v>
      </c>
      <c r="E1365" s="1">
        <f t="shared" ca="1" si="256"/>
        <v>45623</v>
      </c>
      <c r="F1365" t="str">
        <f t="shared" ca="1" si="257"/>
        <v>Diabetes</v>
      </c>
      <c r="G1365" t="str">
        <f t="shared" ca="1" si="258"/>
        <v>Medication</v>
      </c>
      <c r="H1365">
        <f t="shared" ca="1" si="259"/>
        <v>10</v>
      </c>
      <c r="I1365" t="str">
        <f t="shared" ca="1" si="260"/>
        <v>No</v>
      </c>
      <c r="J1365">
        <f t="shared" ca="1" si="261"/>
        <v>1</v>
      </c>
      <c r="K1365" t="str">
        <f t="shared" ca="1" si="262"/>
        <v>Public</v>
      </c>
      <c r="L1365" t="str">
        <f t="shared" ca="1" si="263"/>
        <v>General</v>
      </c>
    </row>
    <row r="1366" spans="1:12" x14ac:dyDescent="0.25">
      <c r="A1366">
        <f t="shared" si="252"/>
        <v>1365</v>
      </c>
      <c r="B1366">
        <f t="shared" ca="1" si="253"/>
        <v>32</v>
      </c>
      <c r="C1366" t="str">
        <f t="shared" ca="1" si="254"/>
        <v>Female</v>
      </c>
      <c r="D1366" s="1">
        <f t="shared" ca="1" si="255"/>
        <v>45407</v>
      </c>
      <c r="E1366" s="1">
        <f t="shared" ca="1" si="256"/>
        <v>45422</v>
      </c>
      <c r="F1366" t="str">
        <f t="shared" ca="1" si="257"/>
        <v>Pneumonia</v>
      </c>
      <c r="G1366" t="str">
        <f t="shared" ca="1" si="258"/>
        <v>Medication</v>
      </c>
      <c r="H1366">
        <f t="shared" ca="1" si="259"/>
        <v>15</v>
      </c>
      <c r="I1366" t="str">
        <f t="shared" ca="1" si="260"/>
        <v>No</v>
      </c>
      <c r="J1366">
        <f t="shared" ca="1" si="261"/>
        <v>4</v>
      </c>
      <c r="K1366" t="str">
        <f t="shared" ca="1" si="262"/>
        <v>None</v>
      </c>
      <c r="L1366" t="str">
        <f t="shared" ca="1" si="263"/>
        <v>ICU</v>
      </c>
    </row>
    <row r="1367" spans="1:12" x14ac:dyDescent="0.25">
      <c r="A1367">
        <f t="shared" si="252"/>
        <v>1366</v>
      </c>
      <c r="B1367">
        <f t="shared" ca="1" si="253"/>
        <v>81</v>
      </c>
      <c r="C1367" t="str">
        <f t="shared" ca="1" si="254"/>
        <v>Male</v>
      </c>
      <c r="D1367" s="1">
        <f t="shared" ca="1" si="255"/>
        <v>45349</v>
      </c>
      <c r="E1367" s="1">
        <f t="shared" ca="1" si="256"/>
        <v>45357</v>
      </c>
      <c r="F1367" t="str">
        <f t="shared" ca="1" si="257"/>
        <v>Stroke</v>
      </c>
      <c r="G1367" t="str">
        <f t="shared" ca="1" si="258"/>
        <v>Medication</v>
      </c>
      <c r="H1367">
        <f t="shared" ca="1" si="259"/>
        <v>8</v>
      </c>
      <c r="I1367" t="str">
        <f t="shared" ca="1" si="260"/>
        <v>Yes</v>
      </c>
      <c r="J1367">
        <f t="shared" ca="1" si="261"/>
        <v>4</v>
      </c>
      <c r="K1367" t="str">
        <f t="shared" ca="1" si="262"/>
        <v>Public</v>
      </c>
      <c r="L1367" t="str">
        <f t="shared" ca="1" si="263"/>
        <v>General</v>
      </c>
    </row>
    <row r="1368" spans="1:12" x14ac:dyDescent="0.25">
      <c r="A1368">
        <f t="shared" si="252"/>
        <v>1367</v>
      </c>
      <c r="B1368">
        <f t="shared" ca="1" si="253"/>
        <v>25</v>
      </c>
      <c r="C1368" t="str">
        <f t="shared" ca="1" si="254"/>
        <v>Female</v>
      </c>
      <c r="D1368" s="1">
        <f t="shared" ca="1" si="255"/>
        <v>45502</v>
      </c>
      <c r="E1368" s="1">
        <f t="shared" ca="1" si="256"/>
        <v>45507</v>
      </c>
      <c r="F1368" t="str">
        <f t="shared" ca="1" si="257"/>
        <v>Pneumonia</v>
      </c>
      <c r="G1368" t="str">
        <f t="shared" ca="1" si="258"/>
        <v>Therapy</v>
      </c>
      <c r="H1368">
        <f t="shared" ca="1" si="259"/>
        <v>5</v>
      </c>
      <c r="I1368" t="str">
        <f t="shared" ca="1" si="260"/>
        <v>Yes</v>
      </c>
      <c r="J1368">
        <f t="shared" ca="1" si="261"/>
        <v>3</v>
      </c>
      <c r="K1368" t="str">
        <f t="shared" ca="1" si="262"/>
        <v>None</v>
      </c>
      <c r="L1368" t="str">
        <f t="shared" ca="1" si="263"/>
        <v>ER</v>
      </c>
    </row>
    <row r="1369" spans="1:12" x14ac:dyDescent="0.25">
      <c r="A1369">
        <f t="shared" si="252"/>
        <v>1368</v>
      </c>
      <c r="B1369">
        <f t="shared" ca="1" si="253"/>
        <v>64</v>
      </c>
      <c r="C1369" t="str">
        <f t="shared" ca="1" si="254"/>
        <v>Female</v>
      </c>
      <c r="D1369" s="1">
        <f t="shared" ca="1" si="255"/>
        <v>45424</v>
      </c>
      <c r="E1369" s="1">
        <f t="shared" ca="1" si="256"/>
        <v>45436</v>
      </c>
      <c r="F1369" t="str">
        <f t="shared" ca="1" si="257"/>
        <v>Stroke</v>
      </c>
      <c r="G1369" t="str">
        <f t="shared" ca="1" si="258"/>
        <v>Surgery</v>
      </c>
      <c r="H1369">
        <f t="shared" ca="1" si="259"/>
        <v>12</v>
      </c>
      <c r="I1369" t="str">
        <f t="shared" ca="1" si="260"/>
        <v>No</v>
      </c>
      <c r="J1369">
        <f t="shared" ca="1" si="261"/>
        <v>3</v>
      </c>
      <c r="K1369" t="str">
        <f t="shared" ca="1" si="262"/>
        <v>Public</v>
      </c>
      <c r="L1369" t="str">
        <f t="shared" ca="1" si="263"/>
        <v>ICU</v>
      </c>
    </row>
    <row r="1370" spans="1:12" x14ac:dyDescent="0.25">
      <c r="A1370">
        <f t="shared" si="252"/>
        <v>1369</v>
      </c>
      <c r="B1370">
        <f t="shared" ca="1" si="253"/>
        <v>59</v>
      </c>
      <c r="C1370" t="str">
        <f t="shared" ca="1" si="254"/>
        <v>Male</v>
      </c>
      <c r="D1370" s="1">
        <f t="shared" ca="1" si="255"/>
        <v>45483</v>
      </c>
      <c r="E1370" s="1">
        <f t="shared" ca="1" si="256"/>
        <v>45490</v>
      </c>
      <c r="F1370" t="str">
        <f t="shared" ca="1" si="257"/>
        <v>Stroke</v>
      </c>
      <c r="G1370" t="str">
        <f t="shared" ca="1" si="258"/>
        <v>Therapy</v>
      </c>
      <c r="H1370">
        <f t="shared" ca="1" si="259"/>
        <v>7</v>
      </c>
      <c r="I1370" t="str">
        <f t="shared" ca="1" si="260"/>
        <v>Yes</v>
      </c>
      <c r="J1370">
        <f t="shared" ca="1" si="261"/>
        <v>0</v>
      </c>
      <c r="K1370" t="str">
        <f t="shared" ca="1" si="262"/>
        <v>None</v>
      </c>
      <c r="L1370" t="str">
        <f t="shared" ca="1" si="263"/>
        <v>Cardiology</v>
      </c>
    </row>
    <row r="1371" spans="1:12" x14ac:dyDescent="0.25">
      <c r="A1371">
        <f t="shared" si="252"/>
        <v>1370</v>
      </c>
      <c r="B1371">
        <f t="shared" ca="1" si="253"/>
        <v>20</v>
      </c>
      <c r="C1371" t="str">
        <f t="shared" ca="1" si="254"/>
        <v>Male</v>
      </c>
      <c r="D1371" s="1">
        <f t="shared" ca="1" si="255"/>
        <v>45524</v>
      </c>
      <c r="E1371" s="1">
        <f t="shared" ca="1" si="256"/>
        <v>45538</v>
      </c>
      <c r="F1371" t="str">
        <f t="shared" ca="1" si="257"/>
        <v>Stroke</v>
      </c>
      <c r="G1371" t="str">
        <f t="shared" ca="1" si="258"/>
        <v>Surgery</v>
      </c>
      <c r="H1371">
        <f t="shared" ca="1" si="259"/>
        <v>14</v>
      </c>
      <c r="I1371" t="str">
        <f t="shared" ca="1" si="260"/>
        <v>Yes</v>
      </c>
      <c r="J1371">
        <f t="shared" ca="1" si="261"/>
        <v>3</v>
      </c>
      <c r="K1371" t="str">
        <f t="shared" ca="1" si="262"/>
        <v>Private</v>
      </c>
      <c r="L1371" t="str">
        <f t="shared" ca="1" si="263"/>
        <v>ER</v>
      </c>
    </row>
    <row r="1372" spans="1:12" x14ac:dyDescent="0.25">
      <c r="A1372">
        <f t="shared" si="252"/>
        <v>1371</v>
      </c>
      <c r="B1372">
        <f t="shared" ca="1" si="253"/>
        <v>35</v>
      </c>
      <c r="C1372" t="str">
        <f t="shared" ca="1" si="254"/>
        <v>Male</v>
      </c>
      <c r="D1372" s="1">
        <f t="shared" ca="1" si="255"/>
        <v>45298</v>
      </c>
      <c r="E1372" s="1">
        <f t="shared" ca="1" si="256"/>
        <v>45307</v>
      </c>
      <c r="F1372" t="str">
        <f t="shared" ca="1" si="257"/>
        <v>Hypertension</v>
      </c>
      <c r="G1372" t="str">
        <f t="shared" ca="1" si="258"/>
        <v>Surgery</v>
      </c>
      <c r="H1372">
        <f t="shared" ca="1" si="259"/>
        <v>9</v>
      </c>
      <c r="I1372" t="str">
        <f t="shared" ca="1" si="260"/>
        <v>Yes</v>
      </c>
      <c r="J1372">
        <f t="shared" ca="1" si="261"/>
        <v>0</v>
      </c>
      <c r="K1372" t="str">
        <f t="shared" ca="1" si="262"/>
        <v>Private</v>
      </c>
      <c r="L1372" t="str">
        <f t="shared" ca="1" si="263"/>
        <v>General</v>
      </c>
    </row>
    <row r="1373" spans="1:12" x14ac:dyDescent="0.25">
      <c r="A1373">
        <f t="shared" si="252"/>
        <v>1372</v>
      </c>
      <c r="B1373">
        <f t="shared" ca="1" si="253"/>
        <v>52</v>
      </c>
      <c r="C1373" t="str">
        <f t="shared" ca="1" si="254"/>
        <v>Female</v>
      </c>
      <c r="D1373" s="1">
        <f t="shared" ca="1" si="255"/>
        <v>45523</v>
      </c>
      <c r="E1373" s="1">
        <f t="shared" ca="1" si="256"/>
        <v>45531</v>
      </c>
      <c r="F1373" t="str">
        <f t="shared" ca="1" si="257"/>
        <v>Heart Failure</v>
      </c>
      <c r="G1373" t="str">
        <f t="shared" ca="1" si="258"/>
        <v>Therapy</v>
      </c>
      <c r="H1373">
        <f t="shared" ca="1" si="259"/>
        <v>8</v>
      </c>
      <c r="I1373" t="str">
        <f t="shared" ca="1" si="260"/>
        <v>No</v>
      </c>
      <c r="J1373">
        <f t="shared" ca="1" si="261"/>
        <v>1</v>
      </c>
      <c r="K1373" t="str">
        <f t="shared" ca="1" si="262"/>
        <v>Public</v>
      </c>
      <c r="L1373" t="str">
        <f t="shared" ca="1" si="263"/>
        <v>Neurology</v>
      </c>
    </row>
    <row r="1374" spans="1:12" x14ac:dyDescent="0.25">
      <c r="A1374">
        <f t="shared" si="252"/>
        <v>1373</v>
      </c>
      <c r="B1374">
        <f t="shared" ca="1" si="253"/>
        <v>80</v>
      </c>
      <c r="C1374" t="str">
        <f t="shared" ca="1" si="254"/>
        <v>Male</v>
      </c>
      <c r="D1374" s="1">
        <f t="shared" ca="1" si="255"/>
        <v>45575</v>
      </c>
      <c r="E1374" s="1">
        <f t="shared" ca="1" si="256"/>
        <v>45590</v>
      </c>
      <c r="F1374" t="str">
        <f t="shared" ca="1" si="257"/>
        <v>Stroke</v>
      </c>
      <c r="G1374" t="str">
        <f t="shared" ca="1" si="258"/>
        <v>Surgery</v>
      </c>
      <c r="H1374">
        <f t="shared" ca="1" si="259"/>
        <v>15</v>
      </c>
      <c r="I1374" t="str">
        <f t="shared" ca="1" si="260"/>
        <v>Yes</v>
      </c>
      <c r="J1374">
        <f t="shared" ca="1" si="261"/>
        <v>1</v>
      </c>
      <c r="K1374" t="str">
        <f t="shared" ca="1" si="262"/>
        <v>None</v>
      </c>
      <c r="L1374" t="str">
        <f t="shared" ca="1" si="263"/>
        <v>General</v>
      </c>
    </row>
    <row r="1375" spans="1:12" x14ac:dyDescent="0.25">
      <c r="A1375">
        <f t="shared" si="252"/>
        <v>1374</v>
      </c>
      <c r="B1375">
        <f t="shared" ca="1" si="253"/>
        <v>32</v>
      </c>
      <c r="C1375" t="str">
        <f t="shared" ca="1" si="254"/>
        <v>Female</v>
      </c>
      <c r="D1375" s="1">
        <f t="shared" ca="1" si="255"/>
        <v>45596</v>
      </c>
      <c r="E1375" s="1">
        <f t="shared" ca="1" si="256"/>
        <v>45611</v>
      </c>
      <c r="F1375" t="str">
        <f t="shared" ca="1" si="257"/>
        <v>Pneumonia</v>
      </c>
      <c r="G1375" t="str">
        <f t="shared" ca="1" si="258"/>
        <v>Therapy</v>
      </c>
      <c r="H1375">
        <f t="shared" ca="1" si="259"/>
        <v>15</v>
      </c>
      <c r="I1375" t="str">
        <f t="shared" ca="1" si="260"/>
        <v>No</v>
      </c>
      <c r="J1375">
        <f t="shared" ca="1" si="261"/>
        <v>4</v>
      </c>
      <c r="K1375" t="str">
        <f t="shared" ca="1" si="262"/>
        <v>None</v>
      </c>
      <c r="L1375" t="str">
        <f t="shared" ca="1" si="263"/>
        <v>Cardiology</v>
      </c>
    </row>
    <row r="1376" spans="1:12" x14ac:dyDescent="0.25">
      <c r="A1376">
        <f t="shared" si="252"/>
        <v>1375</v>
      </c>
      <c r="B1376">
        <f t="shared" ca="1" si="253"/>
        <v>53</v>
      </c>
      <c r="C1376" t="str">
        <f t="shared" ca="1" si="254"/>
        <v>Female</v>
      </c>
      <c r="D1376" s="1">
        <f t="shared" ca="1" si="255"/>
        <v>45445</v>
      </c>
      <c r="E1376" s="1">
        <f t="shared" ca="1" si="256"/>
        <v>45451</v>
      </c>
      <c r="F1376" t="str">
        <f t="shared" ca="1" si="257"/>
        <v>Hypertension</v>
      </c>
      <c r="G1376" t="str">
        <f t="shared" ca="1" si="258"/>
        <v>Surgery</v>
      </c>
      <c r="H1376">
        <f t="shared" ca="1" si="259"/>
        <v>6</v>
      </c>
      <c r="I1376" t="str">
        <f t="shared" ca="1" si="260"/>
        <v>No</v>
      </c>
      <c r="J1376">
        <f t="shared" ca="1" si="261"/>
        <v>3</v>
      </c>
      <c r="K1376" t="str">
        <f t="shared" ca="1" si="262"/>
        <v>Public</v>
      </c>
      <c r="L1376" t="str">
        <f t="shared" ca="1" si="263"/>
        <v>ER</v>
      </c>
    </row>
    <row r="1377" spans="1:12" x14ac:dyDescent="0.25">
      <c r="A1377">
        <f t="shared" si="252"/>
        <v>1376</v>
      </c>
      <c r="B1377">
        <f t="shared" ca="1" si="253"/>
        <v>68</v>
      </c>
      <c r="C1377" t="str">
        <f t="shared" ca="1" si="254"/>
        <v>Female</v>
      </c>
      <c r="D1377" s="1">
        <f t="shared" ca="1" si="255"/>
        <v>45489</v>
      </c>
      <c r="E1377" s="1">
        <f t="shared" ca="1" si="256"/>
        <v>45499</v>
      </c>
      <c r="F1377" t="str">
        <f t="shared" ca="1" si="257"/>
        <v>Heart Failure</v>
      </c>
      <c r="G1377" t="str">
        <f t="shared" ca="1" si="258"/>
        <v>Surgery</v>
      </c>
      <c r="H1377">
        <f t="shared" ca="1" si="259"/>
        <v>10</v>
      </c>
      <c r="I1377" t="str">
        <f t="shared" ca="1" si="260"/>
        <v>No</v>
      </c>
      <c r="J1377">
        <f t="shared" ca="1" si="261"/>
        <v>4</v>
      </c>
      <c r="K1377" t="str">
        <f t="shared" ca="1" si="262"/>
        <v>Public</v>
      </c>
      <c r="L1377" t="str">
        <f t="shared" ca="1" si="263"/>
        <v>General</v>
      </c>
    </row>
    <row r="1378" spans="1:12" x14ac:dyDescent="0.25">
      <c r="A1378">
        <f t="shared" si="252"/>
        <v>1377</v>
      </c>
      <c r="B1378">
        <f t="shared" ca="1" si="253"/>
        <v>82</v>
      </c>
      <c r="C1378" t="str">
        <f t="shared" ca="1" si="254"/>
        <v>Male</v>
      </c>
      <c r="D1378" s="1">
        <f t="shared" ca="1" si="255"/>
        <v>45616</v>
      </c>
      <c r="E1378" s="1">
        <f t="shared" ca="1" si="256"/>
        <v>45627</v>
      </c>
      <c r="F1378" t="str">
        <f t="shared" ca="1" si="257"/>
        <v>Hypertension</v>
      </c>
      <c r="G1378" t="str">
        <f t="shared" ca="1" si="258"/>
        <v>Medication</v>
      </c>
      <c r="H1378">
        <f t="shared" ca="1" si="259"/>
        <v>11</v>
      </c>
      <c r="I1378" t="str">
        <f t="shared" ca="1" si="260"/>
        <v>No</v>
      </c>
      <c r="J1378">
        <f t="shared" ca="1" si="261"/>
        <v>3</v>
      </c>
      <c r="K1378" t="str">
        <f t="shared" ca="1" si="262"/>
        <v>Private</v>
      </c>
      <c r="L1378" t="str">
        <f t="shared" ca="1" si="263"/>
        <v>General</v>
      </c>
    </row>
    <row r="1379" spans="1:12" x14ac:dyDescent="0.25">
      <c r="A1379">
        <f t="shared" si="252"/>
        <v>1378</v>
      </c>
      <c r="B1379">
        <f t="shared" ca="1" si="253"/>
        <v>56</v>
      </c>
      <c r="C1379" t="str">
        <f t="shared" ca="1" si="254"/>
        <v>Female</v>
      </c>
      <c r="D1379" s="1">
        <f t="shared" ca="1" si="255"/>
        <v>45629</v>
      </c>
      <c r="E1379" s="1">
        <f t="shared" ca="1" si="256"/>
        <v>45643</v>
      </c>
      <c r="F1379" t="str">
        <f t="shared" ca="1" si="257"/>
        <v>Hypertension</v>
      </c>
      <c r="G1379" t="str">
        <f t="shared" ca="1" si="258"/>
        <v>Medication</v>
      </c>
      <c r="H1379">
        <f t="shared" ca="1" si="259"/>
        <v>14</v>
      </c>
      <c r="I1379" t="str">
        <f t="shared" ca="1" si="260"/>
        <v>No</v>
      </c>
      <c r="J1379">
        <f t="shared" ca="1" si="261"/>
        <v>1</v>
      </c>
      <c r="K1379" t="str">
        <f t="shared" ca="1" si="262"/>
        <v>None</v>
      </c>
      <c r="L1379" t="str">
        <f t="shared" ca="1" si="263"/>
        <v>Neurology</v>
      </c>
    </row>
    <row r="1380" spans="1:12" x14ac:dyDescent="0.25">
      <c r="A1380">
        <f t="shared" si="252"/>
        <v>1379</v>
      </c>
      <c r="B1380">
        <f t="shared" ca="1" si="253"/>
        <v>33</v>
      </c>
      <c r="C1380" t="str">
        <f t="shared" ca="1" si="254"/>
        <v>Female</v>
      </c>
      <c r="D1380" s="1">
        <f t="shared" ca="1" si="255"/>
        <v>45534</v>
      </c>
      <c r="E1380" s="1">
        <f t="shared" ca="1" si="256"/>
        <v>45538</v>
      </c>
      <c r="F1380" t="str">
        <f t="shared" ca="1" si="257"/>
        <v>Hypertension</v>
      </c>
      <c r="G1380" t="str">
        <f t="shared" ca="1" si="258"/>
        <v>Therapy</v>
      </c>
      <c r="H1380">
        <f t="shared" ca="1" si="259"/>
        <v>4</v>
      </c>
      <c r="I1380" t="str">
        <f t="shared" ca="1" si="260"/>
        <v>Yes</v>
      </c>
      <c r="J1380">
        <f t="shared" ca="1" si="261"/>
        <v>1</v>
      </c>
      <c r="K1380" t="str">
        <f t="shared" ca="1" si="262"/>
        <v>None</v>
      </c>
      <c r="L1380" t="str">
        <f t="shared" ca="1" si="263"/>
        <v>ER</v>
      </c>
    </row>
    <row r="1381" spans="1:12" x14ac:dyDescent="0.25">
      <c r="A1381">
        <f t="shared" si="252"/>
        <v>1380</v>
      </c>
      <c r="B1381">
        <f t="shared" ca="1" si="253"/>
        <v>86</v>
      </c>
      <c r="C1381" t="str">
        <f t="shared" ca="1" si="254"/>
        <v>Male</v>
      </c>
      <c r="D1381" s="1">
        <f t="shared" ca="1" si="255"/>
        <v>45552</v>
      </c>
      <c r="E1381" s="1">
        <f t="shared" ca="1" si="256"/>
        <v>45558</v>
      </c>
      <c r="F1381" t="str">
        <f t="shared" ca="1" si="257"/>
        <v>Diabetes</v>
      </c>
      <c r="G1381" t="str">
        <f t="shared" ca="1" si="258"/>
        <v>Medication</v>
      </c>
      <c r="H1381">
        <f t="shared" ca="1" si="259"/>
        <v>6</v>
      </c>
      <c r="I1381" t="str">
        <f t="shared" ca="1" si="260"/>
        <v>Yes</v>
      </c>
      <c r="J1381">
        <f t="shared" ca="1" si="261"/>
        <v>4</v>
      </c>
      <c r="K1381" t="str">
        <f t="shared" ca="1" si="262"/>
        <v>None</v>
      </c>
      <c r="L1381" t="str">
        <f t="shared" ca="1" si="263"/>
        <v>ICU</v>
      </c>
    </row>
    <row r="1382" spans="1:12" x14ac:dyDescent="0.25">
      <c r="A1382">
        <f t="shared" si="252"/>
        <v>1381</v>
      </c>
      <c r="B1382">
        <f t="shared" ca="1" si="253"/>
        <v>70</v>
      </c>
      <c r="C1382" t="str">
        <f t="shared" ca="1" si="254"/>
        <v>Male</v>
      </c>
      <c r="D1382" s="1">
        <f t="shared" ca="1" si="255"/>
        <v>45613</v>
      </c>
      <c r="E1382" s="1">
        <f t="shared" ca="1" si="256"/>
        <v>45627</v>
      </c>
      <c r="F1382" t="str">
        <f t="shared" ca="1" si="257"/>
        <v>Diabetes</v>
      </c>
      <c r="G1382" t="str">
        <f t="shared" ca="1" si="258"/>
        <v>Surgery</v>
      </c>
      <c r="H1382">
        <f t="shared" ca="1" si="259"/>
        <v>14</v>
      </c>
      <c r="I1382" t="str">
        <f t="shared" ca="1" si="260"/>
        <v>Yes</v>
      </c>
      <c r="J1382">
        <f t="shared" ca="1" si="261"/>
        <v>1</v>
      </c>
      <c r="K1382" t="str">
        <f t="shared" ca="1" si="262"/>
        <v>None</v>
      </c>
      <c r="L1382" t="str">
        <f t="shared" ca="1" si="263"/>
        <v>Neurology</v>
      </c>
    </row>
    <row r="1383" spans="1:12" x14ac:dyDescent="0.25">
      <c r="A1383">
        <f t="shared" si="252"/>
        <v>1382</v>
      </c>
      <c r="B1383">
        <f t="shared" ca="1" si="253"/>
        <v>63</v>
      </c>
      <c r="C1383" t="str">
        <f t="shared" ca="1" si="254"/>
        <v>Male</v>
      </c>
      <c r="D1383" s="1">
        <f t="shared" ca="1" si="255"/>
        <v>45624</v>
      </c>
      <c r="E1383" s="1">
        <f t="shared" ca="1" si="256"/>
        <v>45625</v>
      </c>
      <c r="F1383" t="str">
        <f t="shared" ca="1" si="257"/>
        <v>Heart Failure</v>
      </c>
      <c r="G1383" t="str">
        <f t="shared" ca="1" si="258"/>
        <v>Medication</v>
      </c>
      <c r="H1383">
        <f t="shared" ca="1" si="259"/>
        <v>1</v>
      </c>
      <c r="I1383" t="str">
        <f t="shared" ca="1" si="260"/>
        <v>Yes</v>
      </c>
      <c r="J1383">
        <f t="shared" ca="1" si="261"/>
        <v>1</v>
      </c>
      <c r="K1383" t="str">
        <f t="shared" ca="1" si="262"/>
        <v>None</v>
      </c>
      <c r="L1383" t="str">
        <f t="shared" ca="1" si="263"/>
        <v>Cardiology</v>
      </c>
    </row>
    <row r="1384" spans="1:12" x14ac:dyDescent="0.25">
      <c r="A1384">
        <f t="shared" si="252"/>
        <v>1383</v>
      </c>
      <c r="B1384">
        <f t="shared" ca="1" si="253"/>
        <v>58</v>
      </c>
      <c r="C1384" t="str">
        <f t="shared" ca="1" si="254"/>
        <v>Female</v>
      </c>
      <c r="D1384" s="1">
        <f t="shared" ca="1" si="255"/>
        <v>45404</v>
      </c>
      <c r="E1384" s="1">
        <f t="shared" ca="1" si="256"/>
        <v>45415</v>
      </c>
      <c r="F1384" t="str">
        <f t="shared" ca="1" si="257"/>
        <v>Hypertension</v>
      </c>
      <c r="G1384" t="str">
        <f t="shared" ca="1" si="258"/>
        <v>Surgery</v>
      </c>
      <c r="H1384">
        <f t="shared" ca="1" si="259"/>
        <v>11</v>
      </c>
      <c r="I1384" t="str">
        <f t="shared" ca="1" si="260"/>
        <v>No</v>
      </c>
      <c r="J1384">
        <f t="shared" ca="1" si="261"/>
        <v>4</v>
      </c>
      <c r="K1384" t="str">
        <f t="shared" ca="1" si="262"/>
        <v>None</v>
      </c>
      <c r="L1384" t="str">
        <f t="shared" ca="1" si="263"/>
        <v>ICU</v>
      </c>
    </row>
    <row r="1385" spans="1:12" x14ac:dyDescent="0.25">
      <c r="A1385">
        <f t="shared" si="252"/>
        <v>1384</v>
      </c>
      <c r="B1385">
        <f t="shared" ca="1" si="253"/>
        <v>34</v>
      </c>
      <c r="C1385" t="str">
        <f t="shared" ca="1" si="254"/>
        <v>Female</v>
      </c>
      <c r="D1385" s="1">
        <f t="shared" ca="1" si="255"/>
        <v>45549</v>
      </c>
      <c r="E1385" s="1">
        <f t="shared" ca="1" si="256"/>
        <v>45555</v>
      </c>
      <c r="F1385" t="str">
        <f t="shared" ca="1" si="257"/>
        <v>Stroke</v>
      </c>
      <c r="G1385" t="str">
        <f t="shared" ca="1" si="258"/>
        <v>Medication</v>
      </c>
      <c r="H1385">
        <f t="shared" ca="1" si="259"/>
        <v>6</v>
      </c>
      <c r="I1385" t="str">
        <f t="shared" ca="1" si="260"/>
        <v>No</v>
      </c>
      <c r="J1385">
        <f t="shared" ca="1" si="261"/>
        <v>2</v>
      </c>
      <c r="K1385" t="str">
        <f t="shared" ca="1" si="262"/>
        <v>None</v>
      </c>
      <c r="L1385" t="str">
        <f t="shared" ca="1" si="263"/>
        <v>Cardiology</v>
      </c>
    </row>
    <row r="1386" spans="1:12" x14ac:dyDescent="0.25">
      <c r="A1386">
        <f t="shared" si="252"/>
        <v>1385</v>
      </c>
      <c r="B1386">
        <f t="shared" ca="1" si="253"/>
        <v>67</v>
      </c>
      <c r="C1386" t="str">
        <f t="shared" ca="1" si="254"/>
        <v>Male</v>
      </c>
      <c r="D1386" s="1">
        <f t="shared" ca="1" si="255"/>
        <v>45439</v>
      </c>
      <c r="E1386" s="1">
        <f t="shared" ca="1" si="256"/>
        <v>45448</v>
      </c>
      <c r="F1386" t="str">
        <f t="shared" ca="1" si="257"/>
        <v>Heart Failure</v>
      </c>
      <c r="G1386" t="str">
        <f t="shared" ca="1" si="258"/>
        <v>Surgery</v>
      </c>
      <c r="H1386">
        <f t="shared" ca="1" si="259"/>
        <v>9</v>
      </c>
      <c r="I1386" t="str">
        <f t="shared" ca="1" si="260"/>
        <v>No</v>
      </c>
      <c r="J1386">
        <f t="shared" ca="1" si="261"/>
        <v>3</v>
      </c>
      <c r="K1386" t="str">
        <f t="shared" ca="1" si="262"/>
        <v>None</v>
      </c>
      <c r="L1386" t="str">
        <f t="shared" ca="1" si="263"/>
        <v>Neurology</v>
      </c>
    </row>
    <row r="1387" spans="1:12" x14ac:dyDescent="0.25">
      <c r="A1387">
        <f t="shared" si="252"/>
        <v>1386</v>
      </c>
      <c r="B1387">
        <f t="shared" ca="1" si="253"/>
        <v>52</v>
      </c>
      <c r="C1387" t="str">
        <f t="shared" ca="1" si="254"/>
        <v>Male</v>
      </c>
      <c r="D1387" s="1">
        <f t="shared" ca="1" si="255"/>
        <v>45488</v>
      </c>
      <c r="E1387" s="1">
        <f t="shared" ca="1" si="256"/>
        <v>45500</v>
      </c>
      <c r="F1387" t="str">
        <f t="shared" ca="1" si="257"/>
        <v>Pneumonia</v>
      </c>
      <c r="G1387" t="str">
        <f t="shared" ca="1" si="258"/>
        <v>Medication</v>
      </c>
      <c r="H1387">
        <f t="shared" ca="1" si="259"/>
        <v>12</v>
      </c>
      <c r="I1387" t="str">
        <f t="shared" ca="1" si="260"/>
        <v>No</v>
      </c>
      <c r="J1387">
        <f t="shared" ca="1" si="261"/>
        <v>1</v>
      </c>
      <c r="K1387" t="str">
        <f t="shared" ca="1" si="262"/>
        <v>None</v>
      </c>
      <c r="L1387" t="str">
        <f t="shared" ca="1" si="263"/>
        <v>Cardiology</v>
      </c>
    </row>
    <row r="1388" spans="1:12" x14ac:dyDescent="0.25">
      <c r="A1388">
        <f t="shared" si="252"/>
        <v>1387</v>
      </c>
      <c r="B1388">
        <f t="shared" ca="1" si="253"/>
        <v>52</v>
      </c>
      <c r="C1388" t="str">
        <f t="shared" ca="1" si="254"/>
        <v>Female</v>
      </c>
      <c r="D1388" s="1">
        <f t="shared" ca="1" si="255"/>
        <v>45522</v>
      </c>
      <c r="E1388" s="1">
        <f t="shared" ca="1" si="256"/>
        <v>45532</v>
      </c>
      <c r="F1388" t="str">
        <f t="shared" ca="1" si="257"/>
        <v>Hypertension</v>
      </c>
      <c r="G1388" t="str">
        <f t="shared" ca="1" si="258"/>
        <v>Medication</v>
      </c>
      <c r="H1388">
        <f t="shared" ca="1" si="259"/>
        <v>10</v>
      </c>
      <c r="I1388" t="str">
        <f t="shared" ca="1" si="260"/>
        <v>Yes</v>
      </c>
      <c r="J1388">
        <f t="shared" ca="1" si="261"/>
        <v>3</v>
      </c>
      <c r="K1388" t="str">
        <f t="shared" ca="1" si="262"/>
        <v>None</v>
      </c>
      <c r="L1388" t="str">
        <f t="shared" ca="1" si="263"/>
        <v>Cardiology</v>
      </c>
    </row>
    <row r="1389" spans="1:12" x14ac:dyDescent="0.25">
      <c r="A1389">
        <f t="shared" si="252"/>
        <v>1388</v>
      </c>
      <c r="B1389">
        <f t="shared" ca="1" si="253"/>
        <v>85</v>
      </c>
      <c r="C1389" t="str">
        <f t="shared" ca="1" si="254"/>
        <v>Male</v>
      </c>
      <c r="D1389" s="1">
        <f t="shared" ca="1" si="255"/>
        <v>45350</v>
      </c>
      <c r="E1389" s="1">
        <f t="shared" ca="1" si="256"/>
        <v>45354</v>
      </c>
      <c r="F1389" t="str">
        <f t="shared" ca="1" si="257"/>
        <v>Hypertension</v>
      </c>
      <c r="G1389" t="str">
        <f t="shared" ca="1" si="258"/>
        <v>Therapy</v>
      </c>
      <c r="H1389">
        <f t="shared" ca="1" si="259"/>
        <v>4</v>
      </c>
      <c r="I1389" t="str">
        <f t="shared" ca="1" si="260"/>
        <v>No</v>
      </c>
      <c r="J1389">
        <f t="shared" ca="1" si="261"/>
        <v>2</v>
      </c>
      <c r="K1389" t="str">
        <f t="shared" ca="1" si="262"/>
        <v>Private</v>
      </c>
      <c r="L1389" t="str">
        <f t="shared" ca="1" si="263"/>
        <v>Neurology</v>
      </c>
    </row>
    <row r="1390" spans="1:12" x14ac:dyDescent="0.25">
      <c r="A1390">
        <f t="shared" si="252"/>
        <v>1389</v>
      </c>
      <c r="B1390">
        <f t="shared" ca="1" si="253"/>
        <v>71</v>
      </c>
      <c r="C1390" t="str">
        <f t="shared" ca="1" si="254"/>
        <v>Male</v>
      </c>
      <c r="D1390" s="1">
        <f t="shared" ca="1" si="255"/>
        <v>45308</v>
      </c>
      <c r="E1390" s="1">
        <f t="shared" ca="1" si="256"/>
        <v>45312</v>
      </c>
      <c r="F1390" t="str">
        <f t="shared" ca="1" si="257"/>
        <v>Diabetes</v>
      </c>
      <c r="G1390" t="str">
        <f t="shared" ca="1" si="258"/>
        <v>Medication</v>
      </c>
      <c r="H1390">
        <f t="shared" ca="1" si="259"/>
        <v>4</v>
      </c>
      <c r="I1390" t="str">
        <f t="shared" ca="1" si="260"/>
        <v>Yes</v>
      </c>
      <c r="J1390">
        <f t="shared" ca="1" si="261"/>
        <v>4</v>
      </c>
      <c r="K1390" t="str">
        <f t="shared" ca="1" si="262"/>
        <v>Private</v>
      </c>
      <c r="L1390" t="str">
        <f t="shared" ca="1" si="263"/>
        <v>Cardiology</v>
      </c>
    </row>
    <row r="1391" spans="1:12" x14ac:dyDescent="0.25">
      <c r="A1391">
        <f t="shared" si="252"/>
        <v>1390</v>
      </c>
      <c r="B1391">
        <f t="shared" ca="1" si="253"/>
        <v>60</v>
      </c>
      <c r="C1391" t="str">
        <f t="shared" ca="1" si="254"/>
        <v>Male</v>
      </c>
      <c r="D1391" s="1">
        <f t="shared" ca="1" si="255"/>
        <v>45565</v>
      </c>
      <c r="E1391" s="1">
        <f t="shared" ca="1" si="256"/>
        <v>45574</v>
      </c>
      <c r="F1391" t="str">
        <f t="shared" ca="1" si="257"/>
        <v>Diabetes</v>
      </c>
      <c r="G1391" t="str">
        <f t="shared" ca="1" si="258"/>
        <v>Surgery</v>
      </c>
      <c r="H1391">
        <f t="shared" ca="1" si="259"/>
        <v>9</v>
      </c>
      <c r="I1391" t="str">
        <f t="shared" ca="1" si="260"/>
        <v>No</v>
      </c>
      <c r="J1391">
        <f t="shared" ca="1" si="261"/>
        <v>1</v>
      </c>
      <c r="K1391" t="str">
        <f t="shared" ca="1" si="262"/>
        <v>None</v>
      </c>
      <c r="L1391" t="str">
        <f t="shared" ca="1" si="263"/>
        <v>Neurology</v>
      </c>
    </row>
    <row r="1392" spans="1:12" x14ac:dyDescent="0.25">
      <c r="A1392">
        <f t="shared" si="252"/>
        <v>1391</v>
      </c>
      <c r="B1392">
        <f t="shared" ca="1" si="253"/>
        <v>88</v>
      </c>
      <c r="C1392" t="str">
        <f t="shared" ca="1" si="254"/>
        <v>Male</v>
      </c>
      <c r="D1392" s="1">
        <f t="shared" ca="1" si="255"/>
        <v>45296</v>
      </c>
      <c r="E1392" s="1">
        <f t="shared" ca="1" si="256"/>
        <v>45307</v>
      </c>
      <c r="F1392" t="str">
        <f t="shared" ca="1" si="257"/>
        <v>Hypertension</v>
      </c>
      <c r="G1392" t="str">
        <f t="shared" ca="1" si="258"/>
        <v>Therapy</v>
      </c>
      <c r="H1392">
        <f t="shared" ca="1" si="259"/>
        <v>11</v>
      </c>
      <c r="I1392" t="str">
        <f t="shared" ca="1" si="260"/>
        <v>No</v>
      </c>
      <c r="J1392">
        <f t="shared" ca="1" si="261"/>
        <v>0</v>
      </c>
      <c r="K1392" t="str">
        <f t="shared" ca="1" si="262"/>
        <v>Private</v>
      </c>
      <c r="L1392" t="str">
        <f t="shared" ca="1" si="263"/>
        <v>Neurology</v>
      </c>
    </row>
    <row r="1393" spans="1:12" x14ac:dyDescent="0.25">
      <c r="A1393">
        <f t="shared" si="252"/>
        <v>1392</v>
      </c>
      <c r="B1393">
        <f t="shared" ca="1" si="253"/>
        <v>84</v>
      </c>
      <c r="C1393" t="str">
        <f t="shared" ca="1" si="254"/>
        <v>Male</v>
      </c>
      <c r="D1393" s="1">
        <f t="shared" ca="1" si="255"/>
        <v>45478</v>
      </c>
      <c r="E1393" s="1">
        <f t="shared" ca="1" si="256"/>
        <v>45487</v>
      </c>
      <c r="F1393" t="str">
        <f t="shared" ca="1" si="257"/>
        <v>Heart Failure</v>
      </c>
      <c r="G1393" t="str">
        <f t="shared" ca="1" si="258"/>
        <v>Therapy</v>
      </c>
      <c r="H1393">
        <f t="shared" ca="1" si="259"/>
        <v>9</v>
      </c>
      <c r="I1393" t="str">
        <f t="shared" ca="1" si="260"/>
        <v>No</v>
      </c>
      <c r="J1393">
        <f t="shared" ca="1" si="261"/>
        <v>0</v>
      </c>
      <c r="K1393" t="str">
        <f t="shared" ca="1" si="262"/>
        <v>Public</v>
      </c>
      <c r="L1393" t="str">
        <f t="shared" ca="1" si="263"/>
        <v>General</v>
      </c>
    </row>
    <row r="1394" spans="1:12" x14ac:dyDescent="0.25">
      <c r="A1394">
        <f t="shared" si="252"/>
        <v>1393</v>
      </c>
      <c r="B1394">
        <f t="shared" ca="1" si="253"/>
        <v>38</v>
      </c>
      <c r="C1394" t="str">
        <f t="shared" ca="1" si="254"/>
        <v>Male</v>
      </c>
      <c r="D1394" s="1">
        <f t="shared" ca="1" si="255"/>
        <v>45374</v>
      </c>
      <c r="E1394" s="1">
        <f t="shared" ca="1" si="256"/>
        <v>45380</v>
      </c>
      <c r="F1394" t="str">
        <f t="shared" ca="1" si="257"/>
        <v>Stroke</v>
      </c>
      <c r="G1394" t="str">
        <f t="shared" ca="1" si="258"/>
        <v>Surgery</v>
      </c>
      <c r="H1394">
        <f t="shared" ca="1" si="259"/>
        <v>6</v>
      </c>
      <c r="I1394" t="str">
        <f t="shared" ca="1" si="260"/>
        <v>Yes</v>
      </c>
      <c r="J1394">
        <f t="shared" ca="1" si="261"/>
        <v>3</v>
      </c>
      <c r="K1394" t="str">
        <f t="shared" ca="1" si="262"/>
        <v>Public</v>
      </c>
      <c r="L1394" t="str">
        <f t="shared" ca="1" si="263"/>
        <v>General</v>
      </c>
    </row>
    <row r="1395" spans="1:12" x14ac:dyDescent="0.25">
      <c r="A1395">
        <f t="shared" si="252"/>
        <v>1394</v>
      </c>
      <c r="B1395">
        <f t="shared" ca="1" si="253"/>
        <v>65</v>
      </c>
      <c r="C1395" t="str">
        <f t="shared" ca="1" si="254"/>
        <v>Female</v>
      </c>
      <c r="D1395" s="1">
        <f t="shared" ca="1" si="255"/>
        <v>45524</v>
      </c>
      <c r="E1395" s="1">
        <f t="shared" ca="1" si="256"/>
        <v>45530</v>
      </c>
      <c r="F1395" t="str">
        <f t="shared" ca="1" si="257"/>
        <v>Heart Failure</v>
      </c>
      <c r="G1395" t="str">
        <f t="shared" ca="1" si="258"/>
        <v>Medication</v>
      </c>
      <c r="H1395">
        <f t="shared" ca="1" si="259"/>
        <v>6</v>
      </c>
      <c r="I1395" t="str">
        <f t="shared" ca="1" si="260"/>
        <v>Yes</v>
      </c>
      <c r="J1395">
        <f t="shared" ca="1" si="261"/>
        <v>1</v>
      </c>
      <c r="K1395" t="str">
        <f t="shared" ca="1" si="262"/>
        <v>Public</v>
      </c>
      <c r="L1395" t="str">
        <f t="shared" ca="1" si="263"/>
        <v>Neurology</v>
      </c>
    </row>
    <row r="1396" spans="1:12" x14ac:dyDescent="0.25">
      <c r="A1396">
        <f t="shared" si="252"/>
        <v>1395</v>
      </c>
      <c r="B1396">
        <f t="shared" ca="1" si="253"/>
        <v>32</v>
      </c>
      <c r="C1396" t="str">
        <f t="shared" ca="1" si="254"/>
        <v>Female</v>
      </c>
      <c r="D1396" s="1">
        <f t="shared" ca="1" si="255"/>
        <v>45405</v>
      </c>
      <c r="E1396" s="1">
        <f t="shared" ca="1" si="256"/>
        <v>45410</v>
      </c>
      <c r="F1396" t="str">
        <f t="shared" ca="1" si="257"/>
        <v>Hypertension</v>
      </c>
      <c r="G1396" t="str">
        <f t="shared" ca="1" si="258"/>
        <v>Therapy</v>
      </c>
      <c r="H1396">
        <f t="shared" ca="1" si="259"/>
        <v>5</v>
      </c>
      <c r="I1396" t="str">
        <f t="shared" ca="1" si="260"/>
        <v>No</v>
      </c>
      <c r="J1396">
        <f t="shared" ca="1" si="261"/>
        <v>0</v>
      </c>
      <c r="K1396" t="str">
        <f t="shared" ca="1" si="262"/>
        <v>Private</v>
      </c>
      <c r="L1396" t="str">
        <f t="shared" ca="1" si="263"/>
        <v>Neurology</v>
      </c>
    </row>
    <row r="1397" spans="1:12" x14ac:dyDescent="0.25">
      <c r="A1397">
        <f t="shared" si="252"/>
        <v>1396</v>
      </c>
      <c r="B1397">
        <f t="shared" ca="1" si="253"/>
        <v>51</v>
      </c>
      <c r="C1397" t="str">
        <f t="shared" ca="1" si="254"/>
        <v>Male</v>
      </c>
      <c r="D1397" s="1">
        <f t="shared" ca="1" si="255"/>
        <v>45442</v>
      </c>
      <c r="E1397" s="1">
        <f t="shared" ca="1" si="256"/>
        <v>45447</v>
      </c>
      <c r="F1397" t="str">
        <f t="shared" ca="1" si="257"/>
        <v>Stroke</v>
      </c>
      <c r="G1397" t="str">
        <f t="shared" ca="1" si="258"/>
        <v>Surgery</v>
      </c>
      <c r="H1397">
        <f t="shared" ca="1" si="259"/>
        <v>5</v>
      </c>
      <c r="I1397" t="str">
        <f t="shared" ca="1" si="260"/>
        <v>Yes</v>
      </c>
      <c r="J1397">
        <f t="shared" ca="1" si="261"/>
        <v>3</v>
      </c>
      <c r="K1397" t="str">
        <f t="shared" ca="1" si="262"/>
        <v>None</v>
      </c>
      <c r="L1397" t="str">
        <f t="shared" ca="1" si="263"/>
        <v>General</v>
      </c>
    </row>
    <row r="1398" spans="1:12" x14ac:dyDescent="0.25">
      <c r="A1398">
        <f t="shared" si="252"/>
        <v>1397</v>
      </c>
      <c r="B1398">
        <f t="shared" ca="1" si="253"/>
        <v>20</v>
      </c>
      <c r="C1398" t="str">
        <f t="shared" ca="1" si="254"/>
        <v>Female</v>
      </c>
      <c r="D1398" s="1">
        <f t="shared" ca="1" si="255"/>
        <v>45396</v>
      </c>
      <c r="E1398" s="1">
        <f t="shared" ca="1" si="256"/>
        <v>45407</v>
      </c>
      <c r="F1398" t="str">
        <f t="shared" ca="1" si="257"/>
        <v>Hypertension</v>
      </c>
      <c r="G1398" t="str">
        <f t="shared" ca="1" si="258"/>
        <v>Therapy</v>
      </c>
      <c r="H1398">
        <f t="shared" ca="1" si="259"/>
        <v>11</v>
      </c>
      <c r="I1398" t="str">
        <f t="shared" ca="1" si="260"/>
        <v>No</v>
      </c>
      <c r="J1398">
        <f t="shared" ca="1" si="261"/>
        <v>0</v>
      </c>
      <c r="K1398" t="str">
        <f t="shared" ca="1" si="262"/>
        <v>Private</v>
      </c>
      <c r="L1398" t="str">
        <f t="shared" ca="1" si="263"/>
        <v>ICU</v>
      </c>
    </row>
    <row r="1399" spans="1:12" x14ac:dyDescent="0.25">
      <c r="A1399">
        <f t="shared" si="252"/>
        <v>1398</v>
      </c>
      <c r="B1399">
        <f t="shared" ca="1" si="253"/>
        <v>23</v>
      </c>
      <c r="C1399" t="str">
        <f t="shared" ca="1" si="254"/>
        <v>Male</v>
      </c>
      <c r="D1399" s="1">
        <f t="shared" ca="1" si="255"/>
        <v>45516</v>
      </c>
      <c r="E1399" s="1">
        <f t="shared" ca="1" si="256"/>
        <v>45525</v>
      </c>
      <c r="F1399" t="str">
        <f t="shared" ca="1" si="257"/>
        <v>Pneumonia</v>
      </c>
      <c r="G1399" t="str">
        <f t="shared" ca="1" si="258"/>
        <v>Therapy</v>
      </c>
      <c r="H1399">
        <f t="shared" ca="1" si="259"/>
        <v>9</v>
      </c>
      <c r="I1399" t="str">
        <f t="shared" ca="1" si="260"/>
        <v>No</v>
      </c>
      <c r="J1399">
        <f t="shared" ca="1" si="261"/>
        <v>1</v>
      </c>
      <c r="K1399" t="str">
        <f t="shared" ca="1" si="262"/>
        <v>None</v>
      </c>
      <c r="L1399" t="str">
        <f t="shared" ca="1" si="263"/>
        <v>ER</v>
      </c>
    </row>
    <row r="1400" spans="1:12" x14ac:dyDescent="0.25">
      <c r="A1400">
        <f t="shared" si="252"/>
        <v>1399</v>
      </c>
      <c r="B1400">
        <f t="shared" ca="1" si="253"/>
        <v>31</v>
      </c>
      <c r="C1400" t="str">
        <f t="shared" ca="1" si="254"/>
        <v>Male</v>
      </c>
      <c r="D1400" s="1">
        <f t="shared" ca="1" si="255"/>
        <v>45503</v>
      </c>
      <c r="E1400" s="1">
        <f t="shared" ca="1" si="256"/>
        <v>45512</v>
      </c>
      <c r="F1400" t="str">
        <f t="shared" ca="1" si="257"/>
        <v>Diabetes</v>
      </c>
      <c r="G1400" t="str">
        <f t="shared" ca="1" si="258"/>
        <v>Surgery</v>
      </c>
      <c r="H1400">
        <f t="shared" ca="1" si="259"/>
        <v>9</v>
      </c>
      <c r="I1400" t="str">
        <f t="shared" ca="1" si="260"/>
        <v>No</v>
      </c>
      <c r="J1400">
        <f t="shared" ca="1" si="261"/>
        <v>1</v>
      </c>
      <c r="K1400" t="str">
        <f t="shared" ca="1" si="262"/>
        <v>None</v>
      </c>
      <c r="L1400" t="str">
        <f t="shared" ca="1" si="263"/>
        <v>Neurology</v>
      </c>
    </row>
    <row r="1401" spans="1:12" x14ac:dyDescent="0.25">
      <c r="A1401">
        <f t="shared" si="252"/>
        <v>1400</v>
      </c>
      <c r="B1401">
        <f t="shared" ca="1" si="253"/>
        <v>43</v>
      </c>
      <c r="C1401" t="str">
        <f t="shared" ca="1" si="254"/>
        <v>Female</v>
      </c>
      <c r="D1401" s="1">
        <f t="shared" ca="1" si="255"/>
        <v>45619</v>
      </c>
      <c r="E1401" s="1">
        <f t="shared" ca="1" si="256"/>
        <v>45622</v>
      </c>
      <c r="F1401" t="str">
        <f t="shared" ca="1" si="257"/>
        <v>Pneumonia</v>
      </c>
      <c r="G1401" t="str">
        <f t="shared" ca="1" si="258"/>
        <v>Medication</v>
      </c>
      <c r="H1401">
        <f t="shared" ca="1" si="259"/>
        <v>3</v>
      </c>
      <c r="I1401" t="str">
        <f t="shared" ca="1" si="260"/>
        <v>No</v>
      </c>
      <c r="J1401">
        <f t="shared" ca="1" si="261"/>
        <v>2</v>
      </c>
      <c r="K1401" t="str">
        <f t="shared" ca="1" si="262"/>
        <v>Public</v>
      </c>
      <c r="L1401" t="str">
        <f t="shared" ca="1" si="263"/>
        <v>Neurology</v>
      </c>
    </row>
    <row r="1402" spans="1:12" x14ac:dyDescent="0.25">
      <c r="A1402">
        <f t="shared" si="252"/>
        <v>1401</v>
      </c>
      <c r="B1402">
        <f t="shared" ca="1" si="253"/>
        <v>28</v>
      </c>
      <c r="C1402" t="str">
        <f t="shared" ca="1" si="254"/>
        <v>Female</v>
      </c>
      <c r="D1402" s="1">
        <f t="shared" ca="1" si="255"/>
        <v>45368</v>
      </c>
      <c r="E1402" s="1">
        <f t="shared" ca="1" si="256"/>
        <v>45381</v>
      </c>
      <c r="F1402" t="str">
        <f t="shared" ca="1" si="257"/>
        <v>Diabetes</v>
      </c>
      <c r="G1402" t="str">
        <f t="shared" ca="1" si="258"/>
        <v>Therapy</v>
      </c>
      <c r="H1402">
        <f t="shared" ca="1" si="259"/>
        <v>13</v>
      </c>
      <c r="I1402" t="str">
        <f t="shared" ca="1" si="260"/>
        <v>No</v>
      </c>
      <c r="J1402">
        <f t="shared" ca="1" si="261"/>
        <v>1</v>
      </c>
      <c r="K1402" t="str">
        <f t="shared" ca="1" si="262"/>
        <v>Private</v>
      </c>
      <c r="L1402" t="str">
        <f t="shared" ca="1" si="263"/>
        <v>Neurology</v>
      </c>
    </row>
    <row r="1403" spans="1:12" x14ac:dyDescent="0.25">
      <c r="A1403">
        <f t="shared" si="252"/>
        <v>1402</v>
      </c>
      <c r="B1403">
        <f t="shared" ca="1" si="253"/>
        <v>71</v>
      </c>
      <c r="C1403" t="str">
        <f t="shared" ca="1" si="254"/>
        <v>Male</v>
      </c>
      <c r="D1403" s="1">
        <f t="shared" ca="1" si="255"/>
        <v>45443</v>
      </c>
      <c r="E1403" s="1">
        <f t="shared" ca="1" si="256"/>
        <v>45451</v>
      </c>
      <c r="F1403" t="str">
        <f t="shared" ca="1" si="257"/>
        <v>Pneumonia</v>
      </c>
      <c r="G1403" t="str">
        <f t="shared" ca="1" si="258"/>
        <v>Surgery</v>
      </c>
      <c r="H1403">
        <f t="shared" ca="1" si="259"/>
        <v>8</v>
      </c>
      <c r="I1403" t="str">
        <f t="shared" ca="1" si="260"/>
        <v>No</v>
      </c>
      <c r="J1403">
        <f t="shared" ca="1" si="261"/>
        <v>4</v>
      </c>
      <c r="K1403" t="str">
        <f t="shared" ca="1" si="262"/>
        <v>None</v>
      </c>
      <c r="L1403" t="str">
        <f t="shared" ca="1" si="263"/>
        <v>ER</v>
      </c>
    </row>
    <row r="1404" spans="1:12" x14ac:dyDescent="0.25">
      <c r="A1404">
        <f t="shared" si="252"/>
        <v>1403</v>
      </c>
      <c r="B1404">
        <f t="shared" ca="1" si="253"/>
        <v>61</v>
      </c>
      <c r="C1404" t="str">
        <f t="shared" ca="1" si="254"/>
        <v>Female</v>
      </c>
      <c r="D1404" s="1">
        <f t="shared" ca="1" si="255"/>
        <v>45317</v>
      </c>
      <c r="E1404" s="1">
        <f t="shared" ca="1" si="256"/>
        <v>45328</v>
      </c>
      <c r="F1404" t="str">
        <f t="shared" ca="1" si="257"/>
        <v>Stroke</v>
      </c>
      <c r="G1404" t="str">
        <f t="shared" ca="1" si="258"/>
        <v>Surgery</v>
      </c>
      <c r="H1404">
        <f t="shared" ca="1" si="259"/>
        <v>11</v>
      </c>
      <c r="I1404" t="str">
        <f t="shared" ca="1" si="260"/>
        <v>Yes</v>
      </c>
      <c r="J1404">
        <f t="shared" ca="1" si="261"/>
        <v>4</v>
      </c>
      <c r="K1404" t="str">
        <f t="shared" ca="1" si="262"/>
        <v>None</v>
      </c>
      <c r="L1404" t="str">
        <f t="shared" ca="1" si="263"/>
        <v>ICU</v>
      </c>
    </row>
    <row r="1405" spans="1:12" x14ac:dyDescent="0.25">
      <c r="A1405">
        <f t="shared" si="252"/>
        <v>1404</v>
      </c>
      <c r="B1405">
        <f t="shared" ca="1" si="253"/>
        <v>67</v>
      </c>
      <c r="C1405" t="str">
        <f t="shared" ca="1" si="254"/>
        <v>Male</v>
      </c>
      <c r="D1405" s="1">
        <f t="shared" ca="1" si="255"/>
        <v>45543</v>
      </c>
      <c r="E1405" s="1">
        <f t="shared" ca="1" si="256"/>
        <v>45552</v>
      </c>
      <c r="F1405" t="str">
        <f t="shared" ca="1" si="257"/>
        <v>Heart Failure</v>
      </c>
      <c r="G1405" t="str">
        <f t="shared" ca="1" si="258"/>
        <v>Surgery</v>
      </c>
      <c r="H1405">
        <f t="shared" ca="1" si="259"/>
        <v>9</v>
      </c>
      <c r="I1405" t="str">
        <f t="shared" ca="1" si="260"/>
        <v>Yes</v>
      </c>
      <c r="J1405">
        <f t="shared" ca="1" si="261"/>
        <v>2</v>
      </c>
      <c r="K1405" t="str">
        <f t="shared" ca="1" si="262"/>
        <v>None</v>
      </c>
      <c r="L1405" t="str">
        <f t="shared" ca="1" si="263"/>
        <v>General</v>
      </c>
    </row>
    <row r="1406" spans="1:12" x14ac:dyDescent="0.25">
      <c r="A1406">
        <f t="shared" si="252"/>
        <v>1405</v>
      </c>
      <c r="B1406">
        <f t="shared" ca="1" si="253"/>
        <v>33</v>
      </c>
      <c r="C1406" t="str">
        <f t="shared" ca="1" si="254"/>
        <v>Female</v>
      </c>
      <c r="D1406" s="1">
        <f t="shared" ca="1" si="255"/>
        <v>45529</v>
      </c>
      <c r="E1406" s="1">
        <f t="shared" ca="1" si="256"/>
        <v>45534</v>
      </c>
      <c r="F1406" t="str">
        <f t="shared" ca="1" si="257"/>
        <v>Heart Failure</v>
      </c>
      <c r="G1406" t="str">
        <f t="shared" ca="1" si="258"/>
        <v>Medication</v>
      </c>
      <c r="H1406">
        <f t="shared" ca="1" si="259"/>
        <v>5</v>
      </c>
      <c r="I1406" t="str">
        <f t="shared" ca="1" si="260"/>
        <v>No</v>
      </c>
      <c r="J1406">
        <f t="shared" ca="1" si="261"/>
        <v>1</v>
      </c>
      <c r="K1406" t="str">
        <f t="shared" ca="1" si="262"/>
        <v>Private</v>
      </c>
      <c r="L1406" t="str">
        <f t="shared" ca="1" si="263"/>
        <v>ER</v>
      </c>
    </row>
    <row r="1407" spans="1:12" x14ac:dyDescent="0.25">
      <c r="A1407">
        <f t="shared" si="252"/>
        <v>1406</v>
      </c>
      <c r="B1407">
        <f t="shared" ca="1" si="253"/>
        <v>61</v>
      </c>
      <c r="C1407" t="str">
        <f t="shared" ca="1" si="254"/>
        <v>Female</v>
      </c>
      <c r="D1407" s="1">
        <f t="shared" ca="1" si="255"/>
        <v>45337</v>
      </c>
      <c r="E1407" s="1">
        <f t="shared" ca="1" si="256"/>
        <v>45341</v>
      </c>
      <c r="F1407" t="str">
        <f t="shared" ca="1" si="257"/>
        <v>Pneumonia</v>
      </c>
      <c r="G1407" t="str">
        <f t="shared" ca="1" si="258"/>
        <v>Therapy</v>
      </c>
      <c r="H1407">
        <f t="shared" ca="1" si="259"/>
        <v>4</v>
      </c>
      <c r="I1407" t="str">
        <f t="shared" ca="1" si="260"/>
        <v>No</v>
      </c>
      <c r="J1407">
        <f t="shared" ca="1" si="261"/>
        <v>2</v>
      </c>
      <c r="K1407" t="str">
        <f t="shared" ca="1" si="262"/>
        <v>None</v>
      </c>
      <c r="L1407" t="str">
        <f t="shared" ca="1" si="263"/>
        <v>ICU</v>
      </c>
    </row>
    <row r="1408" spans="1:12" x14ac:dyDescent="0.25">
      <c r="A1408">
        <f t="shared" si="252"/>
        <v>1407</v>
      </c>
      <c r="B1408">
        <f t="shared" ca="1" si="253"/>
        <v>61</v>
      </c>
      <c r="C1408" t="str">
        <f t="shared" ca="1" si="254"/>
        <v>Female</v>
      </c>
      <c r="D1408" s="1">
        <f t="shared" ca="1" si="255"/>
        <v>45560</v>
      </c>
      <c r="E1408" s="1">
        <f t="shared" ca="1" si="256"/>
        <v>45567</v>
      </c>
      <c r="F1408" t="str">
        <f t="shared" ca="1" si="257"/>
        <v>Pneumonia</v>
      </c>
      <c r="G1408" t="str">
        <f t="shared" ca="1" si="258"/>
        <v>Surgery</v>
      </c>
      <c r="H1408">
        <f t="shared" ca="1" si="259"/>
        <v>7</v>
      </c>
      <c r="I1408" t="str">
        <f t="shared" ca="1" si="260"/>
        <v>No</v>
      </c>
      <c r="J1408">
        <f t="shared" ca="1" si="261"/>
        <v>1</v>
      </c>
      <c r="K1408" t="str">
        <f t="shared" ca="1" si="262"/>
        <v>Private</v>
      </c>
      <c r="L1408" t="str">
        <f t="shared" ca="1" si="263"/>
        <v>ICU</v>
      </c>
    </row>
    <row r="1409" spans="1:12" x14ac:dyDescent="0.25">
      <c r="A1409">
        <f t="shared" si="252"/>
        <v>1408</v>
      </c>
      <c r="B1409">
        <f t="shared" ca="1" si="253"/>
        <v>75</v>
      </c>
      <c r="C1409" t="str">
        <f t="shared" ca="1" si="254"/>
        <v>Female</v>
      </c>
      <c r="D1409" s="1">
        <f t="shared" ca="1" si="255"/>
        <v>45527</v>
      </c>
      <c r="E1409" s="1">
        <f t="shared" ca="1" si="256"/>
        <v>45531</v>
      </c>
      <c r="F1409" t="str">
        <f t="shared" ca="1" si="257"/>
        <v>Diabetes</v>
      </c>
      <c r="G1409" t="str">
        <f t="shared" ca="1" si="258"/>
        <v>Surgery</v>
      </c>
      <c r="H1409">
        <f t="shared" ca="1" si="259"/>
        <v>4</v>
      </c>
      <c r="I1409" t="str">
        <f t="shared" ca="1" si="260"/>
        <v>No</v>
      </c>
      <c r="J1409">
        <f t="shared" ca="1" si="261"/>
        <v>0</v>
      </c>
      <c r="K1409" t="str">
        <f t="shared" ca="1" si="262"/>
        <v>Private</v>
      </c>
      <c r="L1409" t="str">
        <f t="shared" ca="1" si="263"/>
        <v>Neurology</v>
      </c>
    </row>
    <row r="1410" spans="1:12" x14ac:dyDescent="0.25">
      <c r="A1410">
        <f t="shared" si="252"/>
        <v>1409</v>
      </c>
      <c r="B1410">
        <f t="shared" ca="1" si="253"/>
        <v>62</v>
      </c>
      <c r="C1410" t="str">
        <f t="shared" ca="1" si="254"/>
        <v>Female</v>
      </c>
      <c r="D1410" s="1">
        <f t="shared" ca="1" si="255"/>
        <v>45480</v>
      </c>
      <c r="E1410" s="1">
        <f t="shared" ca="1" si="256"/>
        <v>45490</v>
      </c>
      <c r="F1410" t="str">
        <f t="shared" ca="1" si="257"/>
        <v>Diabetes</v>
      </c>
      <c r="G1410" t="str">
        <f t="shared" ca="1" si="258"/>
        <v>Therapy</v>
      </c>
      <c r="H1410">
        <f t="shared" ca="1" si="259"/>
        <v>10</v>
      </c>
      <c r="I1410" t="str">
        <f t="shared" ca="1" si="260"/>
        <v>Yes</v>
      </c>
      <c r="J1410">
        <f t="shared" ca="1" si="261"/>
        <v>1</v>
      </c>
      <c r="K1410" t="str">
        <f t="shared" ca="1" si="262"/>
        <v>Public</v>
      </c>
      <c r="L1410" t="str">
        <f t="shared" ca="1" si="263"/>
        <v>Neurology</v>
      </c>
    </row>
    <row r="1411" spans="1:12" x14ac:dyDescent="0.25">
      <c r="A1411">
        <f t="shared" ref="A1411:A1474" si="264">ROW() -1</f>
        <v>1410</v>
      </c>
      <c r="B1411">
        <f t="shared" ref="B1411:B1474" ca="1" si="265">RANDBETWEEN(20,90)</f>
        <v>61</v>
      </c>
      <c r="C1411" t="str">
        <f t="shared" ref="C1411:C1474" ca="1" si="266">IF(RAND()&lt;0.5,"Male","Female")</f>
        <v>Female</v>
      </c>
      <c r="D1411" s="1">
        <f t="shared" ref="D1411:D1474" ca="1" si="267">DATE(2024,1,1)+RANDBETWEEN(0,364)</f>
        <v>45307</v>
      </c>
      <c r="E1411" s="1">
        <f t="shared" ref="E1411:E1474" ca="1" si="268">D1411+RANDBETWEEN(1,15)</f>
        <v>45319</v>
      </c>
      <c r="F1411" t="str">
        <f t="shared" ref="F1411:F1474" ca="1" si="269">CHOOSE(RANDBETWEEN(1,5),"Diabetes","Heart Failure","Pneumonia","Stroke","Hypertension")</f>
        <v>Hypertension</v>
      </c>
      <c r="G1411" t="str">
        <f t="shared" ref="G1411:G1474" ca="1" si="270">CHOOSE(RANDBETWEEN(1,3),"Medication","Surgery","Therapy")</f>
        <v>Surgery</v>
      </c>
      <c r="H1411">
        <f t="shared" ref="H1411:H1474" ca="1" si="271">DATEDIF(D1411,E1411,"D")</f>
        <v>12</v>
      </c>
      <c r="I1411" t="str">
        <f t="shared" ref="I1411:I1474" ca="1" si="272">IF(RAND()&lt;0.3,"Yes","No")</f>
        <v>Yes</v>
      </c>
      <c r="J1411">
        <f t="shared" ref="J1411:J1474" ca="1" si="273">RANDBETWEEN(0,4)</f>
        <v>2</v>
      </c>
      <c r="K1411" t="str">
        <f t="shared" ref="K1411:K1474" ca="1" si="274">CHOOSE(RANDBETWEEN(1,3),"Private","Public","None")</f>
        <v>None</v>
      </c>
      <c r="L1411" t="str">
        <f t="shared" ref="L1411:L1474" ca="1" si="275">CHOOSE(RANDBETWEEN(1,5),"ER","Cardiology","Neurology","General","ICU")</f>
        <v>Cardiology</v>
      </c>
    </row>
    <row r="1412" spans="1:12" x14ac:dyDescent="0.25">
      <c r="A1412">
        <f t="shared" si="264"/>
        <v>1411</v>
      </c>
      <c r="B1412">
        <f t="shared" ca="1" si="265"/>
        <v>90</v>
      </c>
      <c r="C1412" t="str">
        <f t="shared" ca="1" si="266"/>
        <v>Female</v>
      </c>
      <c r="D1412" s="1">
        <f t="shared" ca="1" si="267"/>
        <v>45472</v>
      </c>
      <c r="E1412" s="1">
        <f t="shared" ca="1" si="268"/>
        <v>45482</v>
      </c>
      <c r="F1412" t="str">
        <f t="shared" ca="1" si="269"/>
        <v>Stroke</v>
      </c>
      <c r="G1412" t="str">
        <f t="shared" ca="1" si="270"/>
        <v>Medication</v>
      </c>
      <c r="H1412">
        <f t="shared" ca="1" si="271"/>
        <v>10</v>
      </c>
      <c r="I1412" t="str">
        <f t="shared" ca="1" si="272"/>
        <v>Yes</v>
      </c>
      <c r="J1412">
        <f t="shared" ca="1" si="273"/>
        <v>2</v>
      </c>
      <c r="K1412" t="str">
        <f t="shared" ca="1" si="274"/>
        <v>Private</v>
      </c>
      <c r="L1412" t="str">
        <f t="shared" ca="1" si="275"/>
        <v>Neurology</v>
      </c>
    </row>
    <row r="1413" spans="1:12" x14ac:dyDescent="0.25">
      <c r="A1413">
        <f t="shared" si="264"/>
        <v>1412</v>
      </c>
      <c r="B1413">
        <f t="shared" ca="1" si="265"/>
        <v>76</v>
      </c>
      <c r="C1413" t="str">
        <f t="shared" ca="1" si="266"/>
        <v>Female</v>
      </c>
      <c r="D1413" s="1">
        <f t="shared" ca="1" si="267"/>
        <v>45521</v>
      </c>
      <c r="E1413" s="1">
        <f t="shared" ca="1" si="268"/>
        <v>45532</v>
      </c>
      <c r="F1413" t="str">
        <f t="shared" ca="1" si="269"/>
        <v>Stroke</v>
      </c>
      <c r="G1413" t="str">
        <f t="shared" ca="1" si="270"/>
        <v>Medication</v>
      </c>
      <c r="H1413">
        <f t="shared" ca="1" si="271"/>
        <v>11</v>
      </c>
      <c r="I1413" t="str">
        <f t="shared" ca="1" si="272"/>
        <v>Yes</v>
      </c>
      <c r="J1413">
        <f t="shared" ca="1" si="273"/>
        <v>3</v>
      </c>
      <c r="K1413" t="str">
        <f t="shared" ca="1" si="274"/>
        <v>Private</v>
      </c>
      <c r="L1413" t="str">
        <f t="shared" ca="1" si="275"/>
        <v>General</v>
      </c>
    </row>
    <row r="1414" spans="1:12" x14ac:dyDescent="0.25">
      <c r="A1414">
        <f t="shared" si="264"/>
        <v>1413</v>
      </c>
      <c r="B1414">
        <f t="shared" ca="1" si="265"/>
        <v>52</v>
      </c>
      <c r="C1414" t="str">
        <f t="shared" ca="1" si="266"/>
        <v>Female</v>
      </c>
      <c r="D1414" s="1">
        <f t="shared" ca="1" si="267"/>
        <v>45330</v>
      </c>
      <c r="E1414" s="1">
        <f t="shared" ca="1" si="268"/>
        <v>45345</v>
      </c>
      <c r="F1414" t="str">
        <f t="shared" ca="1" si="269"/>
        <v>Heart Failure</v>
      </c>
      <c r="G1414" t="str">
        <f t="shared" ca="1" si="270"/>
        <v>Medication</v>
      </c>
      <c r="H1414">
        <f t="shared" ca="1" si="271"/>
        <v>15</v>
      </c>
      <c r="I1414" t="str">
        <f t="shared" ca="1" si="272"/>
        <v>No</v>
      </c>
      <c r="J1414">
        <f t="shared" ca="1" si="273"/>
        <v>3</v>
      </c>
      <c r="K1414" t="str">
        <f t="shared" ca="1" si="274"/>
        <v>Public</v>
      </c>
      <c r="L1414" t="str">
        <f t="shared" ca="1" si="275"/>
        <v>Neurology</v>
      </c>
    </row>
    <row r="1415" spans="1:12" x14ac:dyDescent="0.25">
      <c r="A1415">
        <f t="shared" si="264"/>
        <v>1414</v>
      </c>
      <c r="B1415">
        <f t="shared" ca="1" si="265"/>
        <v>83</v>
      </c>
      <c r="C1415" t="str">
        <f t="shared" ca="1" si="266"/>
        <v>Male</v>
      </c>
      <c r="D1415" s="1">
        <f t="shared" ca="1" si="267"/>
        <v>45446</v>
      </c>
      <c r="E1415" s="1">
        <f t="shared" ca="1" si="268"/>
        <v>45460</v>
      </c>
      <c r="F1415" t="str">
        <f t="shared" ca="1" si="269"/>
        <v>Stroke</v>
      </c>
      <c r="G1415" t="str">
        <f t="shared" ca="1" si="270"/>
        <v>Surgery</v>
      </c>
      <c r="H1415">
        <f t="shared" ca="1" si="271"/>
        <v>14</v>
      </c>
      <c r="I1415" t="str">
        <f t="shared" ca="1" si="272"/>
        <v>No</v>
      </c>
      <c r="J1415">
        <f t="shared" ca="1" si="273"/>
        <v>0</v>
      </c>
      <c r="K1415" t="str">
        <f t="shared" ca="1" si="274"/>
        <v>Private</v>
      </c>
      <c r="L1415" t="str">
        <f t="shared" ca="1" si="275"/>
        <v>Neurology</v>
      </c>
    </row>
    <row r="1416" spans="1:12" x14ac:dyDescent="0.25">
      <c r="A1416">
        <f t="shared" si="264"/>
        <v>1415</v>
      </c>
      <c r="B1416">
        <f t="shared" ca="1" si="265"/>
        <v>76</v>
      </c>
      <c r="C1416" t="str">
        <f t="shared" ca="1" si="266"/>
        <v>Male</v>
      </c>
      <c r="D1416" s="1">
        <f t="shared" ca="1" si="267"/>
        <v>45456</v>
      </c>
      <c r="E1416" s="1">
        <f t="shared" ca="1" si="268"/>
        <v>45471</v>
      </c>
      <c r="F1416" t="str">
        <f t="shared" ca="1" si="269"/>
        <v>Stroke</v>
      </c>
      <c r="G1416" t="str">
        <f t="shared" ca="1" si="270"/>
        <v>Surgery</v>
      </c>
      <c r="H1416">
        <f t="shared" ca="1" si="271"/>
        <v>15</v>
      </c>
      <c r="I1416" t="str">
        <f t="shared" ca="1" si="272"/>
        <v>Yes</v>
      </c>
      <c r="J1416">
        <f t="shared" ca="1" si="273"/>
        <v>1</v>
      </c>
      <c r="K1416" t="str">
        <f t="shared" ca="1" si="274"/>
        <v>None</v>
      </c>
      <c r="L1416" t="str">
        <f t="shared" ca="1" si="275"/>
        <v>General</v>
      </c>
    </row>
    <row r="1417" spans="1:12" x14ac:dyDescent="0.25">
      <c r="A1417">
        <f t="shared" si="264"/>
        <v>1416</v>
      </c>
      <c r="B1417">
        <f t="shared" ca="1" si="265"/>
        <v>28</v>
      </c>
      <c r="C1417" t="str">
        <f t="shared" ca="1" si="266"/>
        <v>Female</v>
      </c>
      <c r="D1417" s="1">
        <f t="shared" ca="1" si="267"/>
        <v>45589</v>
      </c>
      <c r="E1417" s="1">
        <f t="shared" ca="1" si="268"/>
        <v>45599</v>
      </c>
      <c r="F1417" t="str">
        <f t="shared" ca="1" si="269"/>
        <v>Heart Failure</v>
      </c>
      <c r="G1417" t="str">
        <f t="shared" ca="1" si="270"/>
        <v>Therapy</v>
      </c>
      <c r="H1417">
        <f t="shared" ca="1" si="271"/>
        <v>10</v>
      </c>
      <c r="I1417" t="str">
        <f t="shared" ca="1" si="272"/>
        <v>Yes</v>
      </c>
      <c r="J1417">
        <f t="shared" ca="1" si="273"/>
        <v>2</v>
      </c>
      <c r="K1417" t="str">
        <f t="shared" ca="1" si="274"/>
        <v>None</v>
      </c>
      <c r="L1417" t="str">
        <f t="shared" ca="1" si="275"/>
        <v>Cardiology</v>
      </c>
    </row>
    <row r="1418" spans="1:12" x14ac:dyDescent="0.25">
      <c r="A1418">
        <f t="shared" si="264"/>
        <v>1417</v>
      </c>
      <c r="B1418">
        <f t="shared" ca="1" si="265"/>
        <v>40</v>
      </c>
      <c r="C1418" t="str">
        <f t="shared" ca="1" si="266"/>
        <v>Male</v>
      </c>
      <c r="D1418" s="1">
        <f t="shared" ca="1" si="267"/>
        <v>45476</v>
      </c>
      <c r="E1418" s="1">
        <f t="shared" ca="1" si="268"/>
        <v>45480</v>
      </c>
      <c r="F1418" t="str">
        <f t="shared" ca="1" si="269"/>
        <v>Heart Failure</v>
      </c>
      <c r="G1418" t="str">
        <f t="shared" ca="1" si="270"/>
        <v>Therapy</v>
      </c>
      <c r="H1418">
        <f t="shared" ca="1" si="271"/>
        <v>4</v>
      </c>
      <c r="I1418" t="str">
        <f t="shared" ca="1" si="272"/>
        <v>No</v>
      </c>
      <c r="J1418">
        <f t="shared" ca="1" si="273"/>
        <v>2</v>
      </c>
      <c r="K1418" t="str">
        <f t="shared" ca="1" si="274"/>
        <v>Private</v>
      </c>
      <c r="L1418" t="str">
        <f t="shared" ca="1" si="275"/>
        <v>ER</v>
      </c>
    </row>
    <row r="1419" spans="1:12" x14ac:dyDescent="0.25">
      <c r="A1419">
        <f t="shared" si="264"/>
        <v>1418</v>
      </c>
      <c r="B1419">
        <f t="shared" ca="1" si="265"/>
        <v>88</v>
      </c>
      <c r="C1419" t="str">
        <f t="shared" ca="1" si="266"/>
        <v>Female</v>
      </c>
      <c r="D1419" s="1">
        <f t="shared" ca="1" si="267"/>
        <v>45540</v>
      </c>
      <c r="E1419" s="1">
        <f t="shared" ca="1" si="268"/>
        <v>45551</v>
      </c>
      <c r="F1419" t="str">
        <f t="shared" ca="1" si="269"/>
        <v>Hypertension</v>
      </c>
      <c r="G1419" t="str">
        <f t="shared" ca="1" si="270"/>
        <v>Surgery</v>
      </c>
      <c r="H1419">
        <f t="shared" ca="1" si="271"/>
        <v>11</v>
      </c>
      <c r="I1419" t="str">
        <f t="shared" ca="1" si="272"/>
        <v>Yes</v>
      </c>
      <c r="J1419">
        <f t="shared" ca="1" si="273"/>
        <v>2</v>
      </c>
      <c r="K1419" t="str">
        <f t="shared" ca="1" si="274"/>
        <v>None</v>
      </c>
      <c r="L1419" t="str">
        <f t="shared" ca="1" si="275"/>
        <v>ICU</v>
      </c>
    </row>
    <row r="1420" spans="1:12" x14ac:dyDescent="0.25">
      <c r="A1420">
        <f t="shared" si="264"/>
        <v>1419</v>
      </c>
      <c r="B1420">
        <f t="shared" ca="1" si="265"/>
        <v>37</v>
      </c>
      <c r="C1420" t="str">
        <f t="shared" ca="1" si="266"/>
        <v>Male</v>
      </c>
      <c r="D1420" s="1">
        <f t="shared" ca="1" si="267"/>
        <v>45576</v>
      </c>
      <c r="E1420" s="1">
        <f t="shared" ca="1" si="268"/>
        <v>45584</v>
      </c>
      <c r="F1420" t="str">
        <f t="shared" ca="1" si="269"/>
        <v>Pneumonia</v>
      </c>
      <c r="G1420" t="str">
        <f t="shared" ca="1" si="270"/>
        <v>Medication</v>
      </c>
      <c r="H1420">
        <f t="shared" ca="1" si="271"/>
        <v>8</v>
      </c>
      <c r="I1420" t="str">
        <f t="shared" ca="1" si="272"/>
        <v>No</v>
      </c>
      <c r="J1420">
        <f t="shared" ca="1" si="273"/>
        <v>1</v>
      </c>
      <c r="K1420" t="str">
        <f t="shared" ca="1" si="274"/>
        <v>Public</v>
      </c>
      <c r="L1420" t="str">
        <f t="shared" ca="1" si="275"/>
        <v>General</v>
      </c>
    </row>
    <row r="1421" spans="1:12" x14ac:dyDescent="0.25">
      <c r="A1421">
        <f t="shared" si="264"/>
        <v>1420</v>
      </c>
      <c r="B1421">
        <f t="shared" ca="1" si="265"/>
        <v>78</v>
      </c>
      <c r="C1421" t="str">
        <f t="shared" ca="1" si="266"/>
        <v>Male</v>
      </c>
      <c r="D1421" s="1">
        <f t="shared" ca="1" si="267"/>
        <v>45537</v>
      </c>
      <c r="E1421" s="1">
        <f t="shared" ca="1" si="268"/>
        <v>45538</v>
      </c>
      <c r="F1421" t="str">
        <f t="shared" ca="1" si="269"/>
        <v>Pneumonia</v>
      </c>
      <c r="G1421" t="str">
        <f t="shared" ca="1" si="270"/>
        <v>Therapy</v>
      </c>
      <c r="H1421">
        <f t="shared" ca="1" si="271"/>
        <v>1</v>
      </c>
      <c r="I1421" t="str">
        <f t="shared" ca="1" si="272"/>
        <v>Yes</v>
      </c>
      <c r="J1421">
        <f t="shared" ca="1" si="273"/>
        <v>0</v>
      </c>
      <c r="K1421" t="str">
        <f t="shared" ca="1" si="274"/>
        <v>None</v>
      </c>
      <c r="L1421" t="str">
        <f t="shared" ca="1" si="275"/>
        <v>Cardiology</v>
      </c>
    </row>
    <row r="1422" spans="1:12" x14ac:dyDescent="0.25">
      <c r="A1422">
        <f t="shared" si="264"/>
        <v>1421</v>
      </c>
      <c r="B1422">
        <f t="shared" ca="1" si="265"/>
        <v>77</v>
      </c>
      <c r="C1422" t="str">
        <f t="shared" ca="1" si="266"/>
        <v>Male</v>
      </c>
      <c r="D1422" s="1">
        <f t="shared" ca="1" si="267"/>
        <v>45522</v>
      </c>
      <c r="E1422" s="1">
        <f t="shared" ca="1" si="268"/>
        <v>45536</v>
      </c>
      <c r="F1422" t="str">
        <f t="shared" ca="1" si="269"/>
        <v>Heart Failure</v>
      </c>
      <c r="G1422" t="str">
        <f t="shared" ca="1" si="270"/>
        <v>Surgery</v>
      </c>
      <c r="H1422">
        <f t="shared" ca="1" si="271"/>
        <v>14</v>
      </c>
      <c r="I1422" t="str">
        <f t="shared" ca="1" si="272"/>
        <v>No</v>
      </c>
      <c r="J1422">
        <f t="shared" ca="1" si="273"/>
        <v>1</v>
      </c>
      <c r="K1422" t="str">
        <f t="shared" ca="1" si="274"/>
        <v>Public</v>
      </c>
      <c r="L1422" t="str">
        <f t="shared" ca="1" si="275"/>
        <v>ER</v>
      </c>
    </row>
    <row r="1423" spans="1:12" x14ac:dyDescent="0.25">
      <c r="A1423">
        <f t="shared" si="264"/>
        <v>1422</v>
      </c>
      <c r="B1423">
        <f t="shared" ca="1" si="265"/>
        <v>88</v>
      </c>
      <c r="C1423" t="str">
        <f t="shared" ca="1" si="266"/>
        <v>Female</v>
      </c>
      <c r="D1423" s="1">
        <f t="shared" ca="1" si="267"/>
        <v>45466</v>
      </c>
      <c r="E1423" s="1">
        <f t="shared" ca="1" si="268"/>
        <v>45472</v>
      </c>
      <c r="F1423" t="str">
        <f t="shared" ca="1" si="269"/>
        <v>Diabetes</v>
      </c>
      <c r="G1423" t="str">
        <f t="shared" ca="1" si="270"/>
        <v>Surgery</v>
      </c>
      <c r="H1423">
        <f t="shared" ca="1" si="271"/>
        <v>6</v>
      </c>
      <c r="I1423" t="str">
        <f t="shared" ca="1" si="272"/>
        <v>No</v>
      </c>
      <c r="J1423">
        <f t="shared" ca="1" si="273"/>
        <v>4</v>
      </c>
      <c r="K1423" t="str">
        <f t="shared" ca="1" si="274"/>
        <v>None</v>
      </c>
      <c r="L1423" t="str">
        <f t="shared" ca="1" si="275"/>
        <v>ER</v>
      </c>
    </row>
    <row r="1424" spans="1:12" x14ac:dyDescent="0.25">
      <c r="A1424">
        <f t="shared" si="264"/>
        <v>1423</v>
      </c>
      <c r="B1424">
        <f t="shared" ca="1" si="265"/>
        <v>57</v>
      </c>
      <c r="C1424" t="str">
        <f t="shared" ca="1" si="266"/>
        <v>Female</v>
      </c>
      <c r="D1424" s="1">
        <f t="shared" ca="1" si="267"/>
        <v>45471</v>
      </c>
      <c r="E1424" s="1">
        <f t="shared" ca="1" si="268"/>
        <v>45480</v>
      </c>
      <c r="F1424" t="str">
        <f t="shared" ca="1" si="269"/>
        <v>Heart Failure</v>
      </c>
      <c r="G1424" t="str">
        <f t="shared" ca="1" si="270"/>
        <v>Surgery</v>
      </c>
      <c r="H1424">
        <f t="shared" ca="1" si="271"/>
        <v>9</v>
      </c>
      <c r="I1424" t="str">
        <f t="shared" ca="1" si="272"/>
        <v>No</v>
      </c>
      <c r="J1424">
        <f t="shared" ca="1" si="273"/>
        <v>4</v>
      </c>
      <c r="K1424" t="str">
        <f t="shared" ca="1" si="274"/>
        <v>Private</v>
      </c>
      <c r="L1424" t="str">
        <f t="shared" ca="1" si="275"/>
        <v>Cardiology</v>
      </c>
    </row>
    <row r="1425" spans="1:12" x14ac:dyDescent="0.25">
      <c r="A1425">
        <f t="shared" si="264"/>
        <v>1424</v>
      </c>
      <c r="B1425">
        <f t="shared" ca="1" si="265"/>
        <v>47</v>
      </c>
      <c r="C1425" t="str">
        <f t="shared" ca="1" si="266"/>
        <v>Female</v>
      </c>
      <c r="D1425" s="1">
        <f t="shared" ca="1" si="267"/>
        <v>45570</v>
      </c>
      <c r="E1425" s="1">
        <f t="shared" ca="1" si="268"/>
        <v>45580</v>
      </c>
      <c r="F1425" t="str">
        <f t="shared" ca="1" si="269"/>
        <v>Heart Failure</v>
      </c>
      <c r="G1425" t="str">
        <f t="shared" ca="1" si="270"/>
        <v>Medication</v>
      </c>
      <c r="H1425">
        <f t="shared" ca="1" si="271"/>
        <v>10</v>
      </c>
      <c r="I1425" t="str">
        <f t="shared" ca="1" si="272"/>
        <v>Yes</v>
      </c>
      <c r="J1425">
        <f t="shared" ca="1" si="273"/>
        <v>0</v>
      </c>
      <c r="K1425" t="str">
        <f t="shared" ca="1" si="274"/>
        <v>None</v>
      </c>
      <c r="L1425" t="str">
        <f t="shared" ca="1" si="275"/>
        <v>Neurology</v>
      </c>
    </row>
    <row r="1426" spans="1:12" x14ac:dyDescent="0.25">
      <c r="A1426">
        <f t="shared" si="264"/>
        <v>1425</v>
      </c>
      <c r="B1426">
        <f t="shared" ca="1" si="265"/>
        <v>29</v>
      </c>
      <c r="C1426" t="str">
        <f t="shared" ca="1" si="266"/>
        <v>Male</v>
      </c>
      <c r="D1426" s="1">
        <f t="shared" ca="1" si="267"/>
        <v>45333</v>
      </c>
      <c r="E1426" s="1">
        <f t="shared" ca="1" si="268"/>
        <v>45341</v>
      </c>
      <c r="F1426" t="str">
        <f t="shared" ca="1" si="269"/>
        <v>Hypertension</v>
      </c>
      <c r="G1426" t="str">
        <f t="shared" ca="1" si="270"/>
        <v>Medication</v>
      </c>
      <c r="H1426">
        <f t="shared" ca="1" si="271"/>
        <v>8</v>
      </c>
      <c r="I1426" t="str">
        <f t="shared" ca="1" si="272"/>
        <v>No</v>
      </c>
      <c r="J1426">
        <f t="shared" ca="1" si="273"/>
        <v>1</v>
      </c>
      <c r="K1426" t="str">
        <f t="shared" ca="1" si="274"/>
        <v>Private</v>
      </c>
      <c r="L1426" t="str">
        <f t="shared" ca="1" si="275"/>
        <v>ICU</v>
      </c>
    </row>
    <row r="1427" spans="1:12" x14ac:dyDescent="0.25">
      <c r="A1427">
        <f t="shared" si="264"/>
        <v>1426</v>
      </c>
      <c r="B1427">
        <f t="shared" ca="1" si="265"/>
        <v>73</v>
      </c>
      <c r="C1427" t="str">
        <f t="shared" ca="1" si="266"/>
        <v>Female</v>
      </c>
      <c r="D1427" s="1">
        <f t="shared" ca="1" si="267"/>
        <v>45469</v>
      </c>
      <c r="E1427" s="1">
        <f t="shared" ca="1" si="268"/>
        <v>45478</v>
      </c>
      <c r="F1427" t="str">
        <f t="shared" ca="1" si="269"/>
        <v>Hypertension</v>
      </c>
      <c r="G1427" t="str">
        <f t="shared" ca="1" si="270"/>
        <v>Therapy</v>
      </c>
      <c r="H1427">
        <f t="shared" ca="1" si="271"/>
        <v>9</v>
      </c>
      <c r="I1427" t="str">
        <f t="shared" ca="1" si="272"/>
        <v>No</v>
      </c>
      <c r="J1427">
        <f t="shared" ca="1" si="273"/>
        <v>1</v>
      </c>
      <c r="K1427" t="str">
        <f t="shared" ca="1" si="274"/>
        <v>None</v>
      </c>
      <c r="L1427" t="str">
        <f t="shared" ca="1" si="275"/>
        <v>General</v>
      </c>
    </row>
    <row r="1428" spans="1:12" x14ac:dyDescent="0.25">
      <c r="A1428">
        <f t="shared" si="264"/>
        <v>1427</v>
      </c>
      <c r="B1428">
        <f t="shared" ca="1" si="265"/>
        <v>36</v>
      </c>
      <c r="C1428" t="str">
        <f t="shared" ca="1" si="266"/>
        <v>Female</v>
      </c>
      <c r="D1428" s="1">
        <f t="shared" ca="1" si="267"/>
        <v>45413</v>
      </c>
      <c r="E1428" s="1">
        <f t="shared" ca="1" si="268"/>
        <v>45419</v>
      </c>
      <c r="F1428" t="str">
        <f t="shared" ca="1" si="269"/>
        <v>Pneumonia</v>
      </c>
      <c r="G1428" t="str">
        <f t="shared" ca="1" si="270"/>
        <v>Surgery</v>
      </c>
      <c r="H1428">
        <f t="shared" ca="1" si="271"/>
        <v>6</v>
      </c>
      <c r="I1428" t="str">
        <f t="shared" ca="1" si="272"/>
        <v>No</v>
      </c>
      <c r="J1428">
        <f t="shared" ca="1" si="273"/>
        <v>4</v>
      </c>
      <c r="K1428" t="str">
        <f t="shared" ca="1" si="274"/>
        <v>Private</v>
      </c>
      <c r="L1428" t="str">
        <f t="shared" ca="1" si="275"/>
        <v>ICU</v>
      </c>
    </row>
    <row r="1429" spans="1:12" x14ac:dyDescent="0.25">
      <c r="A1429">
        <f t="shared" si="264"/>
        <v>1428</v>
      </c>
      <c r="B1429">
        <f t="shared" ca="1" si="265"/>
        <v>44</v>
      </c>
      <c r="C1429" t="str">
        <f t="shared" ca="1" si="266"/>
        <v>Male</v>
      </c>
      <c r="D1429" s="1">
        <f t="shared" ca="1" si="267"/>
        <v>45654</v>
      </c>
      <c r="E1429" s="1">
        <f t="shared" ca="1" si="268"/>
        <v>45669</v>
      </c>
      <c r="F1429" t="str">
        <f t="shared" ca="1" si="269"/>
        <v>Diabetes</v>
      </c>
      <c r="G1429" t="str">
        <f t="shared" ca="1" si="270"/>
        <v>Medication</v>
      </c>
      <c r="H1429">
        <f t="shared" ca="1" si="271"/>
        <v>15</v>
      </c>
      <c r="I1429" t="str">
        <f t="shared" ca="1" si="272"/>
        <v>Yes</v>
      </c>
      <c r="J1429">
        <f t="shared" ca="1" si="273"/>
        <v>0</v>
      </c>
      <c r="K1429" t="str">
        <f t="shared" ca="1" si="274"/>
        <v>None</v>
      </c>
      <c r="L1429" t="str">
        <f t="shared" ca="1" si="275"/>
        <v>ICU</v>
      </c>
    </row>
    <row r="1430" spans="1:12" x14ac:dyDescent="0.25">
      <c r="A1430">
        <f t="shared" si="264"/>
        <v>1429</v>
      </c>
      <c r="B1430">
        <f t="shared" ca="1" si="265"/>
        <v>40</v>
      </c>
      <c r="C1430" t="str">
        <f t="shared" ca="1" si="266"/>
        <v>Male</v>
      </c>
      <c r="D1430" s="1">
        <f t="shared" ca="1" si="267"/>
        <v>45559</v>
      </c>
      <c r="E1430" s="1">
        <f t="shared" ca="1" si="268"/>
        <v>45569</v>
      </c>
      <c r="F1430" t="str">
        <f t="shared" ca="1" si="269"/>
        <v>Heart Failure</v>
      </c>
      <c r="G1430" t="str">
        <f t="shared" ca="1" si="270"/>
        <v>Therapy</v>
      </c>
      <c r="H1430">
        <f t="shared" ca="1" si="271"/>
        <v>10</v>
      </c>
      <c r="I1430" t="str">
        <f t="shared" ca="1" si="272"/>
        <v>No</v>
      </c>
      <c r="J1430">
        <f t="shared" ca="1" si="273"/>
        <v>1</v>
      </c>
      <c r="K1430" t="str">
        <f t="shared" ca="1" si="274"/>
        <v>Private</v>
      </c>
      <c r="L1430" t="str">
        <f t="shared" ca="1" si="275"/>
        <v>ER</v>
      </c>
    </row>
    <row r="1431" spans="1:12" x14ac:dyDescent="0.25">
      <c r="A1431">
        <f t="shared" si="264"/>
        <v>1430</v>
      </c>
      <c r="B1431">
        <f t="shared" ca="1" si="265"/>
        <v>32</v>
      </c>
      <c r="C1431" t="str">
        <f t="shared" ca="1" si="266"/>
        <v>Female</v>
      </c>
      <c r="D1431" s="1">
        <f t="shared" ca="1" si="267"/>
        <v>45298</v>
      </c>
      <c r="E1431" s="1">
        <f t="shared" ca="1" si="268"/>
        <v>45306</v>
      </c>
      <c r="F1431" t="str">
        <f t="shared" ca="1" si="269"/>
        <v>Stroke</v>
      </c>
      <c r="G1431" t="str">
        <f t="shared" ca="1" si="270"/>
        <v>Medication</v>
      </c>
      <c r="H1431">
        <f t="shared" ca="1" si="271"/>
        <v>8</v>
      </c>
      <c r="I1431" t="str">
        <f t="shared" ca="1" si="272"/>
        <v>Yes</v>
      </c>
      <c r="J1431">
        <f t="shared" ca="1" si="273"/>
        <v>0</v>
      </c>
      <c r="K1431" t="str">
        <f t="shared" ca="1" si="274"/>
        <v>Private</v>
      </c>
      <c r="L1431" t="str">
        <f t="shared" ca="1" si="275"/>
        <v>ER</v>
      </c>
    </row>
    <row r="1432" spans="1:12" x14ac:dyDescent="0.25">
      <c r="A1432">
        <f t="shared" si="264"/>
        <v>1431</v>
      </c>
      <c r="B1432">
        <f t="shared" ca="1" si="265"/>
        <v>54</v>
      </c>
      <c r="C1432" t="str">
        <f t="shared" ca="1" si="266"/>
        <v>Female</v>
      </c>
      <c r="D1432" s="1">
        <f t="shared" ca="1" si="267"/>
        <v>45395</v>
      </c>
      <c r="E1432" s="1">
        <f t="shared" ca="1" si="268"/>
        <v>45396</v>
      </c>
      <c r="F1432" t="str">
        <f t="shared" ca="1" si="269"/>
        <v>Stroke</v>
      </c>
      <c r="G1432" t="str">
        <f t="shared" ca="1" si="270"/>
        <v>Therapy</v>
      </c>
      <c r="H1432">
        <f t="shared" ca="1" si="271"/>
        <v>1</v>
      </c>
      <c r="I1432" t="str">
        <f t="shared" ca="1" si="272"/>
        <v>No</v>
      </c>
      <c r="J1432">
        <f t="shared" ca="1" si="273"/>
        <v>4</v>
      </c>
      <c r="K1432" t="str">
        <f t="shared" ca="1" si="274"/>
        <v>Public</v>
      </c>
      <c r="L1432" t="str">
        <f t="shared" ca="1" si="275"/>
        <v>Neurology</v>
      </c>
    </row>
    <row r="1433" spans="1:12" x14ac:dyDescent="0.25">
      <c r="A1433">
        <f t="shared" si="264"/>
        <v>1432</v>
      </c>
      <c r="B1433">
        <f t="shared" ca="1" si="265"/>
        <v>62</v>
      </c>
      <c r="C1433" t="str">
        <f t="shared" ca="1" si="266"/>
        <v>Male</v>
      </c>
      <c r="D1433" s="1">
        <f t="shared" ca="1" si="267"/>
        <v>45532</v>
      </c>
      <c r="E1433" s="1">
        <f t="shared" ca="1" si="268"/>
        <v>45540</v>
      </c>
      <c r="F1433" t="str">
        <f t="shared" ca="1" si="269"/>
        <v>Diabetes</v>
      </c>
      <c r="G1433" t="str">
        <f t="shared" ca="1" si="270"/>
        <v>Surgery</v>
      </c>
      <c r="H1433">
        <f t="shared" ca="1" si="271"/>
        <v>8</v>
      </c>
      <c r="I1433" t="str">
        <f t="shared" ca="1" si="272"/>
        <v>No</v>
      </c>
      <c r="J1433">
        <f t="shared" ca="1" si="273"/>
        <v>4</v>
      </c>
      <c r="K1433" t="str">
        <f t="shared" ca="1" si="274"/>
        <v>Public</v>
      </c>
      <c r="L1433" t="str">
        <f t="shared" ca="1" si="275"/>
        <v>Cardiology</v>
      </c>
    </row>
    <row r="1434" spans="1:12" x14ac:dyDescent="0.25">
      <c r="A1434">
        <f t="shared" si="264"/>
        <v>1433</v>
      </c>
      <c r="B1434">
        <f t="shared" ca="1" si="265"/>
        <v>56</v>
      </c>
      <c r="C1434" t="str">
        <f t="shared" ca="1" si="266"/>
        <v>Female</v>
      </c>
      <c r="D1434" s="1">
        <f t="shared" ca="1" si="267"/>
        <v>45422</v>
      </c>
      <c r="E1434" s="1">
        <f t="shared" ca="1" si="268"/>
        <v>45431</v>
      </c>
      <c r="F1434" t="str">
        <f t="shared" ca="1" si="269"/>
        <v>Diabetes</v>
      </c>
      <c r="G1434" t="str">
        <f t="shared" ca="1" si="270"/>
        <v>Medication</v>
      </c>
      <c r="H1434">
        <f t="shared" ca="1" si="271"/>
        <v>9</v>
      </c>
      <c r="I1434" t="str">
        <f t="shared" ca="1" si="272"/>
        <v>Yes</v>
      </c>
      <c r="J1434">
        <f t="shared" ca="1" si="273"/>
        <v>2</v>
      </c>
      <c r="K1434" t="str">
        <f t="shared" ca="1" si="274"/>
        <v>Public</v>
      </c>
      <c r="L1434" t="str">
        <f t="shared" ca="1" si="275"/>
        <v>General</v>
      </c>
    </row>
    <row r="1435" spans="1:12" x14ac:dyDescent="0.25">
      <c r="A1435">
        <f t="shared" si="264"/>
        <v>1434</v>
      </c>
      <c r="B1435">
        <f t="shared" ca="1" si="265"/>
        <v>32</v>
      </c>
      <c r="C1435" t="str">
        <f t="shared" ca="1" si="266"/>
        <v>Female</v>
      </c>
      <c r="D1435" s="1">
        <f t="shared" ca="1" si="267"/>
        <v>45449</v>
      </c>
      <c r="E1435" s="1">
        <f t="shared" ca="1" si="268"/>
        <v>45452</v>
      </c>
      <c r="F1435" t="str">
        <f t="shared" ca="1" si="269"/>
        <v>Heart Failure</v>
      </c>
      <c r="G1435" t="str">
        <f t="shared" ca="1" si="270"/>
        <v>Medication</v>
      </c>
      <c r="H1435">
        <f t="shared" ca="1" si="271"/>
        <v>3</v>
      </c>
      <c r="I1435" t="str">
        <f t="shared" ca="1" si="272"/>
        <v>Yes</v>
      </c>
      <c r="J1435">
        <f t="shared" ca="1" si="273"/>
        <v>4</v>
      </c>
      <c r="K1435" t="str">
        <f t="shared" ca="1" si="274"/>
        <v>Private</v>
      </c>
      <c r="L1435" t="str">
        <f t="shared" ca="1" si="275"/>
        <v>Cardiology</v>
      </c>
    </row>
    <row r="1436" spans="1:12" x14ac:dyDescent="0.25">
      <c r="A1436">
        <f t="shared" si="264"/>
        <v>1435</v>
      </c>
      <c r="B1436">
        <f t="shared" ca="1" si="265"/>
        <v>87</v>
      </c>
      <c r="C1436" t="str">
        <f t="shared" ca="1" si="266"/>
        <v>Female</v>
      </c>
      <c r="D1436" s="1">
        <f t="shared" ca="1" si="267"/>
        <v>45477</v>
      </c>
      <c r="E1436" s="1">
        <f t="shared" ca="1" si="268"/>
        <v>45481</v>
      </c>
      <c r="F1436" t="str">
        <f t="shared" ca="1" si="269"/>
        <v>Diabetes</v>
      </c>
      <c r="G1436" t="str">
        <f t="shared" ca="1" si="270"/>
        <v>Medication</v>
      </c>
      <c r="H1436">
        <f t="shared" ca="1" si="271"/>
        <v>4</v>
      </c>
      <c r="I1436" t="str">
        <f t="shared" ca="1" si="272"/>
        <v>Yes</v>
      </c>
      <c r="J1436">
        <f t="shared" ca="1" si="273"/>
        <v>0</v>
      </c>
      <c r="K1436" t="str">
        <f t="shared" ca="1" si="274"/>
        <v>None</v>
      </c>
      <c r="L1436" t="str">
        <f t="shared" ca="1" si="275"/>
        <v>General</v>
      </c>
    </row>
    <row r="1437" spans="1:12" x14ac:dyDescent="0.25">
      <c r="A1437">
        <f t="shared" si="264"/>
        <v>1436</v>
      </c>
      <c r="B1437">
        <f t="shared" ca="1" si="265"/>
        <v>76</v>
      </c>
      <c r="C1437" t="str">
        <f t="shared" ca="1" si="266"/>
        <v>Male</v>
      </c>
      <c r="D1437" s="1">
        <f t="shared" ca="1" si="267"/>
        <v>45369</v>
      </c>
      <c r="E1437" s="1">
        <f t="shared" ca="1" si="268"/>
        <v>45384</v>
      </c>
      <c r="F1437" t="str">
        <f t="shared" ca="1" si="269"/>
        <v>Heart Failure</v>
      </c>
      <c r="G1437" t="str">
        <f t="shared" ca="1" si="270"/>
        <v>Medication</v>
      </c>
      <c r="H1437">
        <f t="shared" ca="1" si="271"/>
        <v>15</v>
      </c>
      <c r="I1437" t="str">
        <f t="shared" ca="1" si="272"/>
        <v>No</v>
      </c>
      <c r="J1437">
        <f t="shared" ca="1" si="273"/>
        <v>3</v>
      </c>
      <c r="K1437" t="str">
        <f t="shared" ca="1" si="274"/>
        <v>Public</v>
      </c>
      <c r="L1437" t="str">
        <f t="shared" ca="1" si="275"/>
        <v>ER</v>
      </c>
    </row>
    <row r="1438" spans="1:12" x14ac:dyDescent="0.25">
      <c r="A1438">
        <f t="shared" si="264"/>
        <v>1437</v>
      </c>
      <c r="B1438">
        <f t="shared" ca="1" si="265"/>
        <v>22</v>
      </c>
      <c r="C1438" t="str">
        <f t="shared" ca="1" si="266"/>
        <v>Male</v>
      </c>
      <c r="D1438" s="1">
        <f t="shared" ca="1" si="267"/>
        <v>45630</v>
      </c>
      <c r="E1438" s="1">
        <f t="shared" ca="1" si="268"/>
        <v>45642</v>
      </c>
      <c r="F1438" t="str">
        <f t="shared" ca="1" si="269"/>
        <v>Heart Failure</v>
      </c>
      <c r="G1438" t="str">
        <f t="shared" ca="1" si="270"/>
        <v>Surgery</v>
      </c>
      <c r="H1438">
        <f t="shared" ca="1" si="271"/>
        <v>12</v>
      </c>
      <c r="I1438" t="str">
        <f t="shared" ca="1" si="272"/>
        <v>Yes</v>
      </c>
      <c r="J1438">
        <f t="shared" ca="1" si="273"/>
        <v>0</v>
      </c>
      <c r="K1438" t="str">
        <f t="shared" ca="1" si="274"/>
        <v>Public</v>
      </c>
      <c r="L1438" t="str">
        <f t="shared" ca="1" si="275"/>
        <v>General</v>
      </c>
    </row>
    <row r="1439" spans="1:12" x14ac:dyDescent="0.25">
      <c r="A1439">
        <f t="shared" si="264"/>
        <v>1438</v>
      </c>
      <c r="B1439">
        <f t="shared" ca="1" si="265"/>
        <v>87</v>
      </c>
      <c r="C1439" t="str">
        <f t="shared" ca="1" si="266"/>
        <v>Male</v>
      </c>
      <c r="D1439" s="1">
        <f t="shared" ca="1" si="267"/>
        <v>45483</v>
      </c>
      <c r="E1439" s="1">
        <f t="shared" ca="1" si="268"/>
        <v>45493</v>
      </c>
      <c r="F1439" t="str">
        <f t="shared" ca="1" si="269"/>
        <v>Heart Failure</v>
      </c>
      <c r="G1439" t="str">
        <f t="shared" ca="1" si="270"/>
        <v>Medication</v>
      </c>
      <c r="H1439">
        <f t="shared" ca="1" si="271"/>
        <v>10</v>
      </c>
      <c r="I1439" t="str">
        <f t="shared" ca="1" si="272"/>
        <v>No</v>
      </c>
      <c r="J1439">
        <f t="shared" ca="1" si="273"/>
        <v>4</v>
      </c>
      <c r="K1439" t="str">
        <f t="shared" ca="1" si="274"/>
        <v>Private</v>
      </c>
      <c r="L1439" t="str">
        <f t="shared" ca="1" si="275"/>
        <v>ICU</v>
      </c>
    </row>
    <row r="1440" spans="1:12" x14ac:dyDescent="0.25">
      <c r="A1440">
        <f t="shared" si="264"/>
        <v>1439</v>
      </c>
      <c r="B1440">
        <f t="shared" ca="1" si="265"/>
        <v>43</v>
      </c>
      <c r="C1440" t="str">
        <f t="shared" ca="1" si="266"/>
        <v>Female</v>
      </c>
      <c r="D1440" s="1">
        <f t="shared" ca="1" si="267"/>
        <v>45401</v>
      </c>
      <c r="E1440" s="1">
        <f t="shared" ca="1" si="268"/>
        <v>45412</v>
      </c>
      <c r="F1440" t="str">
        <f t="shared" ca="1" si="269"/>
        <v>Heart Failure</v>
      </c>
      <c r="G1440" t="str">
        <f t="shared" ca="1" si="270"/>
        <v>Medication</v>
      </c>
      <c r="H1440">
        <f t="shared" ca="1" si="271"/>
        <v>11</v>
      </c>
      <c r="I1440" t="str">
        <f t="shared" ca="1" si="272"/>
        <v>Yes</v>
      </c>
      <c r="J1440">
        <f t="shared" ca="1" si="273"/>
        <v>2</v>
      </c>
      <c r="K1440" t="str">
        <f t="shared" ca="1" si="274"/>
        <v>Private</v>
      </c>
      <c r="L1440" t="str">
        <f t="shared" ca="1" si="275"/>
        <v>Neurology</v>
      </c>
    </row>
    <row r="1441" spans="1:12" x14ac:dyDescent="0.25">
      <c r="A1441">
        <f t="shared" si="264"/>
        <v>1440</v>
      </c>
      <c r="B1441">
        <f t="shared" ca="1" si="265"/>
        <v>65</v>
      </c>
      <c r="C1441" t="str">
        <f t="shared" ca="1" si="266"/>
        <v>Male</v>
      </c>
      <c r="D1441" s="1">
        <f t="shared" ca="1" si="267"/>
        <v>45634</v>
      </c>
      <c r="E1441" s="1">
        <f t="shared" ca="1" si="268"/>
        <v>45649</v>
      </c>
      <c r="F1441" t="str">
        <f t="shared" ca="1" si="269"/>
        <v>Heart Failure</v>
      </c>
      <c r="G1441" t="str">
        <f t="shared" ca="1" si="270"/>
        <v>Surgery</v>
      </c>
      <c r="H1441">
        <f t="shared" ca="1" si="271"/>
        <v>15</v>
      </c>
      <c r="I1441" t="str">
        <f t="shared" ca="1" si="272"/>
        <v>Yes</v>
      </c>
      <c r="J1441">
        <f t="shared" ca="1" si="273"/>
        <v>3</v>
      </c>
      <c r="K1441" t="str">
        <f t="shared" ca="1" si="274"/>
        <v>Private</v>
      </c>
      <c r="L1441" t="str">
        <f t="shared" ca="1" si="275"/>
        <v>ICU</v>
      </c>
    </row>
    <row r="1442" spans="1:12" x14ac:dyDescent="0.25">
      <c r="A1442">
        <f t="shared" si="264"/>
        <v>1441</v>
      </c>
      <c r="B1442">
        <f t="shared" ca="1" si="265"/>
        <v>59</v>
      </c>
      <c r="C1442" t="str">
        <f t="shared" ca="1" si="266"/>
        <v>Female</v>
      </c>
      <c r="D1442" s="1">
        <f t="shared" ca="1" si="267"/>
        <v>45497</v>
      </c>
      <c r="E1442" s="1">
        <f t="shared" ca="1" si="268"/>
        <v>45511</v>
      </c>
      <c r="F1442" t="str">
        <f t="shared" ca="1" si="269"/>
        <v>Hypertension</v>
      </c>
      <c r="G1442" t="str">
        <f t="shared" ca="1" si="270"/>
        <v>Medication</v>
      </c>
      <c r="H1442">
        <f t="shared" ca="1" si="271"/>
        <v>14</v>
      </c>
      <c r="I1442" t="str">
        <f t="shared" ca="1" si="272"/>
        <v>No</v>
      </c>
      <c r="J1442">
        <f t="shared" ca="1" si="273"/>
        <v>1</v>
      </c>
      <c r="K1442" t="str">
        <f t="shared" ca="1" si="274"/>
        <v>Private</v>
      </c>
      <c r="L1442" t="str">
        <f t="shared" ca="1" si="275"/>
        <v>Neurology</v>
      </c>
    </row>
    <row r="1443" spans="1:12" x14ac:dyDescent="0.25">
      <c r="A1443">
        <f t="shared" si="264"/>
        <v>1442</v>
      </c>
      <c r="B1443">
        <f t="shared" ca="1" si="265"/>
        <v>85</v>
      </c>
      <c r="C1443" t="str">
        <f t="shared" ca="1" si="266"/>
        <v>Male</v>
      </c>
      <c r="D1443" s="1">
        <f t="shared" ca="1" si="267"/>
        <v>45610</v>
      </c>
      <c r="E1443" s="1">
        <f t="shared" ca="1" si="268"/>
        <v>45624</v>
      </c>
      <c r="F1443" t="str">
        <f t="shared" ca="1" si="269"/>
        <v>Diabetes</v>
      </c>
      <c r="G1443" t="str">
        <f t="shared" ca="1" si="270"/>
        <v>Therapy</v>
      </c>
      <c r="H1443">
        <f t="shared" ca="1" si="271"/>
        <v>14</v>
      </c>
      <c r="I1443" t="str">
        <f t="shared" ca="1" si="272"/>
        <v>Yes</v>
      </c>
      <c r="J1443">
        <f t="shared" ca="1" si="273"/>
        <v>2</v>
      </c>
      <c r="K1443" t="str">
        <f t="shared" ca="1" si="274"/>
        <v>Private</v>
      </c>
      <c r="L1443" t="str">
        <f t="shared" ca="1" si="275"/>
        <v>ER</v>
      </c>
    </row>
    <row r="1444" spans="1:12" x14ac:dyDescent="0.25">
      <c r="A1444">
        <f t="shared" si="264"/>
        <v>1443</v>
      </c>
      <c r="B1444">
        <f t="shared" ca="1" si="265"/>
        <v>25</v>
      </c>
      <c r="C1444" t="str">
        <f t="shared" ca="1" si="266"/>
        <v>Female</v>
      </c>
      <c r="D1444" s="1">
        <f t="shared" ca="1" si="267"/>
        <v>45447</v>
      </c>
      <c r="E1444" s="1">
        <f t="shared" ca="1" si="268"/>
        <v>45456</v>
      </c>
      <c r="F1444" t="str">
        <f t="shared" ca="1" si="269"/>
        <v>Heart Failure</v>
      </c>
      <c r="G1444" t="str">
        <f t="shared" ca="1" si="270"/>
        <v>Medication</v>
      </c>
      <c r="H1444">
        <f t="shared" ca="1" si="271"/>
        <v>9</v>
      </c>
      <c r="I1444" t="str">
        <f t="shared" ca="1" si="272"/>
        <v>Yes</v>
      </c>
      <c r="J1444">
        <f t="shared" ca="1" si="273"/>
        <v>0</v>
      </c>
      <c r="K1444" t="str">
        <f t="shared" ca="1" si="274"/>
        <v>Public</v>
      </c>
      <c r="L1444" t="str">
        <f t="shared" ca="1" si="275"/>
        <v>ER</v>
      </c>
    </row>
    <row r="1445" spans="1:12" x14ac:dyDescent="0.25">
      <c r="A1445">
        <f t="shared" si="264"/>
        <v>1444</v>
      </c>
      <c r="B1445">
        <f t="shared" ca="1" si="265"/>
        <v>29</v>
      </c>
      <c r="C1445" t="str">
        <f t="shared" ca="1" si="266"/>
        <v>Male</v>
      </c>
      <c r="D1445" s="1">
        <f t="shared" ca="1" si="267"/>
        <v>45624</v>
      </c>
      <c r="E1445" s="1">
        <f t="shared" ca="1" si="268"/>
        <v>45627</v>
      </c>
      <c r="F1445" t="str">
        <f t="shared" ca="1" si="269"/>
        <v>Diabetes</v>
      </c>
      <c r="G1445" t="str">
        <f t="shared" ca="1" si="270"/>
        <v>Medication</v>
      </c>
      <c r="H1445">
        <f t="shared" ca="1" si="271"/>
        <v>3</v>
      </c>
      <c r="I1445" t="str">
        <f t="shared" ca="1" si="272"/>
        <v>No</v>
      </c>
      <c r="J1445">
        <f t="shared" ca="1" si="273"/>
        <v>0</v>
      </c>
      <c r="K1445" t="str">
        <f t="shared" ca="1" si="274"/>
        <v>Private</v>
      </c>
      <c r="L1445" t="str">
        <f t="shared" ca="1" si="275"/>
        <v>ER</v>
      </c>
    </row>
    <row r="1446" spans="1:12" x14ac:dyDescent="0.25">
      <c r="A1446">
        <f t="shared" si="264"/>
        <v>1445</v>
      </c>
      <c r="B1446">
        <f t="shared" ca="1" si="265"/>
        <v>90</v>
      </c>
      <c r="C1446" t="str">
        <f t="shared" ca="1" si="266"/>
        <v>Male</v>
      </c>
      <c r="D1446" s="1">
        <f t="shared" ca="1" si="267"/>
        <v>45414</v>
      </c>
      <c r="E1446" s="1">
        <f t="shared" ca="1" si="268"/>
        <v>45429</v>
      </c>
      <c r="F1446" t="str">
        <f t="shared" ca="1" si="269"/>
        <v>Stroke</v>
      </c>
      <c r="G1446" t="str">
        <f t="shared" ca="1" si="270"/>
        <v>Therapy</v>
      </c>
      <c r="H1446">
        <f t="shared" ca="1" si="271"/>
        <v>15</v>
      </c>
      <c r="I1446" t="str">
        <f t="shared" ca="1" si="272"/>
        <v>No</v>
      </c>
      <c r="J1446">
        <f t="shared" ca="1" si="273"/>
        <v>0</v>
      </c>
      <c r="K1446" t="str">
        <f t="shared" ca="1" si="274"/>
        <v>Private</v>
      </c>
      <c r="L1446" t="str">
        <f t="shared" ca="1" si="275"/>
        <v>General</v>
      </c>
    </row>
    <row r="1447" spans="1:12" x14ac:dyDescent="0.25">
      <c r="A1447">
        <f t="shared" si="264"/>
        <v>1446</v>
      </c>
      <c r="B1447">
        <f t="shared" ca="1" si="265"/>
        <v>25</v>
      </c>
      <c r="C1447" t="str">
        <f t="shared" ca="1" si="266"/>
        <v>Male</v>
      </c>
      <c r="D1447" s="1">
        <f t="shared" ca="1" si="267"/>
        <v>45628</v>
      </c>
      <c r="E1447" s="1">
        <f t="shared" ca="1" si="268"/>
        <v>45633</v>
      </c>
      <c r="F1447" t="str">
        <f t="shared" ca="1" si="269"/>
        <v>Pneumonia</v>
      </c>
      <c r="G1447" t="str">
        <f t="shared" ca="1" si="270"/>
        <v>Medication</v>
      </c>
      <c r="H1447">
        <f t="shared" ca="1" si="271"/>
        <v>5</v>
      </c>
      <c r="I1447" t="str">
        <f t="shared" ca="1" si="272"/>
        <v>No</v>
      </c>
      <c r="J1447">
        <f t="shared" ca="1" si="273"/>
        <v>1</v>
      </c>
      <c r="K1447" t="str">
        <f t="shared" ca="1" si="274"/>
        <v>Public</v>
      </c>
      <c r="L1447" t="str">
        <f t="shared" ca="1" si="275"/>
        <v>ICU</v>
      </c>
    </row>
    <row r="1448" spans="1:12" x14ac:dyDescent="0.25">
      <c r="A1448">
        <f t="shared" si="264"/>
        <v>1447</v>
      </c>
      <c r="B1448">
        <f t="shared" ca="1" si="265"/>
        <v>80</v>
      </c>
      <c r="C1448" t="str">
        <f t="shared" ca="1" si="266"/>
        <v>Male</v>
      </c>
      <c r="D1448" s="1">
        <f t="shared" ca="1" si="267"/>
        <v>45371</v>
      </c>
      <c r="E1448" s="1">
        <f t="shared" ca="1" si="268"/>
        <v>45380</v>
      </c>
      <c r="F1448" t="str">
        <f t="shared" ca="1" si="269"/>
        <v>Diabetes</v>
      </c>
      <c r="G1448" t="str">
        <f t="shared" ca="1" si="270"/>
        <v>Medication</v>
      </c>
      <c r="H1448">
        <f t="shared" ca="1" si="271"/>
        <v>9</v>
      </c>
      <c r="I1448" t="str">
        <f t="shared" ca="1" si="272"/>
        <v>No</v>
      </c>
      <c r="J1448">
        <f t="shared" ca="1" si="273"/>
        <v>2</v>
      </c>
      <c r="K1448" t="str">
        <f t="shared" ca="1" si="274"/>
        <v>Private</v>
      </c>
      <c r="L1448" t="str">
        <f t="shared" ca="1" si="275"/>
        <v>ER</v>
      </c>
    </row>
    <row r="1449" spans="1:12" x14ac:dyDescent="0.25">
      <c r="A1449">
        <f t="shared" si="264"/>
        <v>1448</v>
      </c>
      <c r="B1449">
        <f t="shared" ca="1" si="265"/>
        <v>42</v>
      </c>
      <c r="C1449" t="str">
        <f t="shared" ca="1" si="266"/>
        <v>Female</v>
      </c>
      <c r="D1449" s="1">
        <f t="shared" ca="1" si="267"/>
        <v>45507</v>
      </c>
      <c r="E1449" s="1">
        <f t="shared" ca="1" si="268"/>
        <v>45510</v>
      </c>
      <c r="F1449" t="str">
        <f t="shared" ca="1" si="269"/>
        <v>Stroke</v>
      </c>
      <c r="G1449" t="str">
        <f t="shared" ca="1" si="270"/>
        <v>Medication</v>
      </c>
      <c r="H1449">
        <f t="shared" ca="1" si="271"/>
        <v>3</v>
      </c>
      <c r="I1449" t="str">
        <f t="shared" ca="1" si="272"/>
        <v>No</v>
      </c>
      <c r="J1449">
        <f t="shared" ca="1" si="273"/>
        <v>0</v>
      </c>
      <c r="K1449" t="str">
        <f t="shared" ca="1" si="274"/>
        <v>Private</v>
      </c>
      <c r="L1449" t="str">
        <f t="shared" ca="1" si="275"/>
        <v>ICU</v>
      </c>
    </row>
    <row r="1450" spans="1:12" x14ac:dyDescent="0.25">
      <c r="A1450">
        <f t="shared" si="264"/>
        <v>1449</v>
      </c>
      <c r="B1450">
        <f t="shared" ca="1" si="265"/>
        <v>72</v>
      </c>
      <c r="C1450" t="str">
        <f t="shared" ca="1" si="266"/>
        <v>Female</v>
      </c>
      <c r="D1450" s="1">
        <f t="shared" ca="1" si="267"/>
        <v>45550</v>
      </c>
      <c r="E1450" s="1">
        <f t="shared" ca="1" si="268"/>
        <v>45560</v>
      </c>
      <c r="F1450" t="str">
        <f t="shared" ca="1" si="269"/>
        <v>Stroke</v>
      </c>
      <c r="G1450" t="str">
        <f t="shared" ca="1" si="270"/>
        <v>Therapy</v>
      </c>
      <c r="H1450">
        <f t="shared" ca="1" si="271"/>
        <v>10</v>
      </c>
      <c r="I1450" t="str">
        <f t="shared" ca="1" si="272"/>
        <v>No</v>
      </c>
      <c r="J1450">
        <f t="shared" ca="1" si="273"/>
        <v>0</v>
      </c>
      <c r="K1450" t="str">
        <f t="shared" ca="1" si="274"/>
        <v>Public</v>
      </c>
      <c r="L1450" t="str">
        <f t="shared" ca="1" si="275"/>
        <v>ER</v>
      </c>
    </row>
    <row r="1451" spans="1:12" x14ac:dyDescent="0.25">
      <c r="A1451">
        <f t="shared" si="264"/>
        <v>1450</v>
      </c>
      <c r="B1451">
        <f t="shared" ca="1" si="265"/>
        <v>55</v>
      </c>
      <c r="C1451" t="str">
        <f t="shared" ca="1" si="266"/>
        <v>Female</v>
      </c>
      <c r="D1451" s="1">
        <f t="shared" ca="1" si="267"/>
        <v>45413</v>
      </c>
      <c r="E1451" s="1">
        <f t="shared" ca="1" si="268"/>
        <v>45416</v>
      </c>
      <c r="F1451" t="str">
        <f t="shared" ca="1" si="269"/>
        <v>Heart Failure</v>
      </c>
      <c r="G1451" t="str">
        <f t="shared" ca="1" si="270"/>
        <v>Surgery</v>
      </c>
      <c r="H1451">
        <f t="shared" ca="1" si="271"/>
        <v>3</v>
      </c>
      <c r="I1451" t="str">
        <f t="shared" ca="1" si="272"/>
        <v>Yes</v>
      </c>
      <c r="J1451">
        <f t="shared" ca="1" si="273"/>
        <v>4</v>
      </c>
      <c r="K1451" t="str">
        <f t="shared" ca="1" si="274"/>
        <v>None</v>
      </c>
      <c r="L1451" t="str">
        <f t="shared" ca="1" si="275"/>
        <v>ER</v>
      </c>
    </row>
    <row r="1452" spans="1:12" x14ac:dyDescent="0.25">
      <c r="A1452">
        <f t="shared" si="264"/>
        <v>1451</v>
      </c>
      <c r="B1452">
        <f t="shared" ca="1" si="265"/>
        <v>52</v>
      </c>
      <c r="C1452" t="str">
        <f t="shared" ca="1" si="266"/>
        <v>Male</v>
      </c>
      <c r="D1452" s="1">
        <f t="shared" ca="1" si="267"/>
        <v>45425</v>
      </c>
      <c r="E1452" s="1">
        <f t="shared" ca="1" si="268"/>
        <v>45429</v>
      </c>
      <c r="F1452" t="str">
        <f t="shared" ca="1" si="269"/>
        <v>Hypertension</v>
      </c>
      <c r="G1452" t="str">
        <f t="shared" ca="1" si="270"/>
        <v>Medication</v>
      </c>
      <c r="H1452">
        <f t="shared" ca="1" si="271"/>
        <v>4</v>
      </c>
      <c r="I1452" t="str">
        <f t="shared" ca="1" si="272"/>
        <v>Yes</v>
      </c>
      <c r="J1452">
        <f t="shared" ca="1" si="273"/>
        <v>1</v>
      </c>
      <c r="K1452" t="str">
        <f t="shared" ca="1" si="274"/>
        <v>None</v>
      </c>
      <c r="L1452" t="str">
        <f t="shared" ca="1" si="275"/>
        <v>Cardiology</v>
      </c>
    </row>
    <row r="1453" spans="1:12" x14ac:dyDescent="0.25">
      <c r="A1453">
        <f t="shared" si="264"/>
        <v>1452</v>
      </c>
      <c r="B1453">
        <f t="shared" ca="1" si="265"/>
        <v>59</v>
      </c>
      <c r="C1453" t="str">
        <f t="shared" ca="1" si="266"/>
        <v>Female</v>
      </c>
      <c r="D1453" s="1">
        <f t="shared" ca="1" si="267"/>
        <v>45536</v>
      </c>
      <c r="E1453" s="1">
        <f t="shared" ca="1" si="268"/>
        <v>45544</v>
      </c>
      <c r="F1453" t="str">
        <f t="shared" ca="1" si="269"/>
        <v>Pneumonia</v>
      </c>
      <c r="G1453" t="str">
        <f t="shared" ca="1" si="270"/>
        <v>Medication</v>
      </c>
      <c r="H1453">
        <f t="shared" ca="1" si="271"/>
        <v>8</v>
      </c>
      <c r="I1453" t="str">
        <f t="shared" ca="1" si="272"/>
        <v>No</v>
      </c>
      <c r="J1453">
        <f t="shared" ca="1" si="273"/>
        <v>4</v>
      </c>
      <c r="K1453" t="str">
        <f t="shared" ca="1" si="274"/>
        <v>Public</v>
      </c>
      <c r="L1453" t="str">
        <f t="shared" ca="1" si="275"/>
        <v>ICU</v>
      </c>
    </row>
    <row r="1454" spans="1:12" x14ac:dyDescent="0.25">
      <c r="A1454">
        <f t="shared" si="264"/>
        <v>1453</v>
      </c>
      <c r="B1454">
        <f t="shared" ca="1" si="265"/>
        <v>65</v>
      </c>
      <c r="C1454" t="str">
        <f t="shared" ca="1" si="266"/>
        <v>Male</v>
      </c>
      <c r="D1454" s="1">
        <f t="shared" ca="1" si="267"/>
        <v>45603</v>
      </c>
      <c r="E1454" s="1">
        <f t="shared" ca="1" si="268"/>
        <v>45613</v>
      </c>
      <c r="F1454" t="str">
        <f t="shared" ca="1" si="269"/>
        <v>Pneumonia</v>
      </c>
      <c r="G1454" t="str">
        <f t="shared" ca="1" si="270"/>
        <v>Therapy</v>
      </c>
      <c r="H1454">
        <f t="shared" ca="1" si="271"/>
        <v>10</v>
      </c>
      <c r="I1454" t="str">
        <f t="shared" ca="1" si="272"/>
        <v>No</v>
      </c>
      <c r="J1454">
        <f t="shared" ca="1" si="273"/>
        <v>1</v>
      </c>
      <c r="K1454" t="str">
        <f t="shared" ca="1" si="274"/>
        <v>Public</v>
      </c>
      <c r="L1454" t="str">
        <f t="shared" ca="1" si="275"/>
        <v>ICU</v>
      </c>
    </row>
    <row r="1455" spans="1:12" x14ac:dyDescent="0.25">
      <c r="A1455">
        <f t="shared" si="264"/>
        <v>1454</v>
      </c>
      <c r="B1455">
        <f t="shared" ca="1" si="265"/>
        <v>21</v>
      </c>
      <c r="C1455" t="str">
        <f t="shared" ca="1" si="266"/>
        <v>Male</v>
      </c>
      <c r="D1455" s="1">
        <f t="shared" ca="1" si="267"/>
        <v>45513</v>
      </c>
      <c r="E1455" s="1">
        <f t="shared" ca="1" si="268"/>
        <v>45520</v>
      </c>
      <c r="F1455" t="str">
        <f t="shared" ca="1" si="269"/>
        <v>Pneumonia</v>
      </c>
      <c r="G1455" t="str">
        <f t="shared" ca="1" si="270"/>
        <v>Therapy</v>
      </c>
      <c r="H1455">
        <f t="shared" ca="1" si="271"/>
        <v>7</v>
      </c>
      <c r="I1455" t="str">
        <f t="shared" ca="1" si="272"/>
        <v>No</v>
      </c>
      <c r="J1455">
        <f t="shared" ca="1" si="273"/>
        <v>2</v>
      </c>
      <c r="K1455" t="str">
        <f t="shared" ca="1" si="274"/>
        <v>Public</v>
      </c>
      <c r="L1455" t="str">
        <f t="shared" ca="1" si="275"/>
        <v>Cardiology</v>
      </c>
    </row>
    <row r="1456" spans="1:12" x14ac:dyDescent="0.25">
      <c r="A1456">
        <f t="shared" si="264"/>
        <v>1455</v>
      </c>
      <c r="B1456">
        <f t="shared" ca="1" si="265"/>
        <v>25</v>
      </c>
      <c r="C1456" t="str">
        <f t="shared" ca="1" si="266"/>
        <v>Male</v>
      </c>
      <c r="D1456" s="1">
        <f t="shared" ca="1" si="267"/>
        <v>45323</v>
      </c>
      <c r="E1456" s="1">
        <f t="shared" ca="1" si="268"/>
        <v>45324</v>
      </c>
      <c r="F1456" t="str">
        <f t="shared" ca="1" si="269"/>
        <v>Diabetes</v>
      </c>
      <c r="G1456" t="str">
        <f t="shared" ca="1" si="270"/>
        <v>Therapy</v>
      </c>
      <c r="H1456">
        <f t="shared" ca="1" si="271"/>
        <v>1</v>
      </c>
      <c r="I1456" t="str">
        <f t="shared" ca="1" si="272"/>
        <v>Yes</v>
      </c>
      <c r="J1456">
        <f t="shared" ca="1" si="273"/>
        <v>3</v>
      </c>
      <c r="K1456" t="str">
        <f t="shared" ca="1" si="274"/>
        <v>Public</v>
      </c>
      <c r="L1456" t="str">
        <f t="shared" ca="1" si="275"/>
        <v>Neurology</v>
      </c>
    </row>
    <row r="1457" spans="1:12" x14ac:dyDescent="0.25">
      <c r="A1457">
        <f t="shared" si="264"/>
        <v>1456</v>
      </c>
      <c r="B1457">
        <f t="shared" ca="1" si="265"/>
        <v>84</v>
      </c>
      <c r="C1457" t="str">
        <f t="shared" ca="1" si="266"/>
        <v>Female</v>
      </c>
      <c r="D1457" s="1">
        <f t="shared" ca="1" si="267"/>
        <v>45366</v>
      </c>
      <c r="E1457" s="1">
        <f t="shared" ca="1" si="268"/>
        <v>45372</v>
      </c>
      <c r="F1457" t="str">
        <f t="shared" ca="1" si="269"/>
        <v>Diabetes</v>
      </c>
      <c r="G1457" t="str">
        <f t="shared" ca="1" si="270"/>
        <v>Medication</v>
      </c>
      <c r="H1457">
        <f t="shared" ca="1" si="271"/>
        <v>6</v>
      </c>
      <c r="I1457" t="str">
        <f t="shared" ca="1" si="272"/>
        <v>No</v>
      </c>
      <c r="J1457">
        <f t="shared" ca="1" si="273"/>
        <v>3</v>
      </c>
      <c r="K1457" t="str">
        <f t="shared" ca="1" si="274"/>
        <v>Public</v>
      </c>
      <c r="L1457" t="str">
        <f t="shared" ca="1" si="275"/>
        <v>ICU</v>
      </c>
    </row>
    <row r="1458" spans="1:12" x14ac:dyDescent="0.25">
      <c r="A1458">
        <f t="shared" si="264"/>
        <v>1457</v>
      </c>
      <c r="B1458">
        <f t="shared" ca="1" si="265"/>
        <v>41</v>
      </c>
      <c r="C1458" t="str">
        <f t="shared" ca="1" si="266"/>
        <v>Male</v>
      </c>
      <c r="D1458" s="1">
        <f t="shared" ca="1" si="267"/>
        <v>45349</v>
      </c>
      <c r="E1458" s="1">
        <f t="shared" ca="1" si="268"/>
        <v>45355</v>
      </c>
      <c r="F1458" t="str">
        <f t="shared" ca="1" si="269"/>
        <v>Heart Failure</v>
      </c>
      <c r="G1458" t="str">
        <f t="shared" ca="1" si="270"/>
        <v>Medication</v>
      </c>
      <c r="H1458">
        <f t="shared" ca="1" si="271"/>
        <v>6</v>
      </c>
      <c r="I1458" t="str">
        <f t="shared" ca="1" si="272"/>
        <v>No</v>
      </c>
      <c r="J1458">
        <f t="shared" ca="1" si="273"/>
        <v>1</v>
      </c>
      <c r="K1458" t="str">
        <f t="shared" ca="1" si="274"/>
        <v>Public</v>
      </c>
      <c r="L1458" t="str">
        <f t="shared" ca="1" si="275"/>
        <v>Neurology</v>
      </c>
    </row>
    <row r="1459" spans="1:12" x14ac:dyDescent="0.25">
      <c r="A1459">
        <f t="shared" si="264"/>
        <v>1458</v>
      </c>
      <c r="B1459">
        <f t="shared" ca="1" si="265"/>
        <v>82</v>
      </c>
      <c r="C1459" t="str">
        <f t="shared" ca="1" si="266"/>
        <v>Male</v>
      </c>
      <c r="D1459" s="1">
        <f t="shared" ca="1" si="267"/>
        <v>45381</v>
      </c>
      <c r="E1459" s="1">
        <f t="shared" ca="1" si="268"/>
        <v>45390</v>
      </c>
      <c r="F1459" t="str">
        <f t="shared" ca="1" si="269"/>
        <v>Pneumonia</v>
      </c>
      <c r="G1459" t="str">
        <f t="shared" ca="1" si="270"/>
        <v>Therapy</v>
      </c>
      <c r="H1459">
        <f t="shared" ca="1" si="271"/>
        <v>9</v>
      </c>
      <c r="I1459" t="str">
        <f t="shared" ca="1" si="272"/>
        <v>No</v>
      </c>
      <c r="J1459">
        <f t="shared" ca="1" si="273"/>
        <v>0</v>
      </c>
      <c r="K1459" t="str">
        <f t="shared" ca="1" si="274"/>
        <v>None</v>
      </c>
      <c r="L1459" t="str">
        <f t="shared" ca="1" si="275"/>
        <v>Neurology</v>
      </c>
    </row>
    <row r="1460" spans="1:12" x14ac:dyDescent="0.25">
      <c r="A1460">
        <f t="shared" si="264"/>
        <v>1459</v>
      </c>
      <c r="B1460">
        <f t="shared" ca="1" si="265"/>
        <v>74</v>
      </c>
      <c r="C1460" t="str">
        <f t="shared" ca="1" si="266"/>
        <v>Male</v>
      </c>
      <c r="D1460" s="1">
        <f t="shared" ca="1" si="267"/>
        <v>45528</v>
      </c>
      <c r="E1460" s="1">
        <f t="shared" ca="1" si="268"/>
        <v>45537</v>
      </c>
      <c r="F1460" t="str">
        <f t="shared" ca="1" si="269"/>
        <v>Heart Failure</v>
      </c>
      <c r="G1460" t="str">
        <f t="shared" ca="1" si="270"/>
        <v>Surgery</v>
      </c>
      <c r="H1460">
        <f t="shared" ca="1" si="271"/>
        <v>9</v>
      </c>
      <c r="I1460" t="str">
        <f t="shared" ca="1" si="272"/>
        <v>No</v>
      </c>
      <c r="J1460">
        <f t="shared" ca="1" si="273"/>
        <v>2</v>
      </c>
      <c r="K1460" t="str">
        <f t="shared" ca="1" si="274"/>
        <v>Public</v>
      </c>
      <c r="L1460" t="str">
        <f t="shared" ca="1" si="275"/>
        <v>ICU</v>
      </c>
    </row>
    <row r="1461" spans="1:12" x14ac:dyDescent="0.25">
      <c r="A1461">
        <f t="shared" si="264"/>
        <v>1460</v>
      </c>
      <c r="B1461">
        <f t="shared" ca="1" si="265"/>
        <v>66</v>
      </c>
      <c r="C1461" t="str">
        <f t="shared" ca="1" si="266"/>
        <v>Female</v>
      </c>
      <c r="D1461" s="1">
        <f t="shared" ca="1" si="267"/>
        <v>45409</v>
      </c>
      <c r="E1461" s="1">
        <f t="shared" ca="1" si="268"/>
        <v>45415</v>
      </c>
      <c r="F1461" t="str">
        <f t="shared" ca="1" si="269"/>
        <v>Hypertension</v>
      </c>
      <c r="G1461" t="str">
        <f t="shared" ca="1" si="270"/>
        <v>Surgery</v>
      </c>
      <c r="H1461">
        <f t="shared" ca="1" si="271"/>
        <v>6</v>
      </c>
      <c r="I1461" t="str">
        <f t="shared" ca="1" si="272"/>
        <v>Yes</v>
      </c>
      <c r="J1461">
        <f t="shared" ca="1" si="273"/>
        <v>3</v>
      </c>
      <c r="K1461" t="str">
        <f t="shared" ca="1" si="274"/>
        <v>None</v>
      </c>
      <c r="L1461" t="str">
        <f t="shared" ca="1" si="275"/>
        <v>ER</v>
      </c>
    </row>
    <row r="1462" spans="1:12" x14ac:dyDescent="0.25">
      <c r="A1462">
        <f t="shared" si="264"/>
        <v>1461</v>
      </c>
      <c r="B1462">
        <f t="shared" ca="1" si="265"/>
        <v>54</v>
      </c>
      <c r="C1462" t="str">
        <f t="shared" ca="1" si="266"/>
        <v>Female</v>
      </c>
      <c r="D1462" s="1">
        <f t="shared" ca="1" si="267"/>
        <v>45352</v>
      </c>
      <c r="E1462" s="1">
        <f t="shared" ca="1" si="268"/>
        <v>45365</v>
      </c>
      <c r="F1462" t="str">
        <f t="shared" ca="1" si="269"/>
        <v>Hypertension</v>
      </c>
      <c r="G1462" t="str">
        <f t="shared" ca="1" si="270"/>
        <v>Therapy</v>
      </c>
      <c r="H1462">
        <f t="shared" ca="1" si="271"/>
        <v>13</v>
      </c>
      <c r="I1462" t="str">
        <f t="shared" ca="1" si="272"/>
        <v>No</v>
      </c>
      <c r="J1462">
        <f t="shared" ca="1" si="273"/>
        <v>0</v>
      </c>
      <c r="K1462" t="str">
        <f t="shared" ca="1" si="274"/>
        <v>None</v>
      </c>
      <c r="L1462" t="str">
        <f t="shared" ca="1" si="275"/>
        <v>General</v>
      </c>
    </row>
    <row r="1463" spans="1:12" x14ac:dyDescent="0.25">
      <c r="A1463">
        <f t="shared" si="264"/>
        <v>1462</v>
      </c>
      <c r="B1463">
        <f t="shared" ca="1" si="265"/>
        <v>35</v>
      </c>
      <c r="C1463" t="str">
        <f t="shared" ca="1" si="266"/>
        <v>Male</v>
      </c>
      <c r="D1463" s="1">
        <f t="shared" ca="1" si="267"/>
        <v>45610</v>
      </c>
      <c r="E1463" s="1">
        <f t="shared" ca="1" si="268"/>
        <v>45625</v>
      </c>
      <c r="F1463" t="str">
        <f t="shared" ca="1" si="269"/>
        <v>Hypertension</v>
      </c>
      <c r="G1463" t="str">
        <f t="shared" ca="1" si="270"/>
        <v>Therapy</v>
      </c>
      <c r="H1463">
        <f t="shared" ca="1" si="271"/>
        <v>15</v>
      </c>
      <c r="I1463" t="str">
        <f t="shared" ca="1" si="272"/>
        <v>No</v>
      </c>
      <c r="J1463">
        <f t="shared" ca="1" si="273"/>
        <v>4</v>
      </c>
      <c r="K1463" t="str">
        <f t="shared" ca="1" si="274"/>
        <v>None</v>
      </c>
      <c r="L1463" t="str">
        <f t="shared" ca="1" si="275"/>
        <v>Neurology</v>
      </c>
    </row>
    <row r="1464" spans="1:12" x14ac:dyDescent="0.25">
      <c r="A1464">
        <f t="shared" si="264"/>
        <v>1463</v>
      </c>
      <c r="B1464">
        <f t="shared" ca="1" si="265"/>
        <v>83</v>
      </c>
      <c r="C1464" t="str">
        <f t="shared" ca="1" si="266"/>
        <v>Male</v>
      </c>
      <c r="D1464" s="1">
        <f t="shared" ca="1" si="267"/>
        <v>45616</v>
      </c>
      <c r="E1464" s="1">
        <f t="shared" ca="1" si="268"/>
        <v>45629</v>
      </c>
      <c r="F1464" t="str">
        <f t="shared" ca="1" si="269"/>
        <v>Heart Failure</v>
      </c>
      <c r="G1464" t="str">
        <f t="shared" ca="1" si="270"/>
        <v>Medication</v>
      </c>
      <c r="H1464">
        <f t="shared" ca="1" si="271"/>
        <v>13</v>
      </c>
      <c r="I1464" t="str">
        <f t="shared" ca="1" si="272"/>
        <v>No</v>
      </c>
      <c r="J1464">
        <f t="shared" ca="1" si="273"/>
        <v>4</v>
      </c>
      <c r="K1464" t="str">
        <f t="shared" ca="1" si="274"/>
        <v>Private</v>
      </c>
      <c r="L1464" t="str">
        <f t="shared" ca="1" si="275"/>
        <v>General</v>
      </c>
    </row>
    <row r="1465" spans="1:12" x14ac:dyDescent="0.25">
      <c r="A1465">
        <f t="shared" si="264"/>
        <v>1464</v>
      </c>
      <c r="B1465">
        <f t="shared" ca="1" si="265"/>
        <v>68</v>
      </c>
      <c r="C1465" t="str">
        <f t="shared" ca="1" si="266"/>
        <v>Male</v>
      </c>
      <c r="D1465" s="1">
        <f t="shared" ca="1" si="267"/>
        <v>45420</v>
      </c>
      <c r="E1465" s="1">
        <f t="shared" ca="1" si="268"/>
        <v>45427</v>
      </c>
      <c r="F1465" t="str">
        <f t="shared" ca="1" si="269"/>
        <v>Heart Failure</v>
      </c>
      <c r="G1465" t="str">
        <f t="shared" ca="1" si="270"/>
        <v>Medication</v>
      </c>
      <c r="H1465">
        <f t="shared" ca="1" si="271"/>
        <v>7</v>
      </c>
      <c r="I1465" t="str">
        <f t="shared" ca="1" si="272"/>
        <v>No</v>
      </c>
      <c r="J1465">
        <f t="shared" ca="1" si="273"/>
        <v>3</v>
      </c>
      <c r="K1465" t="str">
        <f t="shared" ca="1" si="274"/>
        <v>None</v>
      </c>
      <c r="L1465" t="str">
        <f t="shared" ca="1" si="275"/>
        <v>General</v>
      </c>
    </row>
    <row r="1466" spans="1:12" x14ac:dyDescent="0.25">
      <c r="A1466">
        <f t="shared" si="264"/>
        <v>1465</v>
      </c>
      <c r="B1466">
        <f t="shared" ca="1" si="265"/>
        <v>52</v>
      </c>
      <c r="C1466" t="str">
        <f t="shared" ca="1" si="266"/>
        <v>Female</v>
      </c>
      <c r="D1466" s="1">
        <f t="shared" ca="1" si="267"/>
        <v>45637</v>
      </c>
      <c r="E1466" s="1">
        <f t="shared" ca="1" si="268"/>
        <v>45642</v>
      </c>
      <c r="F1466" t="str">
        <f t="shared" ca="1" si="269"/>
        <v>Hypertension</v>
      </c>
      <c r="G1466" t="str">
        <f t="shared" ca="1" si="270"/>
        <v>Medication</v>
      </c>
      <c r="H1466">
        <f t="shared" ca="1" si="271"/>
        <v>5</v>
      </c>
      <c r="I1466" t="str">
        <f t="shared" ca="1" si="272"/>
        <v>No</v>
      </c>
      <c r="J1466">
        <f t="shared" ca="1" si="273"/>
        <v>3</v>
      </c>
      <c r="K1466" t="str">
        <f t="shared" ca="1" si="274"/>
        <v>Private</v>
      </c>
      <c r="L1466" t="str">
        <f t="shared" ca="1" si="275"/>
        <v>ER</v>
      </c>
    </row>
    <row r="1467" spans="1:12" x14ac:dyDescent="0.25">
      <c r="A1467">
        <f t="shared" si="264"/>
        <v>1466</v>
      </c>
      <c r="B1467">
        <f t="shared" ca="1" si="265"/>
        <v>20</v>
      </c>
      <c r="C1467" t="str">
        <f t="shared" ca="1" si="266"/>
        <v>Male</v>
      </c>
      <c r="D1467" s="1">
        <f t="shared" ca="1" si="267"/>
        <v>45483</v>
      </c>
      <c r="E1467" s="1">
        <f t="shared" ca="1" si="268"/>
        <v>45498</v>
      </c>
      <c r="F1467" t="str">
        <f t="shared" ca="1" si="269"/>
        <v>Heart Failure</v>
      </c>
      <c r="G1467" t="str">
        <f t="shared" ca="1" si="270"/>
        <v>Therapy</v>
      </c>
      <c r="H1467">
        <f t="shared" ca="1" si="271"/>
        <v>15</v>
      </c>
      <c r="I1467" t="str">
        <f t="shared" ca="1" si="272"/>
        <v>No</v>
      </c>
      <c r="J1467">
        <f t="shared" ca="1" si="273"/>
        <v>3</v>
      </c>
      <c r="K1467" t="str">
        <f t="shared" ca="1" si="274"/>
        <v>Private</v>
      </c>
      <c r="L1467" t="str">
        <f t="shared" ca="1" si="275"/>
        <v>Cardiology</v>
      </c>
    </row>
    <row r="1468" spans="1:12" x14ac:dyDescent="0.25">
      <c r="A1468">
        <f t="shared" si="264"/>
        <v>1467</v>
      </c>
      <c r="B1468">
        <f t="shared" ca="1" si="265"/>
        <v>61</v>
      </c>
      <c r="C1468" t="str">
        <f t="shared" ca="1" si="266"/>
        <v>Male</v>
      </c>
      <c r="D1468" s="1">
        <f t="shared" ca="1" si="267"/>
        <v>45409</v>
      </c>
      <c r="E1468" s="1">
        <f t="shared" ca="1" si="268"/>
        <v>45420</v>
      </c>
      <c r="F1468" t="str">
        <f t="shared" ca="1" si="269"/>
        <v>Heart Failure</v>
      </c>
      <c r="G1468" t="str">
        <f t="shared" ca="1" si="270"/>
        <v>Surgery</v>
      </c>
      <c r="H1468">
        <f t="shared" ca="1" si="271"/>
        <v>11</v>
      </c>
      <c r="I1468" t="str">
        <f t="shared" ca="1" si="272"/>
        <v>No</v>
      </c>
      <c r="J1468">
        <f t="shared" ca="1" si="273"/>
        <v>4</v>
      </c>
      <c r="K1468" t="str">
        <f t="shared" ca="1" si="274"/>
        <v>Private</v>
      </c>
      <c r="L1468" t="str">
        <f t="shared" ca="1" si="275"/>
        <v>Cardiology</v>
      </c>
    </row>
    <row r="1469" spans="1:12" x14ac:dyDescent="0.25">
      <c r="A1469">
        <f t="shared" si="264"/>
        <v>1468</v>
      </c>
      <c r="B1469">
        <f t="shared" ca="1" si="265"/>
        <v>75</v>
      </c>
      <c r="C1469" t="str">
        <f t="shared" ca="1" si="266"/>
        <v>Female</v>
      </c>
      <c r="D1469" s="1">
        <f t="shared" ca="1" si="267"/>
        <v>45604</v>
      </c>
      <c r="E1469" s="1">
        <f t="shared" ca="1" si="268"/>
        <v>45617</v>
      </c>
      <c r="F1469" t="str">
        <f t="shared" ca="1" si="269"/>
        <v>Diabetes</v>
      </c>
      <c r="G1469" t="str">
        <f t="shared" ca="1" si="270"/>
        <v>Medication</v>
      </c>
      <c r="H1469">
        <f t="shared" ca="1" si="271"/>
        <v>13</v>
      </c>
      <c r="I1469" t="str">
        <f t="shared" ca="1" si="272"/>
        <v>No</v>
      </c>
      <c r="J1469">
        <f t="shared" ca="1" si="273"/>
        <v>4</v>
      </c>
      <c r="K1469" t="str">
        <f t="shared" ca="1" si="274"/>
        <v>None</v>
      </c>
      <c r="L1469" t="str">
        <f t="shared" ca="1" si="275"/>
        <v>Cardiology</v>
      </c>
    </row>
    <row r="1470" spans="1:12" x14ac:dyDescent="0.25">
      <c r="A1470">
        <f t="shared" si="264"/>
        <v>1469</v>
      </c>
      <c r="B1470">
        <f t="shared" ca="1" si="265"/>
        <v>54</v>
      </c>
      <c r="C1470" t="str">
        <f t="shared" ca="1" si="266"/>
        <v>Male</v>
      </c>
      <c r="D1470" s="1">
        <f t="shared" ca="1" si="267"/>
        <v>45449</v>
      </c>
      <c r="E1470" s="1">
        <f t="shared" ca="1" si="268"/>
        <v>45457</v>
      </c>
      <c r="F1470" t="str">
        <f t="shared" ca="1" si="269"/>
        <v>Diabetes</v>
      </c>
      <c r="G1470" t="str">
        <f t="shared" ca="1" si="270"/>
        <v>Surgery</v>
      </c>
      <c r="H1470">
        <f t="shared" ca="1" si="271"/>
        <v>8</v>
      </c>
      <c r="I1470" t="str">
        <f t="shared" ca="1" si="272"/>
        <v>Yes</v>
      </c>
      <c r="J1470">
        <f t="shared" ca="1" si="273"/>
        <v>1</v>
      </c>
      <c r="K1470" t="str">
        <f t="shared" ca="1" si="274"/>
        <v>None</v>
      </c>
      <c r="L1470" t="str">
        <f t="shared" ca="1" si="275"/>
        <v>Neurology</v>
      </c>
    </row>
    <row r="1471" spans="1:12" x14ac:dyDescent="0.25">
      <c r="A1471">
        <f t="shared" si="264"/>
        <v>1470</v>
      </c>
      <c r="B1471">
        <f t="shared" ca="1" si="265"/>
        <v>66</v>
      </c>
      <c r="C1471" t="str">
        <f t="shared" ca="1" si="266"/>
        <v>Male</v>
      </c>
      <c r="D1471" s="1">
        <f t="shared" ca="1" si="267"/>
        <v>45323</v>
      </c>
      <c r="E1471" s="1">
        <f t="shared" ca="1" si="268"/>
        <v>45327</v>
      </c>
      <c r="F1471" t="str">
        <f t="shared" ca="1" si="269"/>
        <v>Hypertension</v>
      </c>
      <c r="G1471" t="str">
        <f t="shared" ca="1" si="270"/>
        <v>Medication</v>
      </c>
      <c r="H1471">
        <f t="shared" ca="1" si="271"/>
        <v>4</v>
      </c>
      <c r="I1471" t="str">
        <f t="shared" ca="1" si="272"/>
        <v>No</v>
      </c>
      <c r="J1471">
        <f t="shared" ca="1" si="273"/>
        <v>2</v>
      </c>
      <c r="K1471" t="str">
        <f t="shared" ca="1" si="274"/>
        <v>Private</v>
      </c>
      <c r="L1471" t="str">
        <f t="shared" ca="1" si="275"/>
        <v>ER</v>
      </c>
    </row>
    <row r="1472" spans="1:12" x14ac:dyDescent="0.25">
      <c r="A1472">
        <f t="shared" si="264"/>
        <v>1471</v>
      </c>
      <c r="B1472">
        <f t="shared" ca="1" si="265"/>
        <v>41</v>
      </c>
      <c r="C1472" t="str">
        <f t="shared" ca="1" si="266"/>
        <v>Female</v>
      </c>
      <c r="D1472" s="1">
        <f t="shared" ca="1" si="267"/>
        <v>45655</v>
      </c>
      <c r="E1472" s="1">
        <f t="shared" ca="1" si="268"/>
        <v>45664</v>
      </c>
      <c r="F1472" t="str">
        <f t="shared" ca="1" si="269"/>
        <v>Stroke</v>
      </c>
      <c r="G1472" t="str">
        <f t="shared" ca="1" si="270"/>
        <v>Therapy</v>
      </c>
      <c r="H1472">
        <f t="shared" ca="1" si="271"/>
        <v>9</v>
      </c>
      <c r="I1472" t="str">
        <f t="shared" ca="1" si="272"/>
        <v>Yes</v>
      </c>
      <c r="J1472">
        <f t="shared" ca="1" si="273"/>
        <v>1</v>
      </c>
      <c r="K1472" t="str">
        <f t="shared" ca="1" si="274"/>
        <v>Private</v>
      </c>
      <c r="L1472" t="str">
        <f t="shared" ca="1" si="275"/>
        <v>ICU</v>
      </c>
    </row>
    <row r="1473" spans="1:12" x14ac:dyDescent="0.25">
      <c r="A1473">
        <f t="shared" si="264"/>
        <v>1472</v>
      </c>
      <c r="B1473">
        <f t="shared" ca="1" si="265"/>
        <v>51</v>
      </c>
      <c r="C1473" t="str">
        <f t="shared" ca="1" si="266"/>
        <v>Female</v>
      </c>
      <c r="D1473" s="1">
        <f t="shared" ca="1" si="267"/>
        <v>45405</v>
      </c>
      <c r="E1473" s="1">
        <f t="shared" ca="1" si="268"/>
        <v>45409</v>
      </c>
      <c r="F1473" t="str">
        <f t="shared" ca="1" si="269"/>
        <v>Diabetes</v>
      </c>
      <c r="G1473" t="str">
        <f t="shared" ca="1" si="270"/>
        <v>Surgery</v>
      </c>
      <c r="H1473">
        <f t="shared" ca="1" si="271"/>
        <v>4</v>
      </c>
      <c r="I1473" t="str">
        <f t="shared" ca="1" si="272"/>
        <v>No</v>
      </c>
      <c r="J1473">
        <f t="shared" ca="1" si="273"/>
        <v>0</v>
      </c>
      <c r="K1473" t="str">
        <f t="shared" ca="1" si="274"/>
        <v>Private</v>
      </c>
      <c r="L1473" t="str">
        <f t="shared" ca="1" si="275"/>
        <v>Cardiology</v>
      </c>
    </row>
    <row r="1474" spans="1:12" x14ac:dyDescent="0.25">
      <c r="A1474">
        <f t="shared" si="264"/>
        <v>1473</v>
      </c>
      <c r="B1474">
        <f t="shared" ca="1" si="265"/>
        <v>25</v>
      </c>
      <c r="C1474" t="str">
        <f t="shared" ca="1" si="266"/>
        <v>Male</v>
      </c>
      <c r="D1474" s="1">
        <f t="shared" ca="1" si="267"/>
        <v>45549</v>
      </c>
      <c r="E1474" s="1">
        <f t="shared" ca="1" si="268"/>
        <v>45562</v>
      </c>
      <c r="F1474" t="str">
        <f t="shared" ca="1" si="269"/>
        <v>Heart Failure</v>
      </c>
      <c r="G1474" t="str">
        <f t="shared" ca="1" si="270"/>
        <v>Surgery</v>
      </c>
      <c r="H1474">
        <f t="shared" ca="1" si="271"/>
        <v>13</v>
      </c>
      <c r="I1474" t="str">
        <f t="shared" ca="1" si="272"/>
        <v>No</v>
      </c>
      <c r="J1474">
        <f t="shared" ca="1" si="273"/>
        <v>3</v>
      </c>
      <c r="K1474" t="str">
        <f t="shared" ca="1" si="274"/>
        <v>None</v>
      </c>
      <c r="L1474" t="str">
        <f t="shared" ca="1" si="275"/>
        <v>ER</v>
      </c>
    </row>
    <row r="1475" spans="1:12" x14ac:dyDescent="0.25">
      <c r="A1475">
        <f t="shared" ref="A1475:A1538" si="276">ROW() -1</f>
        <v>1474</v>
      </c>
      <c r="B1475">
        <f t="shared" ref="B1475:B1538" ca="1" si="277">RANDBETWEEN(20,90)</f>
        <v>43</v>
      </c>
      <c r="C1475" t="str">
        <f t="shared" ref="C1475:C1538" ca="1" si="278">IF(RAND()&lt;0.5,"Male","Female")</f>
        <v>Male</v>
      </c>
      <c r="D1475" s="1">
        <f t="shared" ref="D1475:D1538" ca="1" si="279">DATE(2024,1,1)+RANDBETWEEN(0,364)</f>
        <v>45502</v>
      </c>
      <c r="E1475" s="1">
        <f t="shared" ref="E1475:E1538" ca="1" si="280">D1475+RANDBETWEEN(1,15)</f>
        <v>45510</v>
      </c>
      <c r="F1475" t="str">
        <f t="shared" ref="F1475:F1538" ca="1" si="281">CHOOSE(RANDBETWEEN(1,5),"Diabetes","Heart Failure","Pneumonia","Stroke","Hypertension")</f>
        <v>Diabetes</v>
      </c>
      <c r="G1475" t="str">
        <f t="shared" ref="G1475:G1538" ca="1" si="282">CHOOSE(RANDBETWEEN(1,3),"Medication","Surgery","Therapy")</f>
        <v>Therapy</v>
      </c>
      <c r="H1475">
        <f t="shared" ref="H1475:H1538" ca="1" si="283">DATEDIF(D1475,E1475,"D")</f>
        <v>8</v>
      </c>
      <c r="I1475" t="str">
        <f t="shared" ref="I1475:I1538" ca="1" si="284">IF(RAND()&lt;0.3,"Yes","No")</f>
        <v>Yes</v>
      </c>
      <c r="J1475">
        <f t="shared" ref="J1475:J1538" ca="1" si="285">RANDBETWEEN(0,4)</f>
        <v>1</v>
      </c>
      <c r="K1475" t="str">
        <f t="shared" ref="K1475:K1538" ca="1" si="286">CHOOSE(RANDBETWEEN(1,3),"Private","Public","None")</f>
        <v>Private</v>
      </c>
      <c r="L1475" t="str">
        <f t="shared" ref="L1475:L1538" ca="1" si="287">CHOOSE(RANDBETWEEN(1,5),"ER","Cardiology","Neurology","General","ICU")</f>
        <v>Cardiology</v>
      </c>
    </row>
    <row r="1476" spans="1:12" x14ac:dyDescent="0.25">
      <c r="A1476">
        <f t="shared" si="276"/>
        <v>1475</v>
      </c>
      <c r="B1476">
        <f t="shared" ca="1" si="277"/>
        <v>29</v>
      </c>
      <c r="C1476" t="str">
        <f t="shared" ca="1" si="278"/>
        <v>Male</v>
      </c>
      <c r="D1476" s="1">
        <f t="shared" ca="1" si="279"/>
        <v>45474</v>
      </c>
      <c r="E1476" s="1">
        <f t="shared" ca="1" si="280"/>
        <v>45484</v>
      </c>
      <c r="F1476" t="str">
        <f t="shared" ca="1" si="281"/>
        <v>Pneumonia</v>
      </c>
      <c r="G1476" t="str">
        <f t="shared" ca="1" si="282"/>
        <v>Medication</v>
      </c>
      <c r="H1476">
        <f t="shared" ca="1" si="283"/>
        <v>10</v>
      </c>
      <c r="I1476" t="str">
        <f t="shared" ca="1" si="284"/>
        <v>No</v>
      </c>
      <c r="J1476">
        <f t="shared" ca="1" si="285"/>
        <v>4</v>
      </c>
      <c r="K1476" t="str">
        <f t="shared" ca="1" si="286"/>
        <v>None</v>
      </c>
      <c r="L1476" t="str">
        <f t="shared" ca="1" si="287"/>
        <v>ICU</v>
      </c>
    </row>
    <row r="1477" spans="1:12" x14ac:dyDescent="0.25">
      <c r="A1477">
        <f t="shared" si="276"/>
        <v>1476</v>
      </c>
      <c r="B1477">
        <f t="shared" ca="1" si="277"/>
        <v>34</v>
      </c>
      <c r="C1477" t="str">
        <f t="shared" ca="1" si="278"/>
        <v>Female</v>
      </c>
      <c r="D1477" s="1">
        <f t="shared" ca="1" si="279"/>
        <v>45300</v>
      </c>
      <c r="E1477" s="1">
        <f t="shared" ca="1" si="280"/>
        <v>45305</v>
      </c>
      <c r="F1477" t="str">
        <f t="shared" ca="1" si="281"/>
        <v>Stroke</v>
      </c>
      <c r="G1477" t="str">
        <f t="shared" ca="1" si="282"/>
        <v>Therapy</v>
      </c>
      <c r="H1477">
        <f t="shared" ca="1" si="283"/>
        <v>5</v>
      </c>
      <c r="I1477" t="str">
        <f t="shared" ca="1" si="284"/>
        <v>Yes</v>
      </c>
      <c r="J1477">
        <f t="shared" ca="1" si="285"/>
        <v>4</v>
      </c>
      <c r="K1477" t="str">
        <f t="shared" ca="1" si="286"/>
        <v>None</v>
      </c>
      <c r="L1477" t="str">
        <f t="shared" ca="1" si="287"/>
        <v>ER</v>
      </c>
    </row>
    <row r="1478" spans="1:12" x14ac:dyDescent="0.25">
      <c r="A1478">
        <f t="shared" si="276"/>
        <v>1477</v>
      </c>
      <c r="B1478">
        <f t="shared" ca="1" si="277"/>
        <v>83</v>
      </c>
      <c r="C1478" t="str">
        <f t="shared" ca="1" si="278"/>
        <v>Male</v>
      </c>
      <c r="D1478" s="1">
        <f t="shared" ca="1" si="279"/>
        <v>45610</v>
      </c>
      <c r="E1478" s="1">
        <f t="shared" ca="1" si="280"/>
        <v>45623</v>
      </c>
      <c r="F1478" t="str">
        <f t="shared" ca="1" si="281"/>
        <v>Pneumonia</v>
      </c>
      <c r="G1478" t="str">
        <f t="shared" ca="1" si="282"/>
        <v>Therapy</v>
      </c>
      <c r="H1478">
        <f t="shared" ca="1" si="283"/>
        <v>13</v>
      </c>
      <c r="I1478" t="str">
        <f t="shared" ca="1" si="284"/>
        <v>No</v>
      </c>
      <c r="J1478">
        <f t="shared" ca="1" si="285"/>
        <v>1</v>
      </c>
      <c r="K1478" t="str">
        <f t="shared" ca="1" si="286"/>
        <v>None</v>
      </c>
      <c r="L1478" t="str">
        <f t="shared" ca="1" si="287"/>
        <v>Cardiology</v>
      </c>
    </row>
    <row r="1479" spans="1:12" x14ac:dyDescent="0.25">
      <c r="A1479">
        <f t="shared" si="276"/>
        <v>1478</v>
      </c>
      <c r="B1479">
        <f t="shared" ca="1" si="277"/>
        <v>34</v>
      </c>
      <c r="C1479" t="str">
        <f t="shared" ca="1" si="278"/>
        <v>Male</v>
      </c>
      <c r="D1479" s="1">
        <f t="shared" ca="1" si="279"/>
        <v>45444</v>
      </c>
      <c r="E1479" s="1">
        <f t="shared" ca="1" si="280"/>
        <v>45459</v>
      </c>
      <c r="F1479" t="str">
        <f t="shared" ca="1" si="281"/>
        <v>Hypertension</v>
      </c>
      <c r="G1479" t="str">
        <f t="shared" ca="1" si="282"/>
        <v>Therapy</v>
      </c>
      <c r="H1479">
        <f t="shared" ca="1" si="283"/>
        <v>15</v>
      </c>
      <c r="I1479" t="str">
        <f t="shared" ca="1" si="284"/>
        <v>No</v>
      </c>
      <c r="J1479">
        <f t="shared" ca="1" si="285"/>
        <v>0</v>
      </c>
      <c r="K1479" t="str">
        <f t="shared" ca="1" si="286"/>
        <v>Public</v>
      </c>
      <c r="L1479" t="str">
        <f t="shared" ca="1" si="287"/>
        <v>Cardiology</v>
      </c>
    </row>
    <row r="1480" spans="1:12" x14ac:dyDescent="0.25">
      <c r="A1480">
        <f t="shared" si="276"/>
        <v>1479</v>
      </c>
      <c r="B1480">
        <f t="shared" ca="1" si="277"/>
        <v>40</v>
      </c>
      <c r="C1480" t="str">
        <f t="shared" ca="1" si="278"/>
        <v>Male</v>
      </c>
      <c r="D1480" s="1">
        <f t="shared" ca="1" si="279"/>
        <v>45540</v>
      </c>
      <c r="E1480" s="1">
        <f t="shared" ca="1" si="280"/>
        <v>45547</v>
      </c>
      <c r="F1480" t="str">
        <f t="shared" ca="1" si="281"/>
        <v>Diabetes</v>
      </c>
      <c r="G1480" t="str">
        <f t="shared" ca="1" si="282"/>
        <v>Medication</v>
      </c>
      <c r="H1480">
        <f t="shared" ca="1" si="283"/>
        <v>7</v>
      </c>
      <c r="I1480" t="str">
        <f t="shared" ca="1" si="284"/>
        <v>No</v>
      </c>
      <c r="J1480">
        <f t="shared" ca="1" si="285"/>
        <v>3</v>
      </c>
      <c r="K1480" t="str">
        <f t="shared" ca="1" si="286"/>
        <v>Private</v>
      </c>
      <c r="L1480" t="str">
        <f t="shared" ca="1" si="287"/>
        <v>Neurology</v>
      </c>
    </row>
    <row r="1481" spans="1:12" x14ac:dyDescent="0.25">
      <c r="A1481">
        <f t="shared" si="276"/>
        <v>1480</v>
      </c>
      <c r="B1481">
        <f t="shared" ca="1" si="277"/>
        <v>38</v>
      </c>
      <c r="C1481" t="str">
        <f t="shared" ca="1" si="278"/>
        <v>Female</v>
      </c>
      <c r="D1481" s="1">
        <f t="shared" ca="1" si="279"/>
        <v>45394</v>
      </c>
      <c r="E1481" s="1">
        <f t="shared" ca="1" si="280"/>
        <v>45409</v>
      </c>
      <c r="F1481" t="str">
        <f t="shared" ca="1" si="281"/>
        <v>Diabetes</v>
      </c>
      <c r="G1481" t="str">
        <f t="shared" ca="1" si="282"/>
        <v>Medication</v>
      </c>
      <c r="H1481">
        <f t="shared" ca="1" si="283"/>
        <v>15</v>
      </c>
      <c r="I1481" t="str">
        <f t="shared" ca="1" si="284"/>
        <v>No</v>
      </c>
      <c r="J1481">
        <f t="shared" ca="1" si="285"/>
        <v>3</v>
      </c>
      <c r="K1481" t="str">
        <f t="shared" ca="1" si="286"/>
        <v>Private</v>
      </c>
      <c r="L1481" t="str">
        <f t="shared" ca="1" si="287"/>
        <v>ER</v>
      </c>
    </row>
    <row r="1482" spans="1:12" x14ac:dyDescent="0.25">
      <c r="A1482">
        <f t="shared" si="276"/>
        <v>1481</v>
      </c>
      <c r="B1482">
        <f t="shared" ca="1" si="277"/>
        <v>77</v>
      </c>
      <c r="C1482" t="str">
        <f t="shared" ca="1" si="278"/>
        <v>Female</v>
      </c>
      <c r="D1482" s="1">
        <f t="shared" ca="1" si="279"/>
        <v>45455</v>
      </c>
      <c r="E1482" s="1">
        <f t="shared" ca="1" si="280"/>
        <v>45458</v>
      </c>
      <c r="F1482" t="str">
        <f t="shared" ca="1" si="281"/>
        <v>Diabetes</v>
      </c>
      <c r="G1482" t="str">
        <f t="shared" ca="1" si="282"/>
        <v>Surgery</v>
      </c>
      <c r="H1482">
        <f t="shared" ca="1" si="283"/>
        <v>3</v>
      </c>
      <c r="I1482" t="str">
        <f t="shared" ca="1" si="284"/>
        <v>No</v>
      </c>
      <c r="J1482">
        <f t="shared" ca="1" si="285"/>
        <v>1</v>
      </c>
      <c r="K1482" t="str">
        <f t="shared" ca="1" si="286"/>
        <v>None</v>
      </c>
      <c r="L1482" t="str">
        <f t="shared" ca="1" si="287"/>
        <v>ICU</v>
      </c>
    </row>
    <row r="1483" spans="1:12" x14ac:dyDescent="0.25">
      <c r="A1483">
        <f t="shared" si="276"/>
        <v>1482</v>
      </c>
      <c r="B1483">
        <f t="shared" ca="1" si="277"/>
        <v>90</v>
      </c>
      <c r="C1483" t="str">
        <f t="shared" ca="1" si="278"/>
        <v>Male</v>
      </c>
      <c r="D1483" s="1">
        <f t="shared" ca="1" si="279"/>
        <v>45546</v>
      </c>
      <c r="E1483" s="1">
        <f t="shared" ca="1" si="280"/>
        <v>45560</v>
      </c>
      <c r="F1483" t="str">
        <f t="shared" ca="1" si="281"/>
        <v>Stroke</v>
      </c>
      <c r="G1483" t="str">
        <f t="shared" ca="1" si="282"/>
        <v>Therapy</v>
      </c>
      <c r="H1483">
        <f t="shared" ca="1" si="283"/>
        <v>14</v>
      </c>
      <c r="I1483" t="str">
        <f t="shared" ca="1" si="284"/>
        <v>Yes</v>
      </c>
      <c r="J1483">
        <f t="shared" ca="1" si="285"/>
        <v>4</v>
      </c>
      <c r="K1483" t="str">
        <f t="shared" ca="1" si="286"/>
        <v>None</v>
      </c>
      <c r="L1483" t="str">
        <f t="shared" ca="1" si="287"/>
        <v>General</v>
      </c>
    </row>
    <row r="1484" spans="1:12" x14ac:dyDescent="0.25">
      <c r="A1484">
        <f t="shared" si="276"/>
        <v>1483</v>
      </c>
      <c r="B1484">
        <f t="shared" ca="1" si="277"/>
        <v>58</v>
      </c>
      <c r="C1484" t="str">
        <f t="shared" ca="1" si="278"/>
        <v>Male</v>
      </c>
      <c r="D1484" s="1">
        <f t="shared" ca="1" si="279"/>
        <v>45407</v>
      </c>
      <c r="E1484" s="1">
        <f t="shared" ca="1" si="280"/>
        <v>45409</v>
      </c>
      <c r="F1484" t="str">
        <f t="shared" ca="1" si="281"/>
        <v>Pneumonia</v>
      </c>
      <c r="G1484" t="str">
        <f t="shared" ca="1" si="282"/>
        <v>Surgery</v>
      </c>
      <c r="H1484">
        <f t="shared" ca="1" si="283"/>
        <v>2</v>
      </c>
      <c r="I1484" t="str">
        <f t="shared" ca="1" si="284"/>
        <v>No</v>
      </c>
      <c r="J1484">
        <f t="shared" ca="1" si="285"/>
        <v>0</v>
      </c>
      <c r="K1484" t="str">
        <f t="shared" ca="1" si="286"/>
        <v>Private</v>
      </c>
      <c r="L1484" t="str">
        <f t="shared" ca="1" si="287"/>
        <v>Cardiology</v>
      </c>
    </row>
    <row r="1485" spans="1:12" x14ac:dyDescent="0.25">
      <c r="A1485">
        <f t="shared" si="276"/>
        <v>1484</v>
      </c>
      <c r="B1485">
        <f t="shared" ca="1" si="277"/>
        <v>68</v>
      </c>
      <c r="C1485" t="str">
        <f t="shared" ca="1" si="278"/>
        <v>Female</v>
      </c>
      <c r="D1485" s="1">
        <f t="shared" ca="1" si="279"/>
        <v>45610</v>
      </c>
      <c r="E1485" s="1">
        <f t="shared" ca="1" si="280"/>
        <v>45619</v>
      </c>
      <c r="F1485" t="str">
        <f t="shared" ca="1" si="281"/>
        <v>Heart Failure</v>
      </c>
      <c r="G1485" t="str">
        <f t="shared" ca="1" si="282"/>
        <v>Surgery</v>
      </c>
      <c r="H1485">
        <f t="shared" ca="1" si="283"/>
        <v>9</v>
      </c>
      <c r="I1485" t="str">
        <f t="shared" ca="1" si="284"/>
        <v>No</v>
      </c>
      <c r="J1485">
        <f t="shared" ca="1" si="285"/>
        <v>4</v>
      </c>
      <c r="K1485" t="str">
        <f t="shared" ca="1" si="286"/>
        <v>None</v>
      </c>
      <c r="L1485" t="str">
        <f t="shared" ca="1" si="287"/>
        <v>ER</v>
      </c>
    </row>
    <row r="1486" spans="1:12" x14ac:dyDescent="0.25">
      <c r="A1486">
        <f t="shared" si="276"/>
        <v>1485</v>
      </c>
      <c r="B1486">
        <f t="shared" ca="1" si="277"/>
        <v>29</v>
      </c>
      <c r="C1486" t="str">
        <f t="shared" ca="1" si="278"/>
        <v>Male</v>
      </c>
      <c r="D1486" s="1">
        <f t="shared" ca="1" si="279"/>
        <v>45306</v>
      </c>
      <c r="E1486" s="1">
        <f t="shared" ca="1" si="280"/>
        <v>45320</v>
      </c>
      <c r="F1486" t="str">
        <f t="shared" ca="1" si="281"/>
        <v>Pneumonia</v>
      </c>
      <c r="G1486" t="str">
        <f t="shared" ca="1" si="282"/>
        <v>Surgery</v>
      </c>
      <c r="H1486">
        <f t="shared" ca="1" si="283"/>
        <v>14</v>
      </c>
      <c r="I1486" t="str">
        <f t="shared" ca="1" si="284"/>
        <v>No</v>
      </c>
      <c r="J1486">
        <f t="shared" ca="1" si="285"/>
        <v>1</v>
      </c>
      <c r="K1486" t="str">
        <f t="shared" ca="1" si="286"/>
        <v>Public</v>
      </c>
      <c r="L1486" t="str">
        <f t="shared" ca="1" si="287"/>
        <v>General</v>
      </c>
    </row>
    <row r="1487" spans="1:12" x14ac:dyDescent="0.25">
      <c r="A1487">
        <f t="shared" si="276"/>
        <v>1486</v>
      </c>
      <c r="B1487">
        <f t="shared" ca="1" si="277"/>
        <v>61</v>
      </c>
      <c r="C1487" t="str">
        <f t="shared" ca="1" si="278"/>
        <v>Male</v>
      </c>
      <c r="D1487" s="1">
        <f t="shared" ca="1" si="279"/>
        <v>45438</v>
      </c>
      <c r="E1487" s="1">
        <f t="shared" ca="1" si="280"/>
        <v>45448</v>
      </c>
      <c r="F1487" t="str">
        <f t="shared" ca="1" si="281"/>
        <v>Stroke</v>
      </c>
      <c r="G1487" t="str">
        <f t="shared" ca="1" si="282"/>
        <v>Medication</v>
      </c>
      <c r="H1487">
        <f t="shared" ca="1" si="283"/>
        <v>10</v>
      </c>
      <c r="I1487" t="str">
        <f t="shared" ca="1" si="284"/>
        <v>No</v>
      </c>
      <c r="J1487">
        <f t="shared" ca="1" si="285"/>
        <v>2</v>
      </c>
      <c r="K1487" t="str">
        <f t="shared" ca="1" si="286"/>
        <v>Public</v>
      </c>
      <c r="L1487" t="str">
        <f t="shared" ca="1" si="287"/>
        <v>Neurology</v>
      </c>
    </row>
    <row r="1488" spans="1:12" x14ac:dyDescent="0.25">
      <c r="A1488">
        <f t="shared" si="276"/>
        <v>1487</v>
      </c>
      <c r="B1488">
        <f t="shared" ca="1" si="277"/>
        <v>63</v>
      </c>
      <c r="C1488" t="str">
        <f t="shared" ca="1" si="278"/>
        <v>Male</v>
      </c>
      <c r="D1488" s="1">
        <f t="shared" ca="1" si="279"/>
        <v>45510</v>
      </c>
      <c r="E1488" s="1">
        <f t="shared" ca="1" si="280"/>
        <v>45523</v>
      </c>
      <c r="F1488" t="str">
        <f t="shared" ca="1" si="281"/>
        <v>Pneumonia</v>
      </c>
      <c r="G1488" t="str">
        <f t="shared" ca="1" si="282"/>
        <v>Medication</v>
      </c>
      <c r="H1488">
        <f t="shared" ca="1" si="283"/>
        <v>13</v>
      </c>
      <c r="I1488" t="str">
        <f t="shared" ca="1" si="284"/>
        <v>No</v>
      </c>
      <c r="J1488">
        <f t="shared" ca="1" si="285"/>
        <v>1</v>
      </c>
      <c r="K1488" t="str">
        <f t="shared" ca="1" si="286"/>
        <v>None</v>
      </c>
      <c r="L1488" t="str">
        <f t="shared" ca="1" si="287"/>
        <v>ICU</v>
      </c>
    </row>
    <row r="1489" spans="1:12" x14ac:dyDescent="0.25">
      <c r="A1489">
        <f t="shared" si="276"/>
        <v>1488</v>
      </c>
      <c r="B1489">
        <f t="shared" ca="1" si="277"/>
        <v>60</v>
      </c>
      <c r="C1489" t="str">
        <f t="shared" ca="1" si="278"/>
        <v>Male</v>
      </c>
      <c r="D1489" s="1">
        <f t="shared" ca="1" si="279"/>
        <v>45361</v>
      </c>
      <c r="E1489" s="1">
        <f t="shared" ca="1" si="280"/>
        <v>45375</v>
      </c>
      <c r="F1489" t="str">
        <f t="shared" ca="1" si="281"/>
        <v>Hypertension</v>
      </c>
      <c r="G1489" t="str">
        <f t="shared" ca="1" si="282"/>
        <v>Medication</v>
      </c>
      <c r="H1489">
        <f t="shared" ca="1" si="283"/>
        <v>14</v>
      </c>
      <c r="I1489" t="str">
        <f t="shared" ca="1" si="284"/>
        <v>Yes</v>
      </c>
      <c r="J1489">
        <f t="shared" ca="1" si="285"/>
        <v>0</v>
      </c>
      <c r="K1489" t="str">
        <f t="shared" ca="1" si="286"/>
        <v>Public</v>
      </c>
      <c r="L1489" t="str">
        <f t="shared" ca="1" si="287"/>
        <v>ICU</v>
      </c>
    </row>
    <row r="1490" spans="1:12" x14ac:dyDescent="0.25">
      <c r="A1490">
        <f t="shared" si="276"/>
        <v>1489</v>
      </c>
      <c r="B1490">
        <f t="shared" ca="1" si="277"/>
        <v>30</v>
      </c>
      <c r="C1490" t="str">
        <f t="shared" ca="1" si="278"/>
        <v>Male</v>
      </c>
      <c r="D1490" s="1">
        <f t="shared" ca="1" si="279"/>
        <v>45344</v>
      </c>
      <c r="E1490" s="1">
        <f t="shared" ca="1" si="280"/>
        <v>45348</v>
      </c>
      <c r="F1490" t="str">
        <f t="shared" ca="1" si="281"/>
        <v>Stroke</v>
      </c>
      <c r="G1490" t="str">
        <f t="shared" ca="1" si="282"/>
        <v>Surgery</v>
      </c>
      <c r="H1490">
        <f t="shared" ca="1" si="283"/>
        <v>4</v>
      </c>
      <c r="I1490" t="str">
        <f t="shared" ca="1" si="284"/>
        <v>No</v>
      </c>
      <c r="J1490">
        <f t="shared" ca="1" si="285"/>
        <v>1</v>
      </c>
      <c r="K1490" t="str">
        <f t="shared" ca="1" si="286"/>
        <v>Public</v>
      </c>
      <c r="L1490" t="str">
        <f t="shared" ca="1" si="287"/>
        <v>ICU</v>
      </c>
    </row>
    <row r="1491" spans="1:12" x14ac:dyDescent="0.25">
      <c r="A1491">
        <f t="shared" si="276"/>
        <v>1490</v>
      </c>
      <c r="B1491">
        <f t="shared" ca="1" si="277"/>
        <v>24</v>
      </c>
      <c r="C1491" t="str">
        <f t="shared" ca="1" si="278"/>
        <v>Female</v>
      </c>
      <c r="D1491" s="1">
        <f t="shared" ca="1" si="279"/>
        <v>45517</v>
      </c>
      <c r="E1491" s="1">
        <f t="shared" ca="1" si="280"/>
        <v>45525</v>
      </c>
      <c r="F1491" t="str">
        <f t="shared" ca="1" si="281"/>
        <v>Heart Failure</v>
      </c>
      <c r="G1491" t="str">
        <f t="shared" ca="1" si="282"/>
        <v>Therapy</v>
      </c>
      <c r="H1491">
        <f t="shared" ca="1" si="283"/>
        <v>8</v>
      </c>
      <c r="I1491" t="str">
        <f t="shared" ca="1" si="284"/>
        <v>No</v>
      </c>
      <c r="J1491">
        <f t="shared" ca="1" si="285"/>
        <v>2</v>
      </c>
      <c r="K1491" t="str">
        <f t="shared" ca="1" si="286"/>
        <v>None</v>
      </c>
      <c r="L1491" t="str">
        <f t="shared" ca="1" si="287"/>
        <v>Cardiology</v>
      </c>
    </row>
    <row r="1492" spans="1:12" x14ac:dyDescent="0.25">
      <c r="A1492">
        <f t="shared" si="276"/>
        <v>1491</v>
      </c>
      <c r="B1492">
        <f t="shared" ca="1" si="277"/>
        <v>34</v>
      </c>
      <c r="C1492" t="str">
        <f t="shared" ca="1" si="278"/>
        <v>Female</v>
      </c>
      <c r="D1492" s="1">
        <f t="shared" ca="1" si="279"/>
        <v>45577</v>
      </c>
      <c r="E1492" s="1">
        <f t="shared" ca="1" si="280"/>
        <v>45581</v>
      </c>
      <c r="F1492" t="str">
        <f t="shared" ca="1" si="281"/>
        <v>Hypertension</v>
      </c>
      <c r="G1492" t="str">
        <f t="shared" ca="1" si="282"/>
        <v>Medication</v>
      </c>
      <c r="H1492">
        <f t="shared" ca="1" si="283"/>
        <v>4</v>
      </c>
      <c r="I1492" t="str">
        <f t="shared" ca="1" si="284"/>
        <v>No</v>
      </c>
      <c r="J1492">
        <f t="shared" ca="1" si="285"/>
        <v>1</v>
      </c>
      <c r="K1492" t="str">
        <f t="shared" ca="1" si="286"/>
        <v>None</v>
      </c>
      <c r="L1492" t="str">
        <f t="shared" ca="1" si="287"/>
        <v>Cardiology</v>
      </c>
    </row>
    <row r="1493" spans="1:12" x14ac:dyDescent="0.25">
      <c r="A1493">
        <f t="shared" si="276"/>
        <v>1492</v>
      </c>
      <c r="B1493">
        <f t="shared" ca="1" si="277"/>
        <v>21</v>
      </c>
      <c r="C1493" t="str">
        <f t="shared" ca="1" si="278"/>
        <v>Female</v>
      </c>
      <c r="D1493" s="1">
        <f t="shared" ca="1" si="279"/>
        <v>45309</v>
      </c>
      <c r="E1493" s="1">
        <f t="shared" ca="1" si="280"/>
        <v>45320</v>
      </c>
      <c r="F1493" t="str">
        <f t="shared" ca="1" si="281"/>
        <v>Pneumonia</v>
      </c>
      <c r="G1493" t="str">
        <f t="shared" ca="1" si="282"/>
        <v>Medication</v>
      </c>
      <c r="H1493">
        <f t="shared" ca="1" si="283"/>
        <v>11</v>
      </c>
      <c r="I1493" t="str">
        <f t="shared" ca="1" si="284"/>
        <v>No</v>
      </c>
      <c r="J1493">
        <f t="shared" ca="1" si="285"/>
        <v>3</v>
      </c>
      <c r="K1493" t="str">
        <f t="shared" ca="1" si="286"/>
        <v>Public</v>
      </c>
      <c r="L1493" t="str">
        <f t="shared" ca="1" si="287"/>
        <v>ICU</v>
      </c>
    </row>
    <row r="1494" spans="1:12" x14ac:dyDescent="0.25">
      <c r="A1494">
        <f t="shared" si="276"/>
        <v>1493</v>
      </c>
      <c r="B1494">
        <f t="shared" ca="1" si="277"/>
        <v>68</v>
      </c>
      <c r="C1494" t="str">
        <f t="shared" ca="1" si="278"/>
        <v>Female</v>
      </c>
      <c r="D1494" s="1">
        <f t="shared" ca="1" si="279"/>
        <v>45439</v>
      </c>
      <c r="E1494" s="1">
        <f t="shared" ca="1" si="280"/>
        <v>45453</v>
      </c>
      <c r="F1494" t="str">
        <f t="shared" ca="1" si="281"/>
        <v>Heart Failure</v>
      </c>
      <c r="G1494" t="str">
        <f t="shared" ca="1" si="282"/>
        <v>Medication</v>
      </c>
      <c r="H1494">
        <f t="shared" ca="1" si="283"/>
        <v>14</v>
      </c>
      <c r="I1494" t="str">
        <f t="shared" ca="1" si="284"/>
        <v>No</v>
      </c>
      <c r="J1494">
        <f t="shared" ca="1" si="285"/>
        <v>3</v>
      </c>
      <c r="K1494" t="str">
        <f t="shared" ca="1" si="286"/>
        <v>None</v>
      </c>
      <c r="L1494" t="str">
        <f t="shared" ca="1" si="287"/>
        <v>General</v>
      </c>
    </row>
    <row r="1495" spans="1:12" x14ac:dyDescent="0.25">
      <c r="A1495">
        <f t="shared" si="276"/>
        <v>1494</v>
      </c>
      <c r="B1495">
        <f t="shared" ca="1" si="277"/>
        <v>36</v>
      </c>
      <c r="C1495" t="str">
        <f t="shared" ca="1" si="278"/>
        <v>Female</v>
      </c>
      <c r="D1495" s="1">
        <f t="shared" ca="1" si="279"/>
        <v>45543</v>
      </c>
      <c r="E1495" s="1">
        <f t="shared" ca="1" si="280"/>
        <v>45556</v>
      </c>
      <c r="F1495" t="str">
        <f t="shared" ca="1" si="281"/>
        <v>Pneumonia</v>
      </c>
      <c r="G1495" t="str">
        <f t="shared" ca="1" si="282"/>
        <v>Surgery</v>
      </c>
      <c r="H1495">
        <f t="shared" ca="1" si="283"/>
        <v>13</v>
      </c>
      <c r="I1495" t="str">
        <f t="shared" ca="1" si="284"/>
        <v>Yes</v>
      </c>
      <c r="J1495">
        <f t="shared" ca="1" si="285"/>
        <v>4</v>
      </c>
      <c r="K1495" t="str">
        <f t="shared" ca="1" si="286"/>
        <v>Public</v>
      </c>
      <c r="L1495" t="str">
        <f t="shared" ca="1" si="287"/>
        <v>Cardiology</v>
      </c>
    </row>
    <row r="1496" spans="1:12" x14ac:dyDescent="0.25">
      <c r="A1496">
        <f t="shared" si="276"/>
        <v>1495</v>
      </c>
      <c r="B1496">
        <f t="shared" ca="1" si="277"/>
        <v>78</v>
      </c>
      <c r="C1496" t="str">
        <f t="shared" ca="1" si="278"/>
        <v>Female</v>
      </c>
      <c r="D1496" s="1">
        <f t="shared" ca="1" si="279"/>
        <v>45649</v>
      </c>
      <c r="E1496" s="1">
        <f t="shared" ca="1" si="280"/>
        <v>45661</v>
      </c>
      <c r="F1496" t="str">
        <f t="shared" ca="1" si="281"/>
        <v>Diabetes</v>
      </c>
      <c r="G1496" t="str">
        <f t="shared" ca="1" si="282"/>
        <v>Therapy</v>
      </c>
      <c r="H1496">
        <f t="shared" ca="1" si="283"/>
        <v>12</v>
      </c>
      <c r="I1496" t="str">
        <f t="shared" ca="1" si="284"/>
        <v>No</v>
      </c>
      <c r="J1496">
        <f t="shared" ca="1" si="285"/>
        <v>2</v>
      </c>
      <c r="K1496" t="str">
        <f t="shared" ca="1" si="286"/>
        <v>Private</v>
      </c>
      <c r="L1496" t="str">
        <f t="shared" ca="1" si="287"/>
        <v>ICU</v>
      </c>
    </row>
    <row r="1497" spans="1:12" x14ac:dyDescent="0.25">
      <c r="A1497">
        <f t="shared" si="276"/>
        <v>1496</v>
      </c>
      <c r="B1497">
        <f t="shared" ca="1" si="277"/>
        <v>34</v>
      </c>
      <c r="C1497" t="str">
        <f t="shared" ca="1" si="278"/>
        <v>Male</v>
      </c>
      <c r="D1497" s="1">
        <f t="shared" ca="1" si="279"/>
        <v>45592</v>
      </c>
      <c r="E1497" s="1">
        <f t="shared" ca="1" si="280"/>
        <v>45601</v>
      </c>
      <c r="F1497" t="str">
        <f t="shared" ca="1" si="281"/>
        <v>Pneumonia</v>
      </c>
      <c r="G1497" t="str">
        <f t="shared" ca="1" si="282"/>
        <v>Surgery</v>
      </c>
      <c r="H1497">
        <f t="shared" ca="1" si="283"/>
        <v>9</v>
      </c>
      <c r="I1497" t="str">
        <f t="shared" ca="1" si="284"/>
        <v>No</v>
      </c>
      <c r="J1497">
        <f t="shared" ca="1" si="285"/>
        <v>4</v>
      </c>
      <c r="K1497" t="str">
        <f t="shared" ca="1" si="286"/>
        <v>None</v>
      </c>
      <c r="L1497" t="str">
        <f t="shared" ca="1" si="287"/>
        <v>ICU</v>
      </c>
    </row>
    <row r="1498" spans="1:12" x14ac:dyDescent="0.25">
      <c r="A1498">
        <f t="shared" si="276"/>
        <v>1497</v>
      </c>
      <c r="B1498">
        <f t="shared" ca="1" si="277"/>
        <v>74</v>
      </c>
      <c r="C1498" t="str">
        <f t="shared" ca="1" si="278"/>
        <v>Male</v>
      </c>
      <c r="D1498" s="1">
        <f t="shared" ca="1" si="279"/>
        <v>45502</v>
      </c>
      <c r="E1498" s="1">
        <f t="shared" ca="1" si="280"/>
        <v>45514</v>
      </c>
      <c r="F1498" t="str">
        <f t="shared" ca="1" si="281"/>
        <v>Hypertension</v>
      </c>
      <c r="G1498" t="str">
        <f t="shared" ca="1" si="282"/>
        <v>Medication</v>
      </c>
      <c r="H1498">
        <f t="shared" ca="1" si="283"/>
        <v>12</v>
      </c>
      <c r="I1498" t="str">
        <f t="shared" ca="1" si="284"/>
        <v>Yes</v>
      </c>
      <c r="J1498">
        <f t="shared" ca="1" si="285"/>
        <v>0</v>
      </c>
      <c r="K1498" t="str">
        <f t="shared" ca="1" si="286"/>
        <v>Public</v>
      </c>
      <c r="L1498" t="str">
        <f t="shared" ca="1" si="287"/>
        <v>General</v>
      </c>
    </row>
    <row r="1499" spans="1:12" x14ac:dyDescent="0.25">
      <c r="A1499">
        <f t="shared" si="276"/>
        <v>1498</v>
      </c>
      <c r="B1499">
        <f t="shared" ca="1" si="277"/>
        <v>41</v>
      </c>
      <c r="C1499" t="str">
        <f t="shared" ca="1" si="278"/>
        <v>Male</v>
      </c>
      <c r="D1499" s="1">
        <f t="shared" ca="1" si="279"/>
        <v>45536</v>
      </c>
      <c r="E1499" s="1">
        <f t="shared" ca="1" si="280"/>
        <v>45547</v>
      </c>
      <c r="F1499" t="str">
        <f t="shared" ca="1" si="281"/>
        <v>Stroke</v>
      </c>
      <c r="G1499" t="str">
        <f t="shared" ca="1" si="282"/>
        <v>Medication</v>
      </c>
      <c r="H1499">
        <f t="shared" ca="1" si="283"/>
        <v>11</v>
      </c>
      <c r="I1499" t="str">
        <f t="shared" ca="1" si="284"/>
        <v>Yes</v>
      </c>
      <c r="J1499">
        <f t="shared" ca="1" si="285"/>
        <v>3</v>
      </c>
      <c r="K1499" t="str">
        <f t="shared" ca="1" si="286"/>
        <v>None</v>
      </c>
      <c r="L1499" t="str">
        <f t="shared" ca="1" si="287"/>
        <v>Neurology</v>
      </c>
    </row>
    <row r="1500" spans="1:12" x14ac:dyDescent="0.25">
      <c r="A1500">
        <f t="shared" si="276"/>
        <v>1499</v>
      </c>
      <c r="B1500">
        <f t="shared" ca="1" si="277"/>
        <v>31</v>
      </c>
      <c r="C1500" t="str">
        <f t="shared" ca="1" si="278"/>
        <v>Male</v>
      </c>
      <c r="D1500" s="1">
        <f t="shared" ca="1" si="279"/>
        <v>45529</v>
      </c>
      <c r="E1500" s="1">
        <f t="shared" ca="1" si="280"/>
        <v>45539</v>
      </c>
      <c r="F1500" t="str">
        <f t="shared" ca="1" si="281"/>
        <v>Hypertension</v>
      </c>
      <c r="G1500" t="str">
        <f t="shared" ca="1" si="282"/>
        <v>Surgery</v>
      </c>
      <c r="H1500">
        <f t="shared" ca="1" si="283"/>
        <v>10</v>
      </c>
      <c r="I1500" t="str">
        <f t="shared" ca="1" si="284"/>
        <v>No</v>
      </c>
      <c r="J1500">
        <f t="shared" ca="1" si="285"/>
        <v>2</v>
      </c>
      <c r="K1500" t="str">
        <f t="shared" ca="1" si="286"/>
        <v>Private</v>
      </c>
      <c r="L1500" t="str">
        <f t="shared" ca="1" si="287"/>
        <v>ER</v>
      </c>
    </row>
    <row r="1501" spans="1:12" x14ac:dyDescent="0.25">
      <c r="A1501">
        <f t="shared" si="276"/>
        <v>1500</v>
      </c>
      <c r="B1501">
        <f t="shared" ca="1" si="277"/>
        <v>74</v>
      </c>
      <c r="C1501" t="str">
        <f t="shared" ca="1" si="278"/>
        <v>Female</v>
      </c>
      <c r="D1501" s="1">
        <f t="shared" ca="1" si="279"/>
        <v>45649</v>
      </c>
      <c r="E1501" s="1">
        <f t="shared" ca="1" si="280"/>
        <v>45659</v>
      </c>
      <c r="F1501" t="str">
        <f t="shared" ca="1" si="281"/>
        <v>Pneumonia</v>
      </c>
      <c r="G1501" t="str">
        <f t="shared" ca="1" si="282"/>
        <v>Medication</v>
      </c>
      <c r="H1501">
        <f t="shared" ca="1" si="283"/>
        <v>10</v>
      </c>
      <c r="I1501" t="str">
        <f t="shared" ca="1" si="284"/>
        <v>Yes</v>
      </c>
      <c r="J1501">
        <f t="shared" ca="1" si="285"/>
        <v>0</v>
      </c>
      <c r="K1501" t="str">
        <f t="shared" ca="1" si="286"/>
        <v>Private</v>
      </c>
      <c r="L1501" t="str">
        <f t="shared" ca="1" si="287"/>
        <v>Neurology</v>
      </c>
    </row>
    <row r="1502" spans="1:12" x14ac:dyDescent="0.25">
      <c r="A1502">
        <f t="shared" si="276"/>
        <v>1501</v>
      </c>
      <c r="B1502">
        <f t="shared" ca="1" si="277"/>
        <v>73</v>
      </c>
      <c r="C1502" t="str">
        <f t="shared" ca="1" si="278"/>
        <v>Male</v>
      </c>
      <c r="D1502" s="1">
        <f t="shared" ca="1" si="279"/>
        <v>45564</v>
      </c>
      <c r="E1502" s="1">
        <f t="shared" ca="1" si="280"/>
        <v>45573</v>
      </c>
      <c r="F1502" t="str">
        <f t="shared" ca="1" si="281"/>
        <v>Diabetes</v>
      </c>
      <c r="G1502" t="str">
        <f t="shared" ca="1" si="282"/>
        <v>Therapy</v>
      </c>
      <c r="H1502">
        <f t="shared" ca="1" si="283"/>
        <v>9</v>
      </c>
      <c r="I1502" t="str">
        <f t="shared" ca="1" si="284"/>
        <v>No</v>
      </c>
      <c r="J1502">
        <f t="shared" ca="1" si="285"/>
        <v>0</v>
      </c>
      <c r="K1502" t="str">
        <f t="shared" ca="1" si="286"/>
        <v>Private</v>
      </c>
      <c r="L1502" t="str">
        <f t="shared" ca="1" si="287"/>
        <v>General</v>
      </c>
    </row>
    <row r="1503" spans="1:12" x14ac:dyDescent="0.25">
      <c r="A1503">
        <f t="shared" si="276"/>
        <v>1502</v>
      </c>
      <c r="B1503">
        <f t="shared" ca="1" si="277"/>
        <v>75</v>
      </c>
      <c r="C1503" t="str">
        <f t="shared" ca="1" si="278"/>
        <v>Male</v>
      </c>
      <c r="D1503" s="1">
        <f t="shared" ca="1" si="279"/>
        <v>45418</v>
      </c>
      <c r="E1503" s="1">
        <f t="shared" ca="1" si="280"/>
        <v>45433</v>
      </c>
      <c r="F1503" t="str">
        <f t="shared" ca="1" si="281"/>
        <v>Stroke</v>
      </c>
      <c r="G1503" t="str">
        <f t="shared" ca="1" si="282"/>
        <v>Surgery</v>
      </c>
      <c r="H1503">
        <f t="shared" ca="1" si="283"/>
        <v>15</v>
      </c>
      <c r="I1503" t="str">
        <f t="shared" ca="1" si="284"/>
        <v>No</v>
      </c>
      <c r="J1503">
        <f t="shared" ca="1" si="285"/>
        <v>4</v>
      </c>
      <c r="K1503" t="str">
        <f t="shared" ca="1" si="286"/>
        <v>Private</v>
      </c>
      <c r="L1503" t="str">
        <f t="shared" ca="1" si="287"/>
        <v>ER</v>
      </c>
    </row>
    <row r="1504" spans="1:12" x14ac:dyDescent="0.25">
      <c r="A1504">
        <f t="shared" si="276"/>
        <v>1503</v>
      </c>
      <c r="B1504">
        <f t="shared" ca="1" si="277"/>
        <v>38</v>
      </c>
      <c r="C1504" t="str">
        <f t="shared" ca="1" si="278"/>
        <v>Female</v>
      </c>
      <c r="D1504" s="1">
        <f t="shared" ca="1" si="279"/>
        <v>45513</v>
      </c>
      <c r="E1504" s="1">
        <f t="shared" ca="1" si="280"/>
        <v>45522</v>
      </c>
      <c r="F1504" t="str">
        <f t="shared" ca="1" si="281"/>
        <v>Pneumonia</v>
      </c>
      <c r="G1504" t="str">
        <f t="shared" ca="1" si="282"/>
        <v>Surgery</v>
      </c>
      <c r="H1504">
        <f t="shared" ca="1" si="283"/>
        <v>9</v>
      </c>
      <c r="I1504" t="str">
        <f t="shared" ca="1" si="284"/>
        <v>No</v>
      </c>
      <c r="J1504">
        <f t="shared" ca="1" si="285"/>
        <v>4</v>
      </c>
      <c r="K1504" t="str">
        <f t="shared" ca="1" si="286"/>
        <v>None</v>
      </c>
      <c r="L1504" t="str">
        <f t="shared" ca="1" si="287"/>
        <v>General</v>
      </c>
    </row>
    <row r="1505" spans="1:12" x14ac:dyDescent="0.25">
      <c r="A1505">
        <f t="shared" si="276"/>
        <v>1504</v>
      </c>
      <c r="B1505">
        <f t="shared" ca="1" si="277"/>
        <v>45</v>
      </c>
      <c r="C1505" t="str">
        <f t="shared" ca="1" si="278"/>
        <v>Male</v>
      </c>
      <c r="D1505" s="1">
        <f t="shared" ca="1" si="279"/>
        <v>45475</v>
      </c>
      <c r="E1505" s="1">
        <f t="shared" ca="1" si="280"/>
        <v>45478</v>
      </c>
      <c r="F1505" t="str">
        <f t="shared" ca="1" si="281"/>
        <v>Heart Failure</v>
      </c>
      <c r="G1505" t="str">
        <f t="shared" ca="1" si="282"/>
        <v>Therapy</v>
      </c>
      <c r="H1505">
        <f t="shared" ca="1" si="283"/>
        <v>3</v>
      </c>
      <c r="I1505" t="str">
        <f t="shared" ca="1" si="284"/>
        <v>No</v>
      </c>
      <c r="J1505">
        <f t="shared" ca="1" si="285"/>
        <v>2</v>
      </c>
      <c r="K1505" t="str">
        <f t="shared" ca="1" si="286"/>
        <v>None</v>
      </c>
      <c r="L1505" t="str">
        <f t="shared" ca="1" si="287"/>
        <v>General</v>
      </c>
    </row>
    <row r="1506" spans="1:12" x14ac:dyDescent="0.25">
      <c r="A1506">
        <f t="shared" si="276"/>
        <v>1505</v>
      </c>
      <c r="B1506">
        <f t="shared" ca="1" si="277"/>
        <v>45</v>
      </c>
      <c r="C1506" t="str">
        <f t="shared" ca="1" si="278"/>
        <v>Male</v>
      </c>
      <c r="D1506" s="1">
        <f t="shared" ca="1" si="279"/>
        <v>45366</v>
      </c>
      <c r="E1506" s="1">
        <f t="shared" ca="1" si="280"/>
        <v>45377</v>
      </c>
      <c r="F1506" t="str">
        <f t="shared" ca="1" si="281"/>
        <v>Heart Failure</v>
      </c>
      <c r="G1506" t="str">
        <f t="shared" ca="1" si="282"/>
        <v>Therapy</v>
      </c>
      <c r="H1506">
        <f t="shared" ca="1" si="283"/>
        <v>11</v>
      </c>
      <c r="I1506" t="str">
        <f t="shared" ca="1" si="284"/>
        <v>No</v>
      </c>
      <c r="J1506">
        <f t="shared" ca="1" si="285"/>
        <v>3</v>
      </c>
      <c r="K1506" t="str">
        <f t="shared" ca="1" si="286"/>
        <v>None</v>
      </c>
      <c r="L1506" t="str">
        <f t="shared" ca="1" si="287"/>
        <v>Cardiology</v>
      </c>
    </row>
    <row r="1507" spans="1:12" x14ac:dyDescent="0.25">
      <c r="A1507">
        <f t="shared" si="276"/>
        <v>1506</v>
      </c>
      <c r="B1507">
        <f t="shared" ca="1" si="277"/>
        <v>58</v>
      </c>
      <c r="C1507" t="str">
        <f t="shared" ca="1" si="278"/>
        <v>Female</v>
      </c>
      <c r="D1507" s="1">
        <f t="shared" ca="1" si="279"/>
        <v>45394</v>
      </c>
      <c r="E1507" s="1">
        <f t="shared" ca="1" si="280"/>
        <v>45406</v>
      </c>
      <c r="F1507" t="str">
        <f t="shared" ca="1" si="281"/>
        <v>Heart Failure</v>
      </c>
      <c r="G1507" t="str">
        <f t="shared" ca="1" si="282"/>
        <v>Surgery</v>
      </c>
      <c r="H1507">
        <f t="shared" ca="1" si="283"/>
        <v>12</v>
      </c>
      <c r="I1507" t="str">
        <f t="shared" ca="1" si="284"/>
        <v>No</v>
      </c>
      <c r="J1507">
        <f t="shared" ca="1" si="285"/>
        <v>0</v>
      </c>
      <c r="K1507" t="str">
        <f t="shared" ca="1" si="286"/>
        <v>Private</v>
      </c>
      <c r="L1507" t="str">
        <f t="shared" ca="1" si="287"/>
        <v>Cardiology</v>
      </c>
    </row>
    <row r="1508" spans="1:12" x14ac:dyDescent="0.25">
      <c r="A1508">
        <f t="shared" si="276"/>
        <v>1507</v>
      </c>
      <c r="B1508">
        <f t="shared" ca="1" si="277"/>
        <v>72</v>
      </c>
      <c r="C1508" t="str">
        <f t="shared" ca="1" si="278"/>
        <v>Male</v>
      </c>
      <c r="D1508" s="1">
        <f t="shared" ca="1" si="279"/>
        <v>45385</v>
      </c>
      <c r="E1508" s="1">
        <f t="shared" ca="1" si="280"/>
        <v>45392</v>
      </c>
      <c r="F1508" t="str">
        <f t="shared" ca="1" si="281"/>
        <v>Diabetes</v>
      </c>
      <c r="G1508" t="str">
        <f t="shared" ca="1" si="282"/>
        <v>Medication</v>
      </c>
      <c r="H1508">
        <f t="shared" ca="1" si="283"/>
        <v>7</v>
      </c>
      <c r="I1508" t="str">
        <f t="shared" ca="1" si="284"/>
        <v>No</v>
      </c>
      <c r="J1508">
        <f t="shared" ca="1" si="285"/>
        <v>3</v>
      </c>
      <c r="K1508" t="str">
        <f t="shared" ca="1" si="286"/>
        <v>None</v>
      </c>
      <c r="L1508" t="str">
        <f t="shared" ca="1" si="287"/>
        <v>Cardiology</v>
      </c>
    </row>
    <row r="1509" spans="1:12" x14ac:dyDescent="0.25">
      <c r="A1509">
        <f t="shared" si="276"/>
        <v>1508</v>
      </c>
      <c r="B1509">
        <f t="shared" ca="1" si="277"/>
        <v>60</v>
      </c>
      <c r="C1509" t="str">
        <f t="shared" ca="1" si="278"/>
        <v>Male</v>
      </c>
      <c r="D1509" s="1">
        <f t="shared" ca="1" si="279"/>
        <v>45309</v>
      </c>
      <c r="E1509" s="1">
        <f t="shared" ca="1" si="280"/>
        <v>45321</v>
      </c>
      <c r="F1509" t="str">
        <f t="shared" ca="1" si="281"/>
        <v>Diabetes</v>
      </c>
      <c r="G1509" t="str">
        <f t="shared" ca="1" si="282"/>
        <v>Therapy</v>
      </c>
      <c r="H1509">
        <f t="shared" ca="1" si="283"/>
        <v>12</v>
      </c>
      <c r="I1509" t="str">
        <f t="shared" ca="1" si="284"/>
        <v>Yes</v>
      </c>
      <c r="J1509">
        <f t="shared" ca="1" si="285"/>
        <v>1</v>
      </c>
      <c r="K1509" t="str">
        <f t="shared" ca="1" si="286"/>
        <v>Private</v>
      </c>
      <c r="L1509" t="str">
        <f t="shared" ca="1" si="287"/>
        <v>ICU</v>
      </c>
    </row>
    <row r="1510" spans="1:12" x14ac:dyDescent="0.25">
      <c r="A1510">
        <f t="shared" si="276"/>
        <v>1509</v>
      </c>
      <c r="B1510">
        <f t="shared" ca="1" si="277"/>
        <v>52</v>
      </c>
      <c r="C1510" t="str">
        <f t="shared" ca="1" si="278"/>
        <v>Male</v>
      </c>
      <c r="D1510" s="1">
        <f t="shared" ca="1" si="279"/>
        <v>45292</v>
      </c>
      <c r="E1510" s="1">
        <f t="shared" ca="1" si="280"/>
        <v>45304</v>
      </c>
      <c r="F1510" t="str">
        <f t="shared" ca="1" si="281"/>
        <v>Pneumonia</v>
      </c>
      <c r="G1510" t="str">
        <f t="shared" ca="1" si="282"/>
        <v>Medication</v>
      </c>
      <c r="H1510">
        <f t="shared" ca="1" si="283"/>
        <v>12</v>
      </c>
      <c r="I1510" t="str">
        <f t="shared" ca="1" si="284"/>
        <v>No</v>
      </c>
      <c r="J1510">
        <f t="shared" ca="1" si="285"/>
        <v>4</v>
      </c>
      <c r="K1510" t="str">
        <f t="shared" ca="1" si="286"/>
        <v>None</v>
      </c>
      <c r="L1510" t="str">
        <f t="shared" ca="1" si="287"/>
        <v>General</v>
      </c>
    </row>
    <row r="1511" spans="1:12" x14ac:dyDescent="0.25">
      <c r="A1511">
        <f t="shared" si="276"/>
        <v>1510</v>
      </c>
      <c r="B1511">
        <f t="shared" ca="1" si="277"/>
        <v>48</v>
      </c>
      <c r="C1511" t="str">
        <f t="shared" ca="1" si="278"/>
        <v>Male</v>
      </c>
      <c r="D1511" s="1">
        <f t="shared" ca="1" si="279"/>
        <v>45360</v>
      </c>
      <c r="E1511" s="1">
        <f t="shared" ca="1" si="280"/>
        <v>45368</v>
      </c>
      <c r="F1511" t="str">
        <f t="shared" ca="1" si="281"/>
        <v>Hypertension</v>
      </c>
      <c r="G1511" t="str">
        <f t="shared" ca="1" si="282"/>
        <v>Surgery</v>
      </c>
      <c r="H1511">
        <f t="shared" ca="1" si="283"/>
        <v>8</v>
      </c>
      <c r="I1511" t="str">
        <f t="shared" ca="1" si="284"/>
        <v>Yes</v>
      </c>
      <c r="J1511">
        <f t="shared" ca="1" si="285"/>
        <v>4</v>
      </c>
      <c r="K1511" t="str">
        <f t="shared" ca="1" si="286"/>
        <v>Private</v>
      </c>
      <c r="L1511" t="str">
        <f t="shared" ca="1" si="287"/>
        <v>Neurology</v>
      </c>
    </row>
    <row r="1512" spans="1:12" x14ac:dyDescent="0.25">
      <c r="A1512">
        <f t="shared" si="276"/>
        <v>1511</v>
      </c>
      <c r="B1512">
        <f t="shared" ca="1" si="277"/>
        <v>48</v>
      </c>
      <c r="C1512" t="str">
        <f t="shared" ca="1" si="278"/>
        <v>Male</v>
      </c>
      <c r="D1512" s="1">
        <f t="shared" ca="1" si="279"/>
        <v>45321</v>
      </c>
      <c r="E1512" s="1">
        <f t="shared" ca="1" si="280"/>
        <v>45329</v>
      </c>
      <c r="F1512" t="str">
        <f t="shared" ca="1" si="281"/>
        <v>Heart Failure</v>
      </c>
      <c r="G1512" t="str">
        <f t="shared" ca="1" si="282"/>
        <v>Therapy</v>
      </c>
      <c r="H1512">
        <f t="shared" ca="1" si="283"/>
        <v>8</v>
      </c>
      <c r="I1512" t="str">
        <f t="shared" ca="1" si="284"/>
        <v>No</v>
      </c>
      <c r="J1512">
        <f t="shared" ca="1" si="285"/>
        <v>4</v>
      </c>
      <c r="K1512" t="str">
        <f t="shared" ca="1" si="286"/>
        <v>Public</v>
      </c>
      <c r="L1512" t="str">
        <f t="shared" ca="1" si="287"/>
        <v>General</v>
      </c>
    </row>
    <row r="1513" spans="1:12" x14ac:dyDescent="0.25">
      <c r="A1513">
        <f t="shared" si="276"/>
        <v>1512</v>
      </c>
      <c r="B1513">
        <f t="shared" ca="1" si="277"/>
        <v>80</v>
      </c>
      <c r="C1513" t="str">
        <f t="shared" ca="1" si="278"/>
        <v>Male</v>
      </c>
      <c r="D1513" s="1">
        <f t="shared" ca="1" si="279"/>
        <v>45590</v>
      </c>
      <c r="E1513" s="1">
        <f t="shared" ca="1" si="280"/>
        <v>45594</v>
      </c>
      <c r="F1513" t="str">
        <f t="shared" ca="1" si="281"/>
        <v>Heart Failure</v>
      </c>
      <c r="G1513" t="str">
        <f t="shared" ca="1" si="282"/>
        <v>Surgery</v>
      </c>
      <c r="H1513">
        <f t="shared" ca="1" si="283"/>
        <v>4</v>
      </c>
      <c r="I1513" t="str">
        <f t="shared" ca="1" si="284"/>
        <v>No</v>
      </c>
      <c r="J1513">
        <f t="shared" ca="1" si="285"/>
        <v>4</v>
      </c>
      <c r="K1513" t="str">
        <f t="shared" ca="1" si="286"/>
        <v>None</v>
      </c>
      <c r="L1513" t="str">
        <f t="shared" ca="1" si="287"/>
        <v>Neurology</v>
      </c>
    </row>
    <row r="1514" spans="1:12" x14ac:dyDescent="0.25">
      <c r="A1514">
        <f t="shared" si="276"/>
        <v>1513</v>
      </c>
      <c r="B1514">
        <f t="shared" ca="1" si="277"/>
        <v>73</v>
      </c>
      <c r="C1514" t="str">
        <f t="shared" ca="1" si="278"/>
        <v>Female</v>
      </c>
      <c r="D1514" s="1">
        <f t="shared" ca="1" si="279"/>
        <v>45426</v>
      </c>
      <c r="E1514" s="1">
        <f t="shared" ca="1" si="280"/>
        <v>45441</v>
      </c>
      <c r="F1514" t="str">
        <f t="shared" ca="1" si="281"/>
        <v>Heart Failure</v>
      </c>
      <c r="G1514" t="str">
        <f t="shared" ca="1" si="282"/>
        <v>Surgery</v>
      </c>
      <c r="H1514">
        <f t="shared" ca="1" si="283"/>
        <v>15</v>
      </c>
      <c r="I1514" t="str">
        <f t="shared" ca="1" si="284"/>
        <v>Yes</v>
      </c>
      <c r="J1514">
        <f t="shared" ca="1" si="285"/>
        <v>3</v>
      </c>
      <c r="K1514" t="str">
        <f t="shared" ca="1" si="286"/>
        <v>Public</v>
      </c>
      <c r="L1514" t="str">
        <f t="shared" ca="1" si="287"/>
        <v>Cardiology</v>
      </c>
    </row>
    <row r="1515" spans="1:12" x14ac:dyDescent="0.25">
      <c r="A1515">
        <f t="shared" si="276"/>
        <v>1514</v>
      </c>
      <c r="B1515">
        <f t="shared" ca="1" si="277"/>
        <v>55</v>
      </c>
      <c r="C1515" t="str">
        <f t="shared" ca="1" si="278"/>
        <v>Male</v>
      </c>
      <c r="D1515" s="1">
        <f t="shared" ca="1" si="279"/>
        <v>45589</v>
      </c>
      <c r="E1515" s="1">
        <f t="shared" ca="1" si="280"/>
        <v>45596</v>
      </c>
      <c r="F1515" t="str">
        <f t="shared" ca="1" si="281"/>
        <v>Diabetes</v>
      </c>
      <c r="G1515" t="str">
        <f t="shared" ca="1" si="282"/>
        <v>Therapy</v>
      </c>
      <c r="H1515">
        <f t="shared" ca="1" si="283"/>
        <v>7</v>
      </c>
      <c r="I1515" t="str">
        <f t="shared" ca="1" si="284"/>
        <v>No</v>
      </c>
      <c r="J1515">
        <f t="shared" ca="1" si="285"/>
        <v>2</v>
      </c>
      <c r="K1515" t="str">
        <f t="shared" ca="1" si="286"/>
        <v>None</v>
      </c>
      <c r="L1515" t="str">
        <f t="shared" ca="1" si="287"/>
        <v>Cardiology</v>
      </c>
    </row>
    <row r="1516" spans="1:12" x14ac:dyDescent="0.25">
      <c r="A1516">
        <f t="shared" si="276"/>
        <v>1515</v>
      </c>
      <c r="B1516">
        <f t="shared" ca="1" si="277"/>
        <v>41</v>
      </c>
      <c r="C1516" t="str">
        <f t="shared" ca="1" si="278"/>
        <v>Female</v>
      </c>
      <c r="D1516" s="1">
        <f t="shared" ca="1" si="279"/>
        <v>45421</v>
      </c>
      <c r="E1516" s="1">
        <f t="shared" ca="1" si="280"/>
        <v>45436</v>
      </c>
      <c r="F1516" t="str">
        <f t="shared" ca="1" si="281"/>
        <v>Heart Failure</v>
      </c>
      <c r="G1516" t="str">
        <f t="shared" ca="1" si="282"/>
        <v>Therapy</v>
      </c>
      <c r="H1516">
        <f t="shared" ca="1" si="283"/>
        <v>15</v>
      </c>
      <c r="I1516" t="str">
        <f t="shared" ca="1" si="284"/>
        <v>Yes</v>
      </c>
      <c r="J1516">
        <f t="shared" ca="1" si="285"/>
        <v>4</v>
      </c>
      <c r="K1516" t="str">
        <f t="shared" ca="1" si="286"/>
        <v>Public</v>
      </c>
      <c r="L1516" t="str">
        <f t="shared" ca="1" si="287"/>
        <v>ICU</v>
      </c>
    </row>
    <row r="1517" spans="1:12" x14ac:dyDescent="0.25">
      <c r="A1517">
        <f t="shared" si="276"/>
        <v>1516</v>
      </c>
      <c r="B1517">
        <f t="shared" ca="1" si="277"/>
        <v>81</v>
      </c>
      <c r="C1517" t="str">
        <f t="shared" ca="1" si="278"/>
        <v>Female</v>
      </c>
      <c r="D1517" s="1">
        <f t="shared" ca="1" si="279"/>
        <v>45481</v>
      </c>
      <c r="E1517" s="1">
        <f t="shared" ca="1" si="280"/>
        <v>45491</v>
      </c>
      <c r="F1517" t="str">
        <f t="shared" ca="1" si="281"/>
        <v>Hypertension</v>
      </c>
      <c r="G1517" t="str">
        <f t="shared" ca="1" si="282"/>
        <v>Therapy</v>
      </c>
      <c r="H1517">
        <f t="shared" ca="1" si="283"/>
        <v>10</v>
      </c>
      <c r="I1517" t="str">
        <f t="shared" ca="1" si="284"/>
        <v>Yes</v>
      </c>
      <c r="J1517">
        <f t="shared" ca="1" si="285"/>
        <v>2</v>
      </c>
      <c r="K1517" t="str">
        <f t="shared" ca="1" si="286"/>
        <v>None</v>
      </c>
      <c r="L1517" t="str">
        <f t="shared" ca="1" si="287"/>
        <v>ICU</v>
      </c>
    </row>
    <row r="1518" spans="1:12" x14ac:dyDescent="0.25">
      <c r="A1518">
        <f t="shared" si="276"/>
        <v>1517</v>
      </c>
      <c r="B1518">
        <f t="shared" ca="1" si="277"/>
        <v>40</v>
      </c>
      <c r="C1518" t="str">
        <f t="shared" ca="1" si="278"/>
        <v>Female</v>
      </c>
      <c r="D1518" s="1">
        <f t="shared" ca="1" si="279"/>
        <v>45332</v>
      </c>
      <c r="E1518" s="1">
        <f t="shared" ca="1" si="280"/>
        <v>45339</v>
      </c>
      <c r="F1518" t="str">
        <f t="shared" ca="1" si="281"/>
        <v>Hypertension</v>
      </c>
      <c r="G1518" t="str">
        <f t="shared" ca="1" si="282"/>
        <v>Surgery</v>
      </c>
      <c r="H1518">
        <f t="shared" ca="1" si="283"/>
        <v>7</v>
      </c>
      <c r="I1518" t="str">
        <f t="shared" ca="1" si="284"/>
        <v>No</v>
      </c>
      <c r="J1518">
        <f t="shared" ca="1" si="285"/>
        <v>1</v>
      </c>
      <c r="K1518" t="str">
        <f t="shared" ca="1" si="286"/>
        <v>None</v>
      </c>
      <c r="L1518" t="str">
        <f t="shared" ca="1" si="287"/>
        <v>Cardiology</v>
      </c>
    </row>
    <row r="1519" spans="1:12" x14ac:dyDescent="0.25">
      <c r="A1519">
        <f t="shared" si="276"/>
        <v>1518</v>
      </c>
      <c r="B1519">
        <f t="shared" ca="1" si="277"/>
        <v>86</v>
      </c>
      <c r="C1519" t="str">
        <f t="shared" ca="1" si="278"/>
        <v>Male</v>
      </c>
      <c r="D1519" s="1">
        <f t="shared" ca="1" si="279"/>
        <v>45494</v>
      </c>
      <c r="E1519" s="1">
        <f t="shared" ca="1" si="280"/>
        <v>45504</v>
      </c>
      <c r="F1519" t="str">
        <f t="shared" ca="1" si="281"/>
        <v>Pneumonia</v>
      </c>
      <c r="G1519" t="str">
        <f t="shared" ca="1" si="282"/>
        <v>Medication</v>
      </c>
      <c r="H1519">
        <f t="shared" ca="1" si="283"/>
        <v>10</v>
      </c>
      <c r="I1519" t="str">
        <f t="shared" ca="1" si="284"/>
        <v>Yes</v>
      </c>
      <c r="J1519">
        <f t="shared" ca="1" si="285"/>
        <v>4</v>
      </c>
      <c r="K1519" t="str">
        <f t="shared" ca="1" si="286"/>
        <v>Public</v>
      </c>
      <c r="L1519" t="str">
        <f t="shared" ca="1" si="287"/>
        <v>Neurology</v>
      </c>
    </row>
    <row r="1520" spans="1:12" x14ac:dyDescent="0.25">
      <c r="A1520">
        <f t="shared" si="276"/>
        <v>1519</v>
      </c>
      <c r="B1520">
        <f t="shared" ca="1" si="277"/>
        <v>43</v>
      </c>
      <c r="C1520" t="str">
        <f t="shared" ca="1" si="278"/>
        <v>Male</v>
      </c>
      <c r="D1520" s="1">
        <f t="shared" ca="1" si="279"/>
        <v>45431</v>
      </c>
      <c r="E1520" s="1">
        <f t="shared" ca="1" si="280"/>
        <v>45441</v>
      </c>
      <c r="F1520" t="str">
        <f t="shared" ca="1" si="281"/>
        <v>Diabetes</v>
      </c>
      <c r="G1520" t="str">
        <f t="shared" ca="1" si="282"/>
        <v>Medication</v>
      </c>
      <c r="H1520">
        <f t="shared" ca="1" si="283"/>
        <v>10</v>
      </c>
      <c r="I1520" t="str">
        <f t="shared" ca="1" si="284"/>
        <v>No</v>
      </c>
      <c r="J1520">
        <f t="shared" ca="1" si="285"/>
        <v>1</v>
      </c>
      <c r="K1520" t="str">
        <f t="shared" ca="1" si="286"/>
        <v>Public</v>
      </c>
      <c r="L1520" t="str">
        <f t="shared" ca="1" si="287"/>
        <v>ICU</v>
      </c>
    </row>
    <row r="1521" spans="1:12" x14ac:dyDescent="0.25">
      <c r="A1521">
        <f t="shared" si="276"/>
        <v>1520</v>
      </c>
      <c r="B1521">
        <f t="shared" ca="1" si="277"/>
        <v>22</v>
      </c>
      <c r="C1521" t="str">
        <f t="shared" ca="1" si="278"/>
        <v>Male</v>
      </c>
      <c r="D1521" s="1">
        <f t="shared" ca="1" si="279"/>
        <v>45351</v>
      </c>
      <c r="E1521" s="1">
        <f t="shared" ca="1" si="280"/>
        <v>45355</v>
      </c>
      <c r="F1521" t="str">
        <f t="shared" ca="1" si="281"/>
        <v>Stroke</v>
      </c>
      <c r="G1521" t="str">
        <f t="shared" ca="1" si="282"/>
        <v>Therapy</v>
      </c>
      <c r="H1521">
        <f t="shared" ca="1" si="283"/>
        <v>4</v>
      </c>
      <c r="I1521" t="str">
        <f t="shared" ca="1" si="284"/>
        <v>No</v>
      </c>
      <c r="J1521">
        <f t="shared" ca="1" si="285"/>
        <v>2</v>
      </c>
      <c r="K1521" t="str">
        <f t="shared" ca="1" si="286"/>
        <v>Private</v>
      </c>
      <c r="L1521" t="str">
        <f t="shared" ca="1" si="287"/>
        <v>ER</v>
      </c>
    </row>
    <row r="1522" spans="1:12" x14ac:dyDescent="0.25">
      <c r="A1522">
        <f t="shared" si="276"/>
        <v>1521</v>
      </c>
      <c r="B1522">
        <f t="shared" ca="1" si="277"/>
        <v>85</v>
      </c>
      <c r="C1522" t="str">
        <f t="shared" ca="1" si="278"/>
        <v>Male</v>
      </c>
      <c r="D1522" s="1">
        <f t="shared" ca="1" si="279"/>
        <v>45297</v>
      </c>
      <c r="E1522" s="1">
        <f t="shared" ca="1" si="280"/>
        <v>45299</v>
      </c>
      <c r="F1522" t="str">
        <f t="shared" ca="1" si="281"/>
        <v>Heart Failure</v>
      </c>
      <c r="G1522" t="str">
        <f t="shared" ca="1" si="282"/>
        <v>Medication</v>
      </c>
      <c r="H1522">
        <f t="shared" ca="1" si="283"/>
        <v>2</v>
      </c>
      <c r="I1522" t="str">
        <f t="shared" ca="1" si="284"/>
        <v>No</v>
      </c>
      <c r="J1522">
        <f t="shared" ca="1" si="285"/>
        <v>1</v>
      </c>
      <c r="K1522" t="str">
        <f t="shared" ca="1" si="286"/>
        <v>Private</v>
      </c>
      <c r="L1522" t="str">
        <f t="shared" ca="1" si="287"/>
        <v>General</v>
      </c>
    </row>
    <row r="1523" spans="1:12" x14ac:dyDescent="0.25">
      <c r="A1523">
        <f t="shared" si="276"/>
        <v>1522</v>
      </c>
      <c r="B1523">
        <f t="shared" ca="1" si="277"/>
        <v>22</v>
      </c>
      <c r="C1523" t="str">
        <f t="shared" ca="1" si="278"/>
        <v>Female</v>
      </c>
      <c r="D1523" s="1">
        <f t="shared" ca="1" si="279"/>
        <v>45413</v>
      </c>
      <c r="E1523" s="1">
        <f t="shared" ca="1" si="280"/>
        <v>45419</v>
      </c>
      <c r="F1523" t="str">
        <f t="shared" ca="1" si="281"/>
        <v>Hypertension</v>
      </c>
      <c r="G1523" t="str">
        <f t="shared" ca="1" si="282"/>
        <v>Surgery</v>
      </c>
      <c r="H1523">
        <f t="shared" ca="1" si="283"/>
        <v>6</v>
      </c>
      <c r="I1523" t="str">
        <f t="shared" ca="1" si="284"/>
        <v>No</v>
      </c>
      <c r="J1523">
        <f t="shared" ca="1" si="285"/>
        <v>2</v>
      </c>
      <c r="K1523" t="str">
        <f t="shared" ca="1" si="286"/>
        <v>Public</v>
      </c>
      <c r="L1523" t="str">
        <f t="shared" ca="1" si="287"/>
        <v>General</v>
      </c>
    </row>
    <row r="1524" spans="1:12" x14ac:dyDescent="0.25">
      <c r="A1524">
        <f t="shared" si="276"/>
        <v>1523</v>
      </c>
      <c r="B1524">
        <f t="shared" ca="1" si="277"/>
        <v>47</v>
      </c>
      <c r="C1524" t="str">
        <f t="shared" ca="1" si="278"/>
        <v>Male</v>
      </c>
      <c r="D1524" s="1">
        <f t="shared" ca="1" si="279"/>
        <v>45581</v>
      </c>
      <c r="E1524" s="1">
        <f t="shared" ca="1" si="280"/>
        <v>45594</v>
      </c>
      <c r="F1524" t="str">
        <f t="shared" ca="1" si="281"/>
        <v>Diabetes</v>
      </c>
      <c r="G1524" t="str">
        <f t="shared" ca="1" si="282"/>
        <v>Surgery</v>
      </c>
      <c r="H1524">
        <f t="shared" ca="1" si="283"/>
        <v>13</v>
      </c>
      <c r="I1524" t="str">
        <f t="shared" ca="1" si="284"/>
        <v>Yes</v>
      </c>
      <c r="J1524">
        <f t="shared" ca="1" si="285"/>
        <v>1</v>
      </c>
      <c r="K1524" t="str">
        <f t="shared" ca="1" si="286"/>
        <v>Public</v>
      </c>
      <c r="L1524" t="str">
        <f t="shared" ca="1" si="287"/>
        <v>Cardiology</v>
      </c>
    </row>
    <row r="1525" spans="1:12" x14ac:dyDescent="0.25">
      <c r="A1525">
        <f t="shared" si="276"/>
        <v>1524</v>
      </c>
      <c r="B1525">
        <f t="shared" ca="1" si="277"/>
        <v>57</v>
      </c>
      <c r="C1525" t="str">
        <f t="shared" ca="1" si="278"/>
        <v>Female</v>
      </c>
      <c r="D1525" s="1">
        <f t="shared" ca="1" si="279"/>
        <v>45518</v>
      </c>
      <c r="E1525" s="1">
        <f t="shared" ca="1" si="280"/>
        <v>45530</v>
      </c>
      <c r="F1525" t="str">
        <f t="shared" ca="1" si="281"/>
        <v>Diabetes</v>
      </c>
      <c r="G1525" t="str">
        <f t="shared" ca="1" si="282"/>
        <v>Therapy</v>
      </c>
      <c r="H1525">
        <f t="shared" ca="1" si="283"/>
        <v>12</v>
      </c>
      <c r="I1525" t="str">
        <f t="shared" ca="1" si="284"/>
        <v>No</v>
      </c>
      <c r="J1525">
        <f t="shared" ca="1" si="285"/>
        <v>4</v>
      </c>
      <c r="K1525" t="str">
        <f t="shared" ca="1" si="286"/>
        <v>Public</v>
      </c>
      <c r="L1525" t="str">
        <f t="shared" ca="1" si="287"/>
        <v>General</v>
      </c>
    </row>
    <row r="1526" spans="1:12" x14ac:dyDescent="0.25">
      <c r="A1526">
        <f t="shared" si="276"/>
        <v>1525</v>
      </c>
      <c r="B1526">
        <f t="shared" ca="1" si="277"/>
        <v>48</v>
      </c>
      <c r="C1526" t="str">
        <f t="shared" ca="1" si="278"/>
        <v>Male</v>
      </c>
      <c r="D1526" s="1">
        <f t="shared" ca="1" si="279"/>
        <v>45581</v>
      </c>
      <c r="E1526" s="1">
        <f t="shared" ca="1" si="280"/>
        <v>45591</v>
      </c>
      <c r="F1526" t="str">
        <f t="shared" ca="1" si="281"/>
        <v>Heart Failure</v>
      </c>
      <c r="G1526" t="str">
        <f t="shared" ca="1" si="282"/>
        <v>Medication</v>
      </c>
      <c r="H1526">
        <f t="shared" ca="1" si="283"/>
        <v>10</v>
      </c>
      <c r="I1526" t="str">
        <f t="shared" ca="1" si="284"/>
        <v>No</v>
      </c>
      <c r="J1526">
        <f t="shared" ca="1" si="285"/>
        <v>4</v>
      </c>
      <c r="K1526" t="str">
        <f t="shared" ca="1" si="286"/>
        <v>Public</v>
      </c>
      <c r="L1526" t="str">
        <f t="shared" ca="1" si="287"/>
        <v>General</v>
      </c>
    </row>
    <row r="1527" spans="1:12" x14ac:dyDescent="0.25">
      <c r="A1527">
        <f t="shared" si="276"/>
        <v>1526</v>
      </c>
      <c r="B1527">
        <f t="shared" ca="1" si="277"/>
        <v>37</v>
      </c>
      <c r="C1527" t="str">
        <f t="shared" ca="1" si="278"/>
        <v>Female</v>
      </c>
      <c r="D1527" s="1">
        <f t="shared" ca="1" si="279"/>
        <v>45603</v>
      </c>
      <c r="E1527" s="1">
        <f t="shared" ca="1" si="280"/>
        <v>45610</v>
      </c>
      <c r="F1527" t="str">
        <f t="shared" ca="1" si="281"/>
        <v>Stroke</v>
      </c>
      <c r="G1527" t="str">
        <f t="shared" ca="1" si="282"/>
        <v>Surgery</v>
      </c>
      <c r="H1527">
        <f t="shared" ca="1" si="283"/>
        <v>7</v>
      </c>
      <c r="I1527" t="str">
        <f t="shared" ca="1" si="284"/>
        <v>No</v>
      </c>
      <c r="J1527">
        <f t="shared" ca="1" si="285"/>
        <v>2</v>
      </c>
      <c r="K1527" t="str">
        <f t="shared" ca="1" si="286"/>
        <v>Private</v>
      </c>
      <c r="L1527" t="str">
        <f t="shared" ca="1" si="287"/>
        <v>Neurology</v>
      </c>
    </row>
    <row r="1528" spans="1:12" x14ac:dyDescent="0.25">
      <c r="A1528">
        <f t="shared" si="276"/>
        <v>1527</v>
      </c>
      <c r="B1528">
        <f t="shared" ca="1" si="277"/>
        <v>39</v>
      </c>
      <c r="C1528" t="str">
        <f t="shared" ca="1" si="278"/>
        <v>Male</v>
      </c>
      <c r="D1528" s="1">
        <f t="shared" ca="1" si="279"/>
        <v>45515</v>
      </c>
      <c r="E1528" s="1">
        <f t="shared" ca="1" si="280"/>
        <v>45517</v>
      </c>
      <c r="F1528" t="str">
        <f t="shared" ca="1" si="281"/>
        <v>Stroke</v>
      </c>
      <c r="G1528" t="str">
        <f t="shared" ca="1" si="282"/>
        <v>Surgery</v>
      </c>
      <c r="H1528">
        <f t="shared" ca="1" si="283"/>
        <v>2</v>
      </c>
      <c r="I1528" t="str">
        <f t="shared" ca="1" si="284"/>
        <v>No</v>
      </c>
      <c r="J1528">
        <f t="shared" ca="1" si="285"/>
        <v>1</v>
      </c>
      <c r="K1528" t="str">
        <f t="shared" ca="1" si="286"/>
        <v>None</v>
      </c>
      <c r="L1528" t="str">
        <f t="shared" ca="1" si="287"/>
        <v>General</v>
      </c>
    </row>
    <row r="1529" spans="1:12" x14ac:dyDescent="0.25">
      <c r="A1529">
        <f t="shared" si="276"/>
        <v>1528</v>
      </c>
      <c r="B1529">
        <f t="shared" ca="1" si="277"/>
        <v>82</v>
      </c>
      <c r="C1529" t="str">
        <f t="shared" ca="1" si="278"/>
        <v>Male</v>
      </c>
      <c r="D1529" s="1">
        <f t="shared" ca="1" si="279"/>
        <v>45621</v>
      </c>
      <c r="E1529" s="1">
        <f t="shared" ca="1" si="280"/>
        <v>45622</v>
      </c>
      <c r="F1529" t="str">
        <f t="shared" ca="1" si="281"/>
        <v>Hypertension</v>
      </c>
      <c r="G1529" t="str">
        <f t="shared" ca="1" si="282"/>
        <v>Therapy</v>
      </c>
      <c r="H1529">
        <f t="shared" ca="1" si="283"/>
        <v>1</v>
      </c>
      <c r="I1529" t="str">
        <f t="shared" ca="1" si="284"/>
        <v>Yes</v>
      </c>
      <c r="J1529">
        <f t="shared" ca="1" si="285"/>
        <v>3</v>
      </c>
      <c r="K1529" t="str">
        <f t="shared" ca="1" si="286"/>
        <v>None</v>
      </c>
      <c r="L1529" t="str">
        <f t="shared" ca="1" si="287"/>
        <v>ICU</v>
      </c>
    </row>
    <row r="1530" spans="1:12" x14ac:dyDescent="0.25">
      <c r="A1530">
        <f t="shared" si="276"/>
        <v>1529</v>
      </c>
      <c r="B1530">
        <f t="shared" ca="1" si="277"/>
        <v>64</v>
      </c>
      <c r="C1530" t="str">
        <f t="shared" ca="1" si="278"/>
        <v>Female</v>
      </c>
      <c r="D1530" s="1">
        <f t="shared" ca="1" si="279"/>
        <v>45447</v>
      </c>
      <c r="E1530" s="1">
        <f t="shared" ca="1" si="280"/>
        <v>45456</v>
      </c>
      <c r="F1530" t="str">
        <f t="shared" ca="1" si="281"/>
        <v>Diabetes</v>
      </c>
      <c r="G1530" t="str">
        <f t="shared" ca="1" si="282"/>
        <v>Therapy</v>
      </c>
      <c r="H1530">
        <f t="shared" ca="1" si="283"/>
        <v>9</v>
      </c>
      <c r="I1530" t="str">
        <f t="shared" ca="1" si="284"/>
        <v>No</v>
      </c>
      <c r="J1530">
        <f t="shared" ca="1" si="285"/>
        <v>3</v>
      </c>
      <c r="K1530" t="str">
        <f t="shared" ca="1" si="286"/>
        <v>Public</v>
      </c>
      <c r="L1530" t="str">
        <f t="shared" ca="1" si="287"/>
        <v>ICU</v>
      </c>
    </row>
    <row r="1531" spans="1:12" x14ac:dyDescent="0.25">
      <c r="A1531">
        <f t="shared" si="276"/>
        <v>1530</v>
      </c>
      <c r="B1531">
        <f t="shared" ca="1" si="277"/>
        <v>61</v>
      </c>
      <c r="C1531" t="str">
        <f t="shared" ca="1" si="278"/>
        <v>Male</v>
      </c>
      <c r="D1531" s="1">
        <f t="shared" ca="1" si="279"/>
        <v>45317</v>
      </c>
      <c r="E1531" s="1">
        <f t="shared" ca="1" si="280"/>
        <v>45331</v>
      </c>
      <c r="F1531" t="str">
        <f t="shared" ca="1" si="281"/>
        <v>Hypertension</v>
      </c>
      <c r="G1531" t="str">
        <f t="shared" ca="1" si="282"/>
        <v>Medication</v>
      </c>
      <c r="H1531">
        <f t="shared" ca="1" si="283"/>
        <v>14</v>
      </c>
      <c r="I1531" t="str">
        <f t="shared" ca="1" si="284"/>
        <v>No</v>
      </c>
      <c r="J1531">
        <f t="shared" ca="1" si="285"/>
        <v>3</v>
      </c>
      <c r="K1531" t="str">
        <f t="shared" ca="1" si="286"/>
        <v>None</v>
      </c>
      <c r="L1531" t="str">
        <f t="shared" ca="1" si="287"/>
        <v>ER</v>
      </c>
    </row>
    <row r="1532" spans="1:12" x14ac:dyDescent="0.25">
      <c r="A1532">
        <f t="shared" si="276"/>
        <v>1531</v>
      </c>
      <c r="B1532">
        <f t="shared" ca="1" si="277"/>
        <v>86</v>
      </c>
      <c r="C1532" t="str">
        <f t="shared" ca="1" si="278"/>
        <v>Female</v>
      </c>
      <c r="D1532" s="1">
        <f t="shared" ca="1" si="279"/>
        <v>45518</v>
      </c>
      <c r="E1532" s="1">
        <f t="shared" ca="1" si="280"/>
        <v>45531</v>
      </c>
      <c r="F1532" t="str">
        <f t="shared" ca="1" si="281"/>
        <v>Pneumonia</v>
      </c>
      <c r="G1532" t="str">
        <f t="shared" ca="1" si="282"/>
        <v>Medication</v>
      </c>
      <c r="H1532">
        <f t="shared" ca="1" si="283"/>
        <v>13</v>
      </c>
      <c r="I1532" t="str">
        <f t="shared" ca="1" si="284"/>
        <v>No</v>
      </c>
      <c r="J1532">
        <f t="shared" ca="1" si="285"/>
        <v>4</v>
      </c>
      <c r="K1532" t="str">
        <f t="shared" ca="1" si="286"/>
        <v>Public</v>
      </c>
      <c r="L1532" t="str">
        <f t="shared" ca="1" si="287"/>
        <v>ICU</v>
      </c>
    </row>
    <row r="1533" spans="1:12" x14ac:dyDescent="0.25">
      <c r="A1533">
        <f t="shared" si="276"/>
        <v>1532</v>
      </c>
      <c r="B1533">
        <f t="shared" ca="1" si="277"/>
        <v>44</v>
      </c>
      <c r="C1533" t="str">
        <f t="shared" ca="1" si="278"/>
        <v>Male</v>
      </c>
      <c r="D1533" s="1">
        <f t="shared" ca="1" si="279"/>
        <v>45619</v>
      </c>
      <c r="E1533" s="1">
        <f t="shared" ca="1" si="280"/>
        <v>45623</v>
      </c>
      <c r="F1533" t="str">
        <f t="shared" ca="1" si="281"/>
        <v>Diabetes</v>
      </c>
      <c r="G1533" t="str">
        <f t="shared" ca="1" si="282"/>
        <v>Therapy</v>
      </c>
      <c r="H1533">
        <f t="shared" ca="1" si="283"/>
        <v>4</v>
      </c>
      <c r="I1533" t="str">
        <f t="shared" ca="1" si="284"/>
        <v>No</v>
      </c>
      <c r="J1533">
        <f t="shared" ca="1" si="285"/>
        <v>0</v>
      </c>
      <c r="K1533" t="str">
        <f t="shared" ca="1" si="286"/>
        <v>None</v>
      </c>
      <c r="L1533" t="str">
        <f t="shared" ca="1" si="287"/>
        <v>Neurology</v>
      </c>
    </row>
    <row r="1534" spans="1:12" x14ac:dyDescent="0.25">
      <c r="A1534">
        <f t="shared" si="276"/>
        <v>1533</v>
      </c>
      <c r="B1534">
        <f t="shared" ca="1" si="277"/>
        <v>28</v>
      </c>
      <c r="C1534" t="str">
        <f t="shared" ca="1" si="278"/>
        <v>Male</v>
      </c>
      <c r="D1534" s="1">
        <f t="shared" ca="1" si="279"/>
        <v>45437</v>
      </c>
      <c r="E1534" s="1">
        <f t="shared" ca="1" si="280"/>
        <v>45452</v>
      </c>
      <c r="F1534" t="str">
        <f t="shared" ca="1" si="281"/>
        <v>Diabetes</v>
      </c>
      <c r="G1534" t="str">
        <f t="shared" ca="1" si="282"/>
        <v>Medication</v>
      </c>
      <c r="H1534">
        <f t="shared" ca="1" si="283"/>
        <v>15</v>
      </c>
      <c r="I1534" t="str">
        <f t="shared" ca="1" si="284"/>
        <v>No</v>
      </c>
      <c r="J1534">
        <f t="shared" ca="1" si="285"/>
        <v>0</v>
      </c>
      <c r="K1534" t="str">
        <f t="shared" ca="1" si="286"/>
        <v>Public</v>
      </c>
      <c r="L1534" t="str">
        <f t="shared" ca="1" si="287"/>
        <v>ER</v>
      </c>
    </row>
    <row r="1535" spans="1:12" x14ac:dyDescent="0.25">
      <c r="A1535">
        <f t="shared" si="276"/>
        <v>1534</v>
      </c>
      <c r="B1535">
        <f t="shared" ca="1" si="277"/>
        <v>67</v>
      </c>
      <c r="C1535" t="str">
        <f t="shared" ca="1" si="278"/>
        <v>Male</v>
      </c>
      <c r="D1535" s="1">
        <f t="shared" ca="1" si="279"/>
        <v>45362</v>
      </c>
      <c r="E1535" s="1">
        <f t="shared" ca="1" si="280"/>
        <v>45372</v>
      </c>
      <c r="F1535" t="str">
        <f t="shared" ca="1" si="281"/>
        <v>Hypertension</v>
      </c>
      <c r="G1535" t="str">
        <f t="shared" ca="1" si="282"/>
        <v>Surgery</v>
      </c>
      <c r="H1535">
        <f t="shared" ca="1" si="283"/>
        <v>10</v>
      </c>
      <c r="I1535" t="str">
        <f t="shared" ca="1" si="284"/>
        <v>No</v>
      </c>
      <c r="J1535">
        <f t="shared" ca="1" si="285"/>
        <v>0</v>
      </c>
      <c r="K1535" t="str">
        <f t="shared" ca="1" si="286"/>
        <v>Private</v>
      </c>
      <c r="L1535" t="str">
        <f t="shared" ca="1" si="287"/>
        <v>Cardiology</v>
      </c>
    </row>
    <row r="1536" spans="1:12" x14ac:dyDescent="0.25">
      <c r="A1536">
        <f t="shared" si="276"/>
        <v>1535</v>
      </c>
      <c r="B1536">
        <f t="shared" ca="1" si="277"/>
        <v>65</v>
      </c>
      <c r="C1536" t="str">
        <f t="shared" ca="1" si="278"/>
        <v>Female</v>
      </c>
      <c r="D1536" s="1">
        <f t="shared" ca="1" si="279"/>
        <v>45483</v>
      </c>
      <c r="E1536" s="1">
        <f t="shared" ca="1" si="280"/>
        <v>45490</v>
      </c>
      <c r="F1536" t="str">
        <f t="shared" ca="1" si="281"/>
        <v>Heart Failure</v>
      </c>
      <c r="G1536" t="str">
        <f t="shared" ca="1" si="282"/>
        <v>Surgery</v>
      </c>
      <c r="H1536">
        <f t="shared" ca="1" si="283"/>
        <v>7</v>
      </c>
      <c r="I1536" t="str">
        <f t="shared" ca="1" si="284"/>
        <v>No</v>
      </c>
      <c r="J1536">
        <f t="shared" ca="1" si="285"/>
        <v>3</v>
      </c>
      <c r="K1536" t="str">
        <f t="shared" ca="1" si="286"/>
        <v>Private</v>
      </c>
      <c r="L1536" t="str">
        <f t="shared" ca="1" si="287"/>
        <v>ICU</v>
      </c>
    </row>
    <row r="1537" spans="1:12" x14ac:dyDescent="0.25">
      <c r="A1537">
        <f t="shared" si="276"/>
        <v>1536</v>
      </c>
      <c r="B1537">
        <f t="shared" ca="1" si="277"/>
        <v>43</v>
      </c>
      <c r="C1537" t="str">
        <f t="shared" ca="1" si="278"/>
        <v>Male</v>
      </c>
      <c r="D1537" s="1">
        <f t="shared" ca="1" si="279"/>
        <v>45562</v>
      </c>
      <c r="E1537" s="1">
        <f t="shared" ca="1" si="280"/>
        <v>45568</v>
      </c>
      <c r="F1537" t="str">
        <f t="shared" ca="1" si="281"/>
        <v>Diabetes</v>
      </c>
      <c r="G1537" t="str">
        <f t="shared" ca="1" si="282"/>
        <v>Medication</v>
      </c>
      <c r="H1537">
        <f t="shared" ca="1" si="283"/>
        <v>6</v>
      </c>
      <c r="I1537" t="str">
        <f t="shared" ca="1" si="284"/>
        <v>Yes</v>
      </c>
      <c r="J1537">
        <f t="shared" ca="1" si="285"/>
        <v>3</v>
      </c>
      <c r="K1537" t="str">
        <f t="shared" ca="1" si="286"/>
        <v>Public</v>
      </c>
      <c r="L1537" t="str">
        <f t="shared" ca="1" si="287"/>
        <v>Neurology</v>
      </c>
    </row>
    <row r="1538" spans="1:12" x14ac:dyDescent="0.25">
      <c r="A1538">
        <f t="shared" si="276"/>
        <v>1537</v>
      </c>
      <c r="B1538">
        <f t="shared" ca="1" si="277"/>
        <v>81</v>
      </c>
      <c r="C1538" t="str">
        <f t="shared" ca="1" si="278"/>
        <v>Male</v>
      </c>
      <c r="D1538" s="1">
        <f t="shared" ca="1" si="279"/>
        <v>45542</v>
      </c>
      <c r="E1538" s="1">
        <f t="shared" ca="1" si="280"/>
        <v>45545</v>
      </c>
      <c r="F1538" t="str">
        <f t="shared" ca="1" si="281"/>
        <v>Diabetes</v>
      </c>
      <c r="G1538" t="str">
        <f t="shared" ca="1" si="282"/>
        <v>Therapy</v>
      </c>
      <c r="H1538">
        <f t="shared" ca="1" si="283"/>
        <v>3</v>
      </c>
      <c r="I1538" t="str">
        <f t="shared" ca="1" si="284"/>
        <v>No</v>
      </c>
      <c r="J1538">
        <f t="shared" ca="1" si="285"/>
        <v>1</v>
      </c>
      <c r="K1538" t="str">
        <f t="shared" ca="1" si="286"/>
        <v>Private</v>
      </c>
      <c r="L1538" t="str">
        <f t="shared" ca="1" si="287"/>
        <v>ICU</v>
      </c>
    </row>
    <row r="1539" spans="1:12" x14ac:dyDescent="0.25">
      <c r="A1539">
        <f t="shared" ref="A1539:A1602" si="288">ROW() -1</f>
        <v>1538</v>
      </c>
      <c r="B1539">
        <f t="shared" ref="B1539:B1602" ca="1" si="289">RANDBETWEEN(20,90)</f>
        <v>59</v>
      </c>
      <c r="C1539" t="str">
        <f t="shared" ref="C1539:C1602" ca="1" si="290">IF(RAND()&lt;0.5,"Male","Female")</f>
        <v>Male</v>
      </c>
      <c r="D1539" s="1">
        <f t="shared" ref="D1539:D1602" ca="1" si="291">DATE(2024,1,1)+RANDBETWEEN(0,364)</f>
        <v>45473</v>
      </c>
      <c r="E1539" s="1">
        <f t="shared" ref="E1539:E1602" ca="1" si="292">D1539+RANDBETWEEN(1,15)</f>
        <v>45486</v>
      </c>
      <c r="F1539" t="str">
        <f t="shared" ref="F1539:F1602" ca="1" si="293">CHOOSE(RANDBETWEEN(1,5),"Diabetes","Heart Failure","Pneumonia","Stroke","Hypertension")</f>
        <v>Pneumonia</v>
      </c>
      <c r="G1539" t="str">
        <f t="shared" ref="G1539:G1602" ca="1" si="294">CHOOSE(RANDBETWEEN(1,3),"Medication","Surgery","Therapy")</f>
        <v>Surgery</v>
      </c>
      <c r="H1539">
        <f t="shared" ref="H1539:H1602" ca="1" si="295">DATEDIF(D1539,E1539,"D")</f>
        <v>13</v>
      </c>
      <c r="I1539" t="str">
        <f t="shared" ref="I1539:I1602" ca="1" si="296">IF(RAND()&lt;0.3,"Yes","No")</f>
        <v>No</v>
      </c>
      <c r="J1539">
        <f t="shared" ref="J1539:J1602" ca="1" si="297">RANDBETWEEN(0,4)</f>
        <v>0</v>
      </c>
      <c r="K1539" t="str">
        <f t="shared" ref="K1539:K1602" ca="1" si="298">CHOOSE(RANDBETWEEN(1,3),"Private","Public","None")</f>
        <v>Private</v>
      </c>
      <c r="L1539" t="str">
        <f t="shared" ref="L1539:L1602" ca="1" si="299">CHOOSE(RANDBETWEEN(1,5),"ER","Cardiology","Neurology","General","ICU")</f>
        <v>General</v>
      </c>
    </row>
    <row r="1540" spans="1:12" x14ac:dyDescent="0.25">
      <c r="A1540">
        <f t="shared" si="288"/>
        <v>1539</v>
      </c>
      <c r="B1540">
        <f t="shared" ca="1" si="289"/>
        <v>74</v>
      </c>
      <c r="C1540" t="str">
        <f t="shared" ca="1" si="290"/>
        <v>Female</v>
      </c>
      <c r="D1540" s="1">
        <f t="shared" ca="1" si="291"/>
        <v>45603</v>
      </c>
      <c r="E1540" s="1">
        <f t="shared" ca="1" si="292"/>
        <v>45611</v>
      </c>
      <c r="F1540" t="str">
        <f t="shared" ca="1" si="293"/>
        <v>Heart Failure</v>
      </c>
      <c r="G1540" t="str">
        <f t="shared" ca="1" si="294"/>
        <v>Therapy</v>
      </c>
      <c r="H1540">
        <f t="shared" ca="1" si="295"/>
        <v>8</v>
      </c>
      <c r="I1540" t="str">
        <f t="shared" ca="1" si="296"/>
        <v>No</v>
      </c>
      <c r="J1540">
        <f t="shared" ca="1" si="297"/>
        <v>1</v>
      </c>
      <c r="K1540" t="str">
        <f t="shared" ca="1" si="298"/>
        <v>None</v>
      </c>
      <c r="L1540" t="str">
        <f t="shared" ca="1" si="299"/>
        <v>General</v>
      </c>
    </row>
    <row r="1541" spans="1:12" x14ac:dyDescent="0.25">
      <c r="A1541">
        <f t="shared" si="288"/>
        <v>1540</v>
      </c>
      <c r="B1541">
        <f t="shared" ca="1" si="289"/>
        <v>81</v>
      </c>
      <c r="C1541" t="str">
        <f t="shared" ca="1" si="290"/>
        <v>Female</v>
      </c>
      <c r="D1541" s="1">
        <f t="shared" ca="1" si="291"/>
        <v>45581</v>
      </c>
      <c r="E1541" s="1">
        <f t="shared" ca="1" si="292"/>
        <v>45595</v>
      </c>
      <c r="F1541" t="str">
        <f t="shared" ca="1" si="293"/>
        <v>Hypertension</v>
      </c>
      <c r="G1541" t="str">
        <f t="shared" ca="1" si="294"/>
        <v>Surgery</v>
      </c>
      <c r="H1541">
        <f t="shared" ca="1" si="295"/>
        <v>14</v>
      </c>
      <c r="I1541" t="str">
        <f t="shared" ca="1" si="296"/>
        <v>Yes</v>
      </c>
      <c r="J1541">
        <f t="shared" ca="1" si="297"/>
        <v>3</v>
      </c>
      <c r="K1541" t="str">
        <f t="shared" ca="1" si="298"/>
        <v>Private</v>
      </c>
      <c r="L1541" t="str">
        <f t="shared" ca="1" si="299"/>
        <v>Neurology</v>
      </c>
    </row>
    <row r="1542" spans="1:12" x14ac:dyDescent="0.25">
      <c r="A1542">
        <f t="shared" si="288"/>
        <v>1541</v>
      </c>
      <c r="B1542">
        <f t="shared" ca="1" si="289"/>
        <v>46</v>
      </c>
      <c r="C1542" t="str">
        <f t="shared" ca="1" si="290"/>
        <v>Male</v>
      </c>
      <c r="D1542" s="1">
        <f t="shared" ca="1" si="291"/>
        <v>45497</v>
      </c>
      <c r="E1542" s="1">
        <f t="shared" ca="1" si="292"/>
        <v>45505</v>
      </c>
      <c r="F1542" t="str">
        <f t="shared" ca="1" si="293"/>
        <v>Heart Failure</v>
      </c>
      <c r="G1542" t="str">
        <f t="shared" ca="1" si="294"/>
        <v>Medication</v>
      </c>
      <c r="H1542">
        <f t="shared" ca="1" si="295"/>
        <v>8</v>
      </c>
      <c r="I1542" t="str">
        <f t="shared" ca="1" si="296"/>
        <v>No</v>
      </c>
      <c r="J1542">
        <f t="shared" ca="1" si="297"/>
        <v>4</v>
      </c>
      <c r="K1542" t="str">
        <f t="shared" ca="1" si="298"/>
        <v>Private</v>
      </c>
      <c r="L1542" t="str">
        <f t="shared" ca="1" si="299"/>
        <v>General</v>
      </c>
    </row>
    <row r="1543" spans="1:12" x14ac:dyDescent="0.25">
      <c r="A1543">
        <f t="shared" si="288"/>
        <v>1542</v>
      </c>
      <c r="B1543">
        <f t="shared" ca="1" si="289"/>
        <v>67</v>
      </c>
      <c r="C1543" t="str">
        <f t="shared" ca="1" si="290"/>
        <v>Female</v>
      </c>
      <c r="D1543" s="1">
        <f t="shared" ca="1" si="291"/>
        <v>45511</v>
      </c>
      <c r="E1543" s="1">
        <f t="shared" ca="1" si="292"/>
        <v>45525</v>
      </c>
      <c r="F1543" t="str">
        <f t="shared" ca="1" si="293"/>
        <v>Stroke</v>
      </c>
      <c r="G1543" t="str">
        <f t="shared" ca="1" si="294"/>
        <v>Medication</v>
      </c>
      <c r="H1543">
        <f t="shared" ca="1" si="295"/>
        <v>14</v>
      </c>
      <c r="I1543" t="str">
        <f t="shared" ca="1" si="296"/>
        <v>No</v>
      </c>
      <c r="J1543">
        <f t="shared" ca="1" si="297"/>
        <v>3</v>
      </c>
      <c r="K1543" t="str">
        <f t="shared" ca="1" si="298"/>
        <v>None</v>
      </c>
      <c r="L1543" t="str">
        <f t="shared" ca="1" si="299"/>
        <v>ICU</v>
      </c>
    </row>
    <row r="1544" spans="1:12" x14ac:dyDescent="0.25">
      <c r="A1544">
        <f t="shared" si="288"/>
        <v>1543</v>
      </c>
      <c r="B1544">
        <f t="shared" ca="1" si="289"/>
        <v>73</v>
      </c>
      <c r="C1544" t="str">
        <f t="shared" ca="1" si="290"/>
        <v>Female</v>
      </c>
      <c r="D1544" s="1">
        <f t="shared" ca="1" si="291"/>
        <v>45413</v>
      </c>
      <c r="E1544" s="1">
        <f t="shared" ca="1" si="292"/>
        <v>45417</v>
      </c>
      <c r="F1544" t="str">
        <f t="shared" ca="1" si="293"/>
        <v>Diabetes</v>
      </c>
      <c r="G1544" t="str">
        <f t="shared" ca="1" si="294"/>
        <v>Surgery</v>
      </c>
      <c r="H1544">
        <f t="shared" ca="1" si="295"/>
        <v>4</v>
      </c>
      <c r="I1544" t="str">
        <f t="shared" ca="1" si="296"/>
        <v>No</v>
      </c>
      <c r="J1544">
        <f t="shared" ca="1" si="297"/>
        <v>2</v>
      </c>
      <c r="K1544" t="str">
        <f t="shared" ca="1" si="298"/>
        <v>None</v>
      </c>
      <c r="L1544" t="str">
        <f t="shared" ca="1" si="299"/>
        <v>General</v>
      </c>
    </row>
    <row r="1545" spans="1:12" x14ac:dyDescent="0.25">
      <c r="A1545">
        <f t="shared" si="288"/>
        <v>1544</v>
      </c>
      <c r="B1545">
        <f t="shared" ca="1" si="289"/>
        <v>81</v>
      </c>
      <c r="C1545" t="str">
        <f t="shared" ca="1" si="290"/>
        <v>Male</v>
      </c>
      <c r="D1545" s="1">
        <f t="shared" ca="1" si="291"/>
        <v>45547</v>
      </c>
      <c r="E1545" s="1">
        <f t="shared" ca="1" si="292"/>
        <v>45559</v>
      </c>
      <c r="F1545" t="str">
        <f t="shared" ca="1" si="293"/>
        <v>Heart Failure</v>
      </c>
      <c r="G1545" t="str">
        <f t="shared" ca="1" si="294"/>
        <v>Therapy</v>
      </c>
      <c r="H1545">
        <f t="shared" ca="1" si="295"/>
        <v>12</v>
      </c>
      <c r="I1545" t="str">
        <f t="shared" ca="1" si="296"/>
        <v>Yes</v>
      </c>
      <c r="J1545">
        <f t="shared" ca="1" si="297"/>
        <v>0</v>
      </c>
      <c r="K1545" t="str">
        <f t="shared" ca="1" si="298"/>
        <v>Private</v>
      </c>
      <c r="L1545" t="str">
        <f t="shared" ca="1" si="299"/>
        <v>Neurology</v>
      </c>
    </row>
    <row r="1546" spans="1:12" x14ac:dyDescent="0.25">
      <c r="A1546">
        <f t="shared" si="288"/>
        <v>1545</v>
      </c>
      <c r="B1546">
        <f t="shared" ca="1" si="289"/>
        <v>59</v>
      </c>
      <c r="C1546" t="str">
        <f t="shared" ca="1" si="290"/>
        <v>Female</v>
      </c>
      <c r="D1546" s="1">
        <f t="shared" ca="1" si="291"/>
        <v>45435</v>
      </c>
      <c r="E1546" s="1">
        <f t="shared" ca="1" si="292"/>
        <v>45445</v>
      </c>
      <c r="F1546" t="str">
        <f t="shared" ca="1" si="293"/>
        <v>Diabetes</v>
      </c>
      <c r="G1546" t="str">
        <f t="shared" ca="1" si="294"/>
        <v>Medication</v>
      </c>
      <c r="H1546">
        <f t="shared" ca="1" si="295"/>
        <v>10</v>
      </c>
      <c r="I1546" t="str">
        <f t="shared" ca="1" si="296"/>
        <v>No</v>
      </c>
      <c r="J1546">
        <f t="shared" ca="1" si="297"/>
        <v>2</v>
      </c>
      <c r="K1546" t="str">
        <f t="shared" ca="1" si="298"/>
        <v>Public</v>
      </c>
      <c r="L1546" t="str">
        <f t="shared" ca="1" si="299"/>
        <v>ICU</v>
      </c>
    </row>
    <row r="1547" spans="1:12" x14ac:dyDescent="0.25">
      <c r="A1547">
        <f t="shared" si="288"/>
        <v>1546</v>
      </c>
      <c r="B1547">
        <f t="shared" ca="1" si="289"/>
        <v>63</v>
      </c>
      <c r="C1547" t="str">
        <f t="shared" ca="1" si="290"/>
        <v>Male</v>
      </c>
      <c r="D1547" s="1">
        <f t="shared" ca="1" si="291"/>
        <v>45637</v>
      </c>
      <c r="E1547" s="1">
        <f t="shared" ca="1" si="292"/>
        <v>45643</v>
      </c>
      <c r="F1547" t="str">
        <f t="shared" ca="1" si="293"/>
        <v>Stroke</v>
      </c>
      <c r="G1547" t="str">
        <f t="shared" ca="1" si="294"/>
        <v>Surgery</v>
      </c>
      <c r="H1547">
        <f t="shared" ca="1" si="295"/>
        <v>6</v>
      </c>
      <c r="I1547" t="str">
        <f t="shared" ca="1" si="296"/>
        <v>Yes</v>
      </c>
      <c r="J1547">
        <f t="shared" ca="1" si="297"/>
        <v>1</v>
      </c>
      <c r="K1547" t="str">
        <f t="shared" ca="1" si="298"/>
        <v>Public</v>
      </c>
      <c r="L1547" t="str">
        <f t="shared" ca="1" si="299"/>
        <v>ICU</v>
      </c>
    </row>
    <row r="1548" spans="1:12" x14ac:dyDescent="0.25">
      <c r="A1548">
        <f t="shared" si="288"/>
        <v>1547</v>
      </c>
      <c r="B1548">
        <f t="shared" ca="1" si="289"/>
        <v>49</v>
      </c>
      <c r="C1548" t="str">
        <f t="shared" ca="1" si="290"/>
        <v>Male</v>
      </c>
      <c r="D1548" s="1">
        <f t="shared" ca="1" si="291"/>
        <v>45426</v>
      </c>
      <c r="E1548" s="1">
        <f t="shared" ca="1" si="292"/>
        <v>45435</v>
      </c>
      <c r="F1548" t="str">
        <f t="shared" ca="1" si="293"/>
        <v>Diabetes</v>
      </c>
      <c r="G1548" t="str">
        <f t="shared" ca="1" si="294"/>
        <v>Medication</v>
      </c>
      <c r="H1548">
        <f t="shared" ca="1" si="295"/>
        <v>9</v>
      </c>
      <c r="I1548" t="str">
        <f t="shared" ca="1" si="296"/>
        <v>Yes</v>
      </c>
      <c r="J1548">
        <f t="shared" ca="1" si="297"/>
        <v>0</v>
      </c>
      <c r="K1548" t="str">
        <f t="shared" ca="1" si="298"/>
        <v>None</v>
      </c>
      <c r="L1548" t="str">
        <f t="shared" ca="1" si="299"/>
        <v>General</v>
      </c>
    </row>
    <row r="1549" spans="1:12" x14ac:dyDescent="0.25">
      <c r="A1549">
        <f t="shared" si="288"/>
        <v>1548</v>
      </c>
      <c r="B1549">
        <f t="shared" ca="1" si="289"/>
        <v>41</v>
      </c>
      <c r="C1549" t="str">
        <f t="shared" ca="1" si="290"/>
        <v>Male</v>
      </c>
      <c r="D1549" s="1">
        <f t="shared" ca="1" si="291"/>
        <v>45504</v>
      </c>
      <c r="E1549" s="1">
        <f t="shared" ca="1" si="292"/>
        <v>45508</v>
      </c>
      <c r="F1549" t="str">
        <f t="shared" ca="1" si="293"/>
        <v>Hypertension</v>
      </c>
      <c r="G1549" t="str">
        <f t="shared" ca="1" si="294"/>
        <v>Therapy</v>
      </c>
      <c r="H1549">
        <f t="shared" ca="1" si="295"/>
        <v>4</v>
      </c>
      <c r="I1549" t="str">
        <f t="shared" ca="1" si="296"/>
        <v>No</v>
      </c>
      <c r="J1549">
        <f t="shared" ca="1" si="297"/>
        <v>2</v>
      </c>
      <c r="K1549" t="str">
        <f t="shared" ca="1" si="298"/>
        <v>None</v>
      </c>
      <c r="L1549" t="str">
        <f t="shared" ca="1" si="299"/>
        <v>ER</v>
      </c>
    </row>
    <row r="1550" spans="1:12" x14ac:dyDescent="0.25">
      <c r="A1550">
        <f t="shared" si="288"/>
        <v>1549</v>
      </c>
      <c r="B1550">
        <f t="shared" ca="1" si="289"/>
        <v>29</v>
      </c>
      <c r="C1550" t="str">
        <f t="shared" ca="1" si="290"/>
        <v>Male</v>
      </c>
      <c r="D1550" s="1">
        <f t="shared" ca="1" si="291"/>
        <v>45336</v>
      </c>
      <c r="E1550" s="1">
        <f t="shared" ca="1" si="292"/>
        <v>45338</v>
      </c>
      <c r="F1550" t="str">
        <f t="shared" ca="1" si="293"/>
        <v>Hypertension</v>
      </c>
      <c r="G1550" t="str">
        <f t="shared" ca="1" si="294"/>
        <v>Surgery</v>
      </c>
      <c r="H1550">
        <f t="shared" ca="1" si="295"/>
        <v>2</v>
      </c>
      <c r="I1550" t="str">
        <f t="shared" ca="1" si="296"/>
        <v>No</v>
      </c>
      <c r="J1550">
        <f t="shared" ca="1" si="297"/>
        <v>2</v>
      </c>
      <c r="K1550" t="str">
        <f t="shared" ca="1" si="298"/>
        <v>Private</v>
      </c>
      <c r="L1550" t="str">
        <f t="shared" ca="1" si="299"/>
        <v>Cardiology</v>
      </c>
    </row>
    <row r="1551" spans="1:12" x14ac:dyDescent="0.25">
      <c r="A1551">
        <f t="shared" si="288"/>
        <v>1550</v>
      </c>
      <c r="B1551">
        <f t="shared" ca="1" si="289"/>
        <v>85</v>
      </c>
      <c r="C1551" t="str">
        <f t="shared" ca="1" si="290"/>
        <v>Female</v>
      </c>
      <c r="D1551" s="1">
        <f t="shared" ca="1" si="291"/>
        <v>45488</v>
      </c>
      <c r="E1551" s="1">
        <f t="shared" ca="1" si="292"/>
        <v>45499</v>
      </c>
      <c r="F1551" t="str">
        <f t="shared" ca="1" si="293"/>
        <v>Heart Failure</v>
      </c>
      <c r="G1551" t="str">
        <f t="shared" ca="1" si="294"/>
        <v>Therapy</v>
      </c>
      <c r="H1551">
        <f t="shared" ca="1" si="295"/>
        <v>11</v>
      </c>
      <c r="I1551" t="str">
        <f t="shared" ca="1" si="296"/>
        <v>No</v>
      </c>
      <c r="J1551">
        <f t="shared" ca="1" si="297"/>
        <v>0</v>
      </c>
      <c r="K1551" t="str">
        <f t="shared" ca="1" si="298"/>
        <v>None</v>
      </c>
      <c r="L1551" t="str">
        <f t="shared" ca="1" si="299"/>
        <v>ICU</v>
      </c>
    </row>
    <row r="1552" spans="1:12" x14ac:dyDescent="0.25">
      <c r="A1552">
        <f t="shared" si="288"/>
        <v>1551</v>
      </c>
      <c r="B1552">
        <f t="shared" ca="1" si="289"/>
        <v>37</v>
      </c>
      <c r="C1552" t="str">
        <f t="shared" ca="1" si="290"/>
        <v>Female</v>
      </c>
      <c r="D1552" s="1">
        <f t="shared" ca="1" si="291"/>
        <v>45392</v>
      </c>
      <c r="E1552" s="1">
        <f t="shared" ca="1" si="292"/>
        <v>45400</v>
      </c>
      <c r="F1552" t="str">
        <f t="shared" ca="1" si="293"/>
        <v>Diabetes</v>
      </c>
      <c r="G1552" t="str">
        <f t="shared" ca="1" si="294"/>
        <v>Medication</v>
      </c>
      <c r="H1552">
        <f t="shared" ca="1" si="295"/>
        <v>8</v>
      </c>
      <c r="I1552" t="str">
        <f t="shared" ca="1" si="296"/>
        <v>No</v>
      </c>
      <c r="J1552">
        <f t="shared" ca="1" si="297"/>
        <v>0</v>
      </c>
      <c r="K1552" t="str">
        <f t="shared" ca="1" si="298"/>
        <v>Public</v>
      </c>
      <c r="L1552" t="str">
        <f t="shared" ca="1" si="299"/>
        <v>Neurology</v>
      </c>
    </row>
    <row r="1553" spans="1:12" x14ac:dyDescent="0.25">
      <c r="A1553">
        <f t="shared" si="288"/>
        <v>1552</v>
      </c>
      <c r="B1553">
        <f t="shared" ca="1" si="289"/>
        <v>41</v>
      </c>
      <c r="C1553" t="str">
        <f t="shared" ca="1" si="290"/>
        <v>Male</v>
      </c>
      <c r="D1553" s="1">
        <f t="shared" ca="1" si="291"/>
        <v>45470</v>
      </c>
      <c r="E1553" s="1">
        <f t="shared" ca="1" si="292"/>
        <v>45485</v>
      </c>
      <c r="F1553" t="str">
        <f t="shared" ca="1" si="293"/>
        <v>Heart Failure</v>
      </c>
      <c r="G1553" t="str">
        <f t="shared" ca="1" si="294"/>
        <v>Surgery</v>
      </c>
      <c r="H1553">
        <f t="shared" ca="1" si="295"/>
        <v>15</v>
      </c>
      <c r="I1553" t="str">
        <f t="shared" ca="1" si="296"/>
        <v>No</v>
      </c>
      <c r="J1553">
        <f t="shared" ca="1" si="297"/>
        <v>4</v>
      </c>
      <c r="K1553" t="str">
        <f t="shared" ca="1" si="298"/>
        <v>Public</v>
      </c>
      <c r="L1553" t="str">
        <f t="shared" ca="1" si="299"/>
        <v>ICU</v>
      </c>
    </row>
    <row r="1554" spans="1:12" x14ac:dyDescent="0.25">
      <c r="A1554">
        <f t="shared" si="288"/>
        <v>1553</v>
      </c>
      <c r="B1554">
        <f t="shared" ca="1" si="289"/>
        <v>28</v>
      </c>
      <c r="C1554" t="str">
        <f t="shared" ca="1" si="290"/>
        <v>Female</v>
      </c>
      <c r="D1554" s="1">
        <f t="shared" ca="1" si="291"/>
        <v>45435</v>
      </c>
      <c r="E1554" s="1">
        <f t="shared" ca="1" si="292"/>
        <v>45440</v>
      </c>
      <c r="F1554" t="str">
        <f t="shared" ca="1" si="293"/>
        <v>Diabetes</v>
      </c>
      <c r="G1554" t="str">
        <f t="shared" ca="1" si="294"/>
        <v>Therapy</v>
      </c>
      <c r="H1554">
        <f t="shared" ca="1" si="295"/>
        <v>5</v>
      </c>
      <c r="I1554" t="str">
        <f t="shared" ca="1" si="296"/>
        <v>No</v>
      </c>
      <c r="J1554">
        <f t="shared" ca="1" si="297"/>
        <v>4</v>
      </c>
      <c r="K1554" t="str">
        <f t="shared" ca="1" si="298"/>
        <v>Public</v>
      </c>
      <c r="L1554" t="str">
        <f t="shared" ca="1" si="299"/>
        <v>General</v>
      </c>
    </row>
    <row r="1555" spans="1:12" x14ac:dyDescent="0.25">
      <c r="A1555">
        <f t="shared" si="288"/>
        <v>1554</v>
      </c>
      <c r="B1555">
        <f t="shared" ca="1" si="289"/>
        <v>76</v>
      </c>
      <c r="C1555" t="str">
        <f t="shared" ca="1" si="290"/>
        <v>Male</v>
      </c>
      <c r="D1555" s="1">
        <f t="shared" ca="1" si="291"/>
        <v>45604</v>
      </c>
      <c r="E1555" s="1">
        <f t="shared" ca="1" si="292"/>
        <v>45613</v>
      </c>
      <c r="F1555" t="str">
        <f t="shared" ca="1" si="293"/>
        <v>Heart Failure</v>
      </c>
      <c r="G1555" t="str">
        <f t="shared" ca="1" si="294"/>
        <v>Surgery</v>
      </c>
      <c r="H1555">
        <f t="shared" ca="1" si="295"/>
        <v>9</v>
      </c>
      <c r="I1555" t="str">
        <f t="shared" ca="1" si="296"/>
        <v>No</v>
      </c>
      <c r="J1555">
        <f t="shared" ca="1" si="297"/>
        <v>1</v>
      </c>
      <c r="K1555" t="str">
        <f t="shared" ca="1" si="298"/>
        <v>None</v>
      </c>
      <c r="L1555" t="str">
        <f t="shared" ca="1" si="299"/>
        <v>Neurology</v>
      </c>
    </row>
    <row r="1556" spans="1:12" x14ac:dyDescent="0.25">
      <c r="A1556">
        <f t="shared" si="288"/>
        <v>1555</v>
      </c>
      <c r="B1556">
        <f t="shared" ca="1" si="289"/>
        <v>69</v>
      </c>
      <c r="C1556" t="str">
        <f t="shared" ca="1" si="290"/>
        <v>Male</v>
      </c>
      <c r="D1556" s="1">
        <f t="shared" ca="1" si="291"/>
        <v>45545</v>
      </c>
      <c r="E1556" s="1">
        <f t="shared" ca="1" si="292"/>
        <v>45549</v>
      </c>
      <c r="F1556" t="str">
        <f t="shared" ca="1" si="293"/>
        <v>Heart Failure</v>
      </c>
      <c r="G1556" t="str">
        <f t="shared" ca="1" si="294"/>
        <v>Surgery</v>
      </c>
      <c r="H1556">
        <f t="shared" ca="1" si="295"/>
        <v>4</v>
      </c>
      <c r="I1556" t="str">
        <f t="shared" ca="1" si="296"/>
        <v>No</v>
      </c>
      <c r="J1556">
        <f t="shared" ca="1" si="297"/>
        <v>0</v>
      </c>
      <c r="K1556" t="str">
        <f t="shared" ca="1" si="298"/>
        <v>Private</v>
      </c>
      <c r="L1556" t="str">
        <f t="shared" ca="1" si="299"/>
        <v>ICU</v>
      </c>
    </row>
    <row r="1557" spans="1:12" x14ac:dyDescent="0.25">
      <c r="A1557">
        <f t="shared" si="288"/>
        <v>1556</v>
      </c>
      <c r="B1557">
        <f t="shared" ca="1" si="289"/>
        <v>65</v>
      </c>
      <c r="C1557" t="str">
        <f t="shared" ca="1" si="290"/>
        <v>Female</v>
      </c>
      <c r="D1557" s="1">
        <f t="shared" ca="1" si="291"/>
        <v>45506</v>
      </c>
      <c r="E1557" s="1">
        <f t="shared" ca="1" si="292"/>
        <v>45507</v>
      </c>
      <c r="F1557" t="str">
        <f t="shared" ca="1" si="293"/>
        <v>Stroke</v>
      </c>
      <c r="G1557" t="str">
        <f t="shared" ca="1" si="294"/>
        <v>Medication</v>
      </c>
      <c r="H1557">
        <f t="shared" ca="1" si="295"/>
        <v>1</v>
      </c>
      <c r="I1557" t="str">
        <f t="shared" ca="1" si="296"/>
        <v>No</v>
      </c>
      <c r="J1557">
        <f t="shared" ca="1" si="297"/>
        <v>0</v>
      </c>
      <c r="K1557" t="str">
        <f t="shared" ca="1" si="298"/>
        <v>Public</v>
      </c>
      <c r="L1557" t="str">
        <f t="shared" ca="1" si="299"/>
        <v>Neurology</v>
      </c>
    </row>
    <row r="1558" spans="1:12" x14ac:dyDescent="0.25">
      <c r="A1558">
        <f t="shared" si="288"/>
        <v>1557</v>
      </c>
      <c r="B1558">
        <f t="shared" ca="1" si="289"/>
        <v>38</v>
      </c>
      <c r="C1558" t="str">
        <f t="shared" ca="1" si="290"/>
        <v>Male</v>
      </c>
      <c r="D1558" s="1">
        <f t="shared" ca="1" si="291"/>
        <v>45584</v>
      </c>
      <c r="E1558" s="1">
        <f t="shared" ca="1" si="292"/>
        <v>45596</v>
      </c>
      <c r="F1558" t="str">
        <f t="shared" ca="1" si="293"/>
        <v>Pneumonia</v>
      </c>
      <c r="G1558" t="str">
        <f t="shared" ca="1" si="294"/>
        <v>Medication</v>
      </c>
      <c r="H1558">
        <f t="shared" ca="1" si="295"/>
        <v>12</v>
      </c>
      <c r="I1558" t="str">
        <f t="shared" ca="1" si="296"/>
        <v>No</v>
      </c>
      <c r="J1558">
        <f t="shared" ca="1" si="297"/>
        <v>1</v>
      </c>
      <c r="K1558" t="str">
        <f t="shared" ca="1" si="298"/>
        <v>None</v>
      </c>
      <c r="L1558" t="str">
        <f t="shared" ca="1" si="299"/>
        <v>ER</v>
      </c>
    </row>
    <row r="1559" spans="1:12" x14ac:dyDescent="0.25">
      <c r="A1559">
        <f t="shared" si="288"/>
        <v>1558</v>
      </c>
      <c r="B1559">
        <f t="shared" ca="1" si="289"/>
        <v>73</v>
      </c>
      <c r="C1559" t="str">
        <f t="shared" ca="1" si="290"/>
        <v>Male</v>
      </c>
      <c r="D1559" s="1">
        <f t="shared" ca="1" si="291"/>
        <v>45479</v>
      </c>
      <c r="E1559" s="1">
        <f t="shared" ca="1" si="292"/>
        <v>45481</v>
      </c>
      <c r="F1559" t="str">
        <f t="shared" ca="1" si="293"/>
        <v>Diabetes</v>
      </c>
      <c r="G1559" t="str">
        <f t="shared" ca="1" si="294"/>
        <v>Therapy</v>
      </c>
      <c r="H1559">
        <f t="shared" ca="1" si="295"/>
        <v>2</v>
      </c>
      <c r="I1559" t="str">
        <f t="shared" ca="1" si="296"/>
        <v>No</v>
      </c>
      <c r="J1559">
        <f t="shared" ca="1" si="297"/>
        <v>3</v>
      </c>
      <c r="K1559" t="str">
        <f t="shared" ca="1" si="298"/>
        <v>None</v>
      </c>
      <c r="L1559" t="str">
        <f t="shared" ca="1" si="299"/>
        <v>ICU</v>
      </c>
    </row>
    <row r="1560" spans="1:12" x14ac:dyDescent="0.25">
      <c r="A1560">
        <f t="shared" si="288"/>
        <v>1559</v>
      </c>
      <c r="B1560">
        <f t="shared" ca="1" si="289"/>
        <v>60</v>
      </c>
      <c r="C1560" t="str">
        <f t="shared" ca="1" si="290"/>
        <v>Male</v>
      </c>
      <c r="D1560" s="1">
        <f t="shared" ca="1" si="291"/>
        <v>45397</v>
      </c>
      <c r="E1560" s="1">
        <f t="shared" ca="1" si="292"/>
        <v>45407</v>
      </c>
      <c r="F1560" t="str">
        <f t="shared" ca="1" si="293"/>
        <v>Stroke</v>
      </c>
      <c r="G1560" t="str">
        <f t="shared" ca="1" si="294"/>
        <v>Medication</v>
      </c>
      <c r="H1560">
        <f t="shared" ca="1" si="295"/>
        <v>10</v>
      </c>
      <c r="I1560" t="str">
        <f t="shared" ca="1" si="296"/>
        <v>No</v>
      </c>
      <c r="J1560">
        <f t="shared" ca="1" si="297"/>
        <v>0</v>
      </c>
      <c r="K1560" t="str">
        <f t="shared" ca="1" si="298"/>
        <v>None</v>
      </c>
      <c r="L1560" t="str">
        <f t="shared" ca="1" si="299"/>
        <v>General</v>
      </c>
    </row>
    <row r="1561" spans="1:12" x14ac:dyDescent="0.25">
      <c r="A1561">
        <f t="shared" si="288"/>
        <v>1560</v>
      </c>
      <c r="B1561">
        <f t="shared" ca="1" si="289"/>
        <v>21</v>
      </c>
      <c r="C1561" t="str">
        <f t="shared" ca="1" si="290"/>
        <v>Male</v>
      </c>
      <c r="D1561" s="1">
        <f t="shared" ca="1" si="291"/>
        <v>45409</v>
      </c>
      <c r="E1561" s="1">
        <f t="shared" ca="1" si="292"/>
        <v>45422</v>
      </c>
      <c r="F1561" t="str">
        <f t="shared" ca="1" si="293"/>
        <v>Hypertension</v>
      </c>
      <c r="G1561" t="str">
        <f t="shared" ca="1" si="294"/>
        <v>Surgery</v>
      </c>
      <c r="H1561">
        <f t="shared" ca="1" si="295"/>
        <v>13</v>
      </c>
      <c r="I1561" t="str">
        <f t="shared" ca="1" si="296"/>
        <v>Yes</v>
      </c>
      <c r="J1561">
        <f t="shared" ca="1" si="297"/>
        <v>3</v>
      </c>
      <c r="K1561" t="str">
        <f t="shared" ca="1" si="298"/>
        <v>Private</v>
      </c>
      <c r="L1561" t="str">
        <f t="shared" ca="1" si="299"/>
        <v>Cardiology</v>
      </c>
    </row>
    <row r="1562" spans="1:12" x14ac:dyDescent="0.25">
      <c r="A1562">
        <f t="shared" si="288"/>
        <v>1561</v>
      </c>
      <c r="B1562">
        <f t="shared" ca="1" si="289"/>
        <v>55</v>
      </c>
      <c r="C1562" t="str">
        <f t="shared" ca="1" si="290"/>
        <v>Female</v>
      </c>
      <c r="D1562" s="1">
        <f t="shared" ca="1" si="291"/>
        <v>45359</v>
      </c>
      <c r="E1562" s="1">
        <f t="shared" ca="1" si="292"/>
        <v>45361</v>
      </c>
      <c r="F1562" t="str">
        <f t="shared" ca="1" si="293"/>
        <v>Hypertension</v>
      </c>
      <c r="G1562" t="str">
        <f t="shared" ca="1" si="294"/>
        <v>Therapy</v>
      </c>
      <c r="H1562">
        <f t="shared" ca="1" si="295"/>
        <v>2</v>
      </c>
      <c r="I1562" t="str">
        <f t="shared" ca="1" si="296"/>
        <v>Yes</v>
      </c>
      <c r="J1562">
        <f t="shared" ca="1" si="297"/>
        <v>3</v>
      </c>
      <c r="K1562" t="str">
        <f t="shared" ca="1" si="298"/>
        <v>Public</v>
      </c>
      <c r="L1562" t="str">
        <f t="shared" ca="1" si="299"/>
        <v>General</v>
      </c>
    </row>
    <row r="1563" spans="1:12" x14ac:dyDescent="0.25">
      <c r="A1563">
        <f t="shared" si="288"/>
        <v>1562</v>
      </c>
      <c r="B1563">
        <f t="shared" ca="1" si="289"/>
        <v>52</v>
      </c>
      <c r="C1563" t="str">
        <f t="shared" ca="1" si="290"/>
        <v>Female</v>
      </c>
      <c r="D1563" s="1">
        <f t="shared" ca="1" si="291"/>
        <v>45352</v>
      </c>
      <c r="E1563" s="1">
        <f t="shared" ca="1" si="292"/>
        <v>45367</v>
      </c>
      <c r="F1563" t="str">
        <f t="shared" ca="1" si="293"/>
        <v>Pneumonia</v>
      </c>
      <c r="G1563" t="str">
        <f t="shared" ca="1" si="294"/>
        <v>Therapy</v>
      </c>
      <c r="H1563">
        <f t="shared" ca="1" si="295"/>
        <v>15</v>
      </c>
      <c r="I1563" t="str">
        <f t="shared" ca="1" si="296"/>
        <v>No</v>
      </c>
      <c r="J1563">
        <f t="shared" ca="1" si="297"/>
        <v>2</v>
      </c>
      <c r="K1563" t="str">
        <f t="shared" ca="1" si="298"/>
        <v>Private</v>
      </c>
      <c r="L1563" t="str">
        <f t="shared" ca="1" si="299"/>
        <v>ER</v>
      </c>
    </row>
    <row r="1564" spans="1:12" x14ac:dyDescent="0.25">
      <c r="A1564">
        <f t="shared" si="288"/>
        <v>1563</v>
      </c>
      <c r="B1564">
        <f t="shared" ca="1" si="289"/>
        <v>54</v>
      </c>
      <c r="C1564" t="str">
        <f t="shared" ca="1" si="290"/>
        <v>Male</v>
      </c>
      <c r="D1564" s="1">
        <f t="shared" ca="1" si="291"/>
        <v>45419</v>
      </c>
      <c r="E1564" s="1">
        <f t="shared" ca="1" si="292"/>
        <v>45423</v>
      </c>
      <c r="F1564" t="str">
        <f t="shared" ca="1" si="293"/>
        <v>Pneumonia</v>
      </c>
      <c r="G1564" t="str">
        <f t="shared" ca="1" si="294"/>
        <v>Medication</v>
      </c>
      <c r="H1564">
        <f t="shared" ca="1" si="295"/>
        <v>4</v>
      </c>
      <c r="I1564" t="str">
        <f t="shared" ca="1" si="296"/>
        <v>Yes</v>
      </c>
      <c r="J1564">
        <f t="shared" ca="1" si="297"/>
        <v>4</v>
      </c>
      <c r="K1564" t="str">
        <f t="shared" ca="1" si="298"/>
        <v>None</v>
      </c>
      <c r="L1564" t="str">
        <f t="shared" ca="1" si="299"/>
        <v>ICU</v>
      </c>
    </row>
    <row r="1565" spans="1:12" x14ac:dyDescent="0.25">
      <c r="A1565">
        <f t="shared" si="288"/>
        <v>1564</v>
      </c>
      <c r="B1565">
        <f t="shared" ca="1" si="289"/>
        <v>41</v>
      </c>
      <c r="C1565" t="str">
        <f t="shared" ca="1" si="290"/>
        <v>Female</v>
      </c>
      <c r="D1565" s="1">
        <f t="shared" ca="1" si="291"/>
        <v>45343</v>
      </c>
      <c r="E1565" s="1">
        <f t="shared" ca="1" si="292"/>
        <v>45345</v>
      </c>
      <c r="F1565" t="str">
        <f t="shared" ca="1" si="293"/>
        <v>Stroke</v>
      </c>
      <c r="G1565" t="str">
        <f t="shared" ca="1" si="294"/>
        <v>Therapy</v>
      </c>
      <c r="H1565">
        <f t="shared" ca="1" si="295"/>
        <v>2</v>
      </c>
      <c r="I1565" t="str">
        <f t="shared" ca="1" si="296"/>
        <v>No</v>
      </c>
      <c r="J1565">
        <f t="shared" ca="1" si="297"/>
        <v>2</v>
      </c>
      <c r="K1565" t="str">
        <f t="shared" ca="1" si="298"/>
        <v>None</v>
      </c>
      <c r="L1565" t="str">
        <f t="shared" ca="1" si="299"/>
        <v>Neurology</v>
      </c>
    </row>
    <row r="1566" spans="1:12" x14ac:dyDescent="0.25">
      <c r="A1566">
        <f t="shared" si="288"/>
        <v>1565</v>
      </c>
      <c r="B1566">
        <f t="shared" ca="1" si="289"/>
        <v>41</v>
      </c>
      <c r="C1566" t="str">
        <f t="shared" ca="1" si="290"/>
        <v>Female</v>
      </c>
      <c r="D1566" s="1">
        <f t="shared" ca="1" si="291"/>
        <v>45337</v>
      </c>
      <c r="E1566" s="1">
        <f t="shared" ca="1" si="292"/>
        <v>45338</v>
      </c>
      <c r="F1566" t="str">
        <f t="shared" ca="1" si="293"/>
        <v>Pneumonia</v>
      </c>
      <c r="G1566" t="str">
        <f t="shared" ca="1" si="294"/>
        <v>Medication</v>
      </c>
      <c r="H1566">
        <f t="shared" ca="1" si="295"/>
        <v>1</v>
      </c>
      <c r="I1566" t="str">
        <f t="shared" ca="1" si="296"/>
        <v>Yes</v>
      </c>
      <c r="J1566">
        <f t="shared" ca="1" si="297"/>
        <v>2</v>
      </c>
      <c r="K1566" t="str">
        <f t="shared" ca="1" si="298"/>
        <v>None</v>
      </c>
      <c r="L1566" t="str">
        <f t="shared" ca="1" si="299"/>
        <v>General</v>
      </c>
    </row>
    <row r="1567" spans="1:12" x14ac:dyDescent="0.25">
      <c r="A1567">
        <f t="shared" si="288"/>
        <v>1566</v>
      </c>
      <c r="B1567">
        <f t="shared" ca="1" si="289"/>
        <v>24</v>
      </c>
      <c r="C1567" t="str">
        <f t="shared" ca="1" si="290"/>
        <v>Male</v>
      </c>
      <c r="D1567" s="1">
        <f t="shared" ca="1" si="291"/>
        <v>45453</v>
      </c>
      <c r="E1567" s="1">
        <f t="shared" ca="1" si="292"/>
        <v>45458</v>
      </c>
      <c r="F1567" t="str">
        <f t="shared" ca="1" si="293"/>
        <v>Stroke</v>
      </c>
      <c r="G1567" t="str">
        <f t="shared" ca="1" si="294"/>
        <v>Therapy</v>
      </c>
      <c r="H1567">
        <f t="shared" ca="1" si="295"/>
        <v>5</v>
      </c>
      <c r="I1567" t="str">
        <f t="shared" ca="1" si="296"/>
        <v>No</v>
      </c>
      <c r="J1567">
        <f t="shared" ca="1" si="297"/>
        <v>0</v>
      </c>
      <c r="K1567" t="str">
        <f t="shared" ca="1" si="298"/>
        <v>None</v>
      </c>
      <c r="L1567" t="str">
        <f t="shared" ca="1" si="299"/>
        <v>Cardiology</v>
      </c>
    </row>
    <row r="1568" spans="1:12" x14ac:dyDescent="0.25">
      <c r="A1568">
        <f t="shared" si="288"/>
        <v>1567</v>
      </c>
      <c r="B1568">
        <f t="shared" ca="1" si="289"/>
        <v>76</v>
      </c>
      <c r="C1568" t="str">
        <f t="shared" ca="1" si="290"/>
        <v>Male</v>
      </c>
      <c r="D1568" s="1">
        <f t="shared" ca="1" si="291"/>
        <v>45453</v>
      </c>
      <c r="E1568" s="1">
        <f t="shared" ca="1" si="292"/>
        <v>45459</v>
      </c>
      <c r="F1568" t="str">
        <f t="shared" ca="1" si="293"/>
        <v>Pneumonia</v>
      </c>
      <c r="G1568" t="str">
        <f t="shared" ca="1" si="294"/>
        <v>Medication</v>
      </c>
      <c r="H1568">
        <f t="shared" ca="1" si="295"/>
        <v>6</v>
      </c>
      <c r="I1568" t="str">
        <f t="shared" ca="1" si="296"/>
        <v>No</v>
      </c>
      <c r="J1568">
        <f t="shared" ca="1" si="297"/>
        <v>1</v>
      </c>
      <c r="K1568" t="str">
        <f t="shared" ca="1" si="298"/>
        <v>Public</v>
      </c>
      <c r="L1568" t="str">
        <f t="shared" ca="1" si="299"/>
        <v>Neurology</v>
      </c>
    </row>
    <row r="1569" spans="1:12" x14ac:dyDescent="0.25">
      <c r="A1569">
        <f t="shared" si="288"/>
        <v>1568</v>
      </c>
      <c r="B1569">
        <f t="shared" ca="1" si="289"/>
        <v>23</v>
      </c>
      <c r="C1569" t="str">
        <f t="shared" ca="1" si="290"/>
        <v>Male</v>
      </c>
      <c r="D1569" s="1">
        <f t="shared" ca="1" si="291"/>
        <v>45490</v>
      </c>
      <c r="E1569" s="1">
        <f t="shared" ca="1" si="292"/>
        <v>45491</v>
      </c>
      <c r="F1569" t="str">
        <f t="shared" ca="1" si="293"/>
        <v>Hypertension</v>
      </c>
      <c r="G1569" t="str">
        <f t="shared" ca="1" si="294"/>
        <v>Medication</v>
      </c>
      <c r="H1569">
        <f t="shared" ca="1" si="295"/>
        <v>1</v>
      </c>
      <c r="I1569" t="str">
        <f t="shared" ca="1" si="296"/>
        <v>No</v>
      </c>
      <c r="J1569">
        <f t="shared" ca="1" si="297"/>
        <v>1</v>
      </c>
      <c r="K1569" t="str">
        <f t="shared" ca="1" si="298"/>
        <v>Private</v>
      </c>
      <c r="L1569" t="str">
        <f t="shared" ca="1" si="299"/>
        <v>ER</v>
      </c>
    </row>
    <row r="1570" spans="1:12" x14ac:dyDescent="0.25">
      <c r="A1570">
        <f t="shared" si="288"/>
        <v>1569</v>
      </c>
      <c r="B1570">
        <f t="shared" ca="1" si="289"/>
        <v>84</v>
      </c>
      <c r="C1570" t="str">
        <f t="shared" ca="1" si="290"/>
        <v>Male</v>
      </c>
      <c r="D1570" s="1">
        <f t="shared" ca="1" si="291"/>
        <v>45587</v>
      </c>
      <c r="E1570" s="1">
        <f t="shared" ca="1" si="292"/>
        <v>45602</v>
      </c>
      <c r="F1570" t="str">
        <f t="shared" ca="1" si="293"/>
        <v>Stroke</v>
      </c>
      <c r="G1570" t="str">
        <f t="shared" ca="1" si="294"/>
        <v>Medication</v>
      </c>
      <c r="H1570">
        <f t="shared" ca="1" si="295"/>
        <v>15</v>
      </c>
      <c r="I1570" t="str">
        <f t="shared" ca="1" si="296"/>
        <v>No</v>
      </c>
      <c r="J1570">
        <f t="shared" ca="1" si="297"/>
        <v>4</v>
      </c>
      <c r="K1570" t="str">
        <f t="shared" ca="1" si="298"/>
        <v>Private</v>
      </c>
      <c r="L1570" t="str">
        <f t="shared" ca="1" si="299"/>
        <v>Neurology</v>
      </c>
    </row>
    <row r="1571" spans="1:12" x14ac:dyDescent="0.25">
      <c r="A1571">
        <f t="shared" si="288"/>
        <v>1570</v>
      </c>
      <c r="B1571">
        <f t="shared" ca="1" si="289"/>
        <v>78</v>
      </c>
      <c r="C1571" t="str">
        <f t="shared" ca="1" si="290"/>
        <v>Female</v>
      </c>
      <c r="D1571" s="1">
        <f t="shared" ca="1" si="291"/>
        <v>45582</v>
      </c>
      <c r="E1571" s="1">
        <f t="shared" ca="1" si="292"/>
        <v>45594</v>
      </c>
      <c r="F1571" t="str">
        <f t="shared" ca="1" si="293"/>
        <v>Hypertension</v>
      </c>
      <c r="G1571" t="str">
        <f t="shared" ca="1" si="294"/>
        <v>Surgery</v>
      </c>
      <c r="H1571">
        <f t="shared" ca="1" si="295"/>
        <v>12</v>
      </c>
      <c r="I1571" t="str">
        <f t="shared" ca="1" si="296"/>
        <v>No</v>
      </c>
      <c r="J1571">
        <f t="shared" ca="1" si="297"/>
        <v>2</v>
      </c>
      <c r="K1571" t="str">
        <f t="shared" ca="1" si="298"/>
        <v>Private</v>
      </c>
      <c r="L1571" t="str">
        <f t="shared" ca="1" si="299"/>
        <v>ER</v>
      </c>
    </row>
    <row r="1572" spans="1:12" x14ac:dyDescent="0.25">
      <c r="A1572">
        <f t="shared" si="288"/>
        <v>1571</v>
      </c>
      <c r="B1572">
        <f t="shared" ca="1" si="289"/>
        <v>53</v>
      </c>
      <c r="C1572" t="str">
        <f t="shared" ca="1" si="290"/>
        <v>Female</v>
      </c>
      <c r="D1572" s="1">
        <f t="shared" ca="1" si="291"/>
        <v>45323</v>
      </c>
      <c r="E1572" s="1">
        <f t="shared" ca="1" si="292"/>
        <v>45331</v>
      </c>
      <c r="F1572" t="str">
        <f t="shared" ca="1" si="293"/>
        <v>Diabetes</v>
      </c>
      <c r="G1572" t="str">
        <f t="shared" ca="1" si="294"/>
        <v>Medication</v>
      </c>
      <c r="H1572">
        <f t="shared" ca="1" si="295"/>
        <v>8</v>
      </c>
      <c r="I1572" t="str">
        <f t="shared" ca="1" si="296"/>
        <v>No</v>
      </c>
      <c r="J1572">
        <f t="shared" ca="1" si="297"/>
        <v>4</v>
      </c>
      <c r="K1572" t="str">
        <f t="shared" ca="1" si="298"/>
        <v>Public</v>
      </c>
      <c r="L1572" t="str">
        <f t="shared" ca="1" si="299"/>
        <v>Cardiology</v>
      </c>
    </row>
    <row r="1573" spans="1:12" x14ac:dyDescent="0.25">
      <c r="A1573">
        <f t="shared" si="288"/>
        <v>1572</v>
      </c>
      <c r="B1573">
        <f t="shared" ca="1" si="289"/>
        <v>89</v>
      </c>
      <c r="C1573" t="str">
        <f t="shared" ca="1" si="290"/>
        <v>Male</v>
      </c>
      <c r="D1573" s="1">
        <f t="shared" ca="1" si="291"/>
        <v>45495</v>
      </c>
      <c r="E1573" s="1">
        <f t="shared" ca="1" si="292"/>
        <v>45498</v>
      </c>
      <c r="F1573" t="str">
        <f t="shared" ca="1" si="293"/>
        <v>Diabetes</v>
      </c>
      <c r="G1573" t="str">
        <f t="shared" ca="1" si="294"/>
        <v>Therapy</v>
      </c>
      <c r="H1573">
        <f t="shared" ca="1" si="295"/>
        <v>3</v>
      </c>
      <c r="I1573" t="str">
        <f t="shared" ca="1" si="296"/>
        <v>No</v>
      </c>
      <c r="J1573">
        <f t="shared" ca="1" si="297"/>
        <v>2</v>
      </c>
      <c r="K1573" t="str">
        <f t="shared" ca="1" si="298"/>
        <v>Private</v>
      </c>
      <c r="L1573" t="str">
        <f t="shared" ca="1" si="299"/>
        <v>Cardiology</v>
      </c>
    </row>
    <row r="1574" spans="1:12" x14ac:dyDescent="0.25">
      <c r="A1574">
        <f t="shared" si="288"/>
        <v>1573</v>
      </c>
      <c r="B1574">
        <f t="shared" ca="1" si="289"/>
        <v>44</v>
      </c>
      <c r="C1574" t="str">
        <f t="shared" ca="1" si="290"/>
        <v>Female</v>
      </c>
      <c r="D1574" s="1">
        <f t="shared" ca="1" si="291"/>
        <v>45442</v>
      </c>
      <c r="E1574" s="1">
        <f t="shared" ca="1" si="292"/>
        <v>45449</v>
      </c>
      <c r="F1574" t="str">
        <f t="shared" ca="1" si="293"/>
        <v>Diabetes</v>
      </c>
      <c r="G1574" t="str">
        <f t="shared" ca="1" si="294"/>
        <v>Therapy</v>
      </c>
      <c r="H1574">
        <f t="shared" ca="1" si="295"/>
        <v>7</v>
      </c>
      <c r="I1574" t="str">
        <f t="shared" ca="1" si="296"/>
        <v>Yes</v>
      </c>
      <c r="J1574">
        <f t="shared" ca="1" si="297"/>
        <v>4</v>
      </c>
      <c r="K1574" t="str">
        <f t="shared" ca="1" si="298"/>
        <v>Private</v>
      </c>
      <c r="L1574" t="str">
        <f t="shared" ca="1" si="299"/>
        <v>General</v>
      </c>
    </row>
    <row r="1575" spans="1:12" x14ac:dyDescent="0.25">
      <c r="A1575">
        <f t="shared" si="288"/>
        <v>1574</v>
      </c>
      <c r="B1575">
        <f t="shared" ca="1" si="289"/>
        <v>60</v>
      </c>
      <c r="C1575" t="str">
        <f t="shared" ca="1" si="290"/>
        <v>Female</v>
      </c>
      <c r="D1575" s="1">
        <f t="shared" ca="1" si="291"/>
        <v>45300</v>
      </c>
      <c r="E1575" s="1">
        <f t="shared" ca="1" si="292"/>
        <v>45304</v>
      </c>
      <c r="F1575" t="str">
        <f t="shared" ca="1" si="293"/>
        <v>Stroke</v>
      </c>
      <c r="G1575" t="str">
        <f t="shared" ca="1" si="294"/>
        <v>Surgery</v>
      </c>
      <c r="H1575">
        <f t="shared" ca="1" si="295"/>
        <v>4</v>
      </c>
      <c r="I1575" t="str">
        <f t="shared" ca="1" si="296"/>
        <v>No</v>
      </c>
      <c r="J1575">
        <f t="shared" ca="1" si="297"/>
        <v>4</v>
      </c>
      <c r="K1575" t="str">
        <f t="shared" ca="1" si="298"/>
        <v>Public</v>
      </c>
      <c r="L1575" t="str">
        <f t="shared" ca="1" si="299"/>
        <v>General</v>
      </c>
    </row>
    <row r="1576" spans="1:12" x14ac:dyDescent="0.25">
      <c r="A1576">
        <f t="shared" si="288"/>
        <v>1575</v>
      </c>
      <c r="B1576">
        <f t="shared" ca="1" si="289"/>
        <v>64</v>
      </c>
      <c r="C1576" t="str">
        <f t="shared" ca="1" si="290"/>
        <v>Male</v>
      </c>
      <c r="D1576" s="1">
        <f t="shared" ca="1" si="291"/>
        <v>45644</v>
      </c>
      <c r="E1576" s="1">
        <f t="shared" ca="1" si="292"/>
        <v>45653</v>
      </c>
      <c r="F1576" t="str">
        <f t="shared" ca="1" si="293"/>
        <v>Pneumonia</v>
      </c>
      <c r="G1576" t="str">
        <f t="shared" ca="1" si="294"/>
        <v>Medication</v>
      </c>
      <c r="H1576">
        <f t="shared" ca="1" si="295"/>
        <v>9</v>
      </c>
      <c r="I1576" t="str">
        <f t="shared" ca="1" si="296"/>
        <v>Yes</v>
      </c>
      <c r="J1576">
        <f t="shared" ca="1" si="297"/>
        <v>1</v>
      </c>
      <c r="K1576" t="str">
        <f t="shared" ca="1" si="298"/>
        <v>Public</v>
      </c>
      <c r="L1576" t="str">
        <f t="shared" ca="1" si="299"/>
        <v>Neurology</v>
      </c>
    </row>
    <row r="1577" spans="1:12" x14ac:dyDescent="0.25">
      <c r="A1577">
        <f t="shared" si="288"/>
        <v>1576</v>
      </c>
      <c r="B1577">
        <f t="shared" ca="1" si="289"/>
        <v>36</v>
      </c>
      <c r="C1577" t="str">
        <f t="shared" ca="1" si="290"/>
        <v>Female</v>
      </c>
      <c r="D1577" s="1">
        <f t="shared" ca="1" si="291"/>
        <v>45605</v>
      </c>
      <c r="E1577" s="1">
        <f t="shared" ca="1" si="292"/>
        <v>45615</v>
      </c>
      <c r="F1577" t="str">
        <f t="shared" ca="1" si="293"/>
        <v>Heart Failure</v>
      </c>
      <c r="G1577" t="str">
        <f t="shared" ca="1" si="294"/>
        <v>Medication</v>
      </c>
      <c r="H1577">
        <f t="shared" ca="1" si="295"/>
        <v>10</v>
      </c>
      <c r="I1577" t="str">
        <f t="shared" ca="1" si="296"/>
        <v>No</v>
      </c>
      <c r="J1577">
        <f t="shared" ca="1" si="297"/>
        <v>2</v>
      </c>
      <c r="K1577" t="str">
        <f t="shared" ca="1" si="298"/>
        <v>Private</v>
      </c>
      <c r="L1577" t="str">
        <f t="shared" ca="1" si="299"/>
        <v>Neurology</v>
      </c>
    </row>
    <row r="1578" spans="1:12" x14ac:dyDescent="0.25">
      <c r="A1578">
        <f t="shared" si="288"/>
        <v>1577</v>
      </c>
      <c r="B1578">
        <f t="shared" ca="1" si="289"/>
        <v>81</v>
      </c>
      <c r="C1578" t="str">
        <f t="shared" ca="1" si="290"/>
        <v>Male</v>
      </c>
      <c r="D1578" s="1">
        <f t="shared" ca="1" si="291"/>
        <v>45370</v>
      </c>
      <c r="E1578" s="1">
        <f t="shared" ca="1" si="292"/>
        <v>45376</v>
      </c>
      <c r="F1578" t="str">
        <f t="shared" ca="1" si="293"/>
        <v>Diabetes</v>
      </c>
      <c r="G1578" t="str">
        <f t="shared" ca="1" si="294"/>
        <v>Medication</v>
      </c>
      <c r="H1578">
        <f t="shared" ca="1" si="295"/>
        <v>6</v>
      </c>
      <c r="I1578" t="str">
        <f t="shared" ca="1" si="296"/>
        <v>Yes</v>
      </c>
      <c r="J1578">
        <f t="shared" ca="1" si="297"/>
        <v>1</v>
      </c>
      <c r="K1578" t="str">
        <f t="shared" ca="1" si="298"/>
        <v>Public</v>
      </c>
      <c r="L1578" t="str">
        <f t="shared" ca="1" si="299"/>
        <v>Neurology</v>
      </c>
    </row>
    <row r="1579" spans="1:12" x14ac:dyDescent="0.25">
      <c r="A1579">
        <f t="shared" si="288"/>
        <v>1578</v>
      </c>
      <c r="B1579">
        <f t="shared" ca="1" si="289"/>
        <v>47</v>
      </c>
      <c r="C1579" t="str">
        <f t="shared" ca="1" si="290"/>
        <v>Male</v>
      </c>
      <c r="D1579" s="1">
        <f t="shared" ca="1" si="291"/>
        <v>45542</v>
      </c>
      <c r="E1579" s="1">
        <f t="shared" ca="1" si="292"/>
        <v>45551</v>
      </c>
      <c r="F1579" t="str">
        <f t="shared" ca="1" si="293"/>
        <v>Hypertension</v>
      </c>
      <c r="G1579" t="str">
        <f t="shared" ca="1" si="294"/>
        <v>Therapy</v>
      </c>
      <c r="H1579">
        <f t="shared" ca="1" si="295"/>
        <v>9</v>
      </c>
      <c r="I1579" t="str">
        <f t="shared" ca="1" si="296"/>
        <v>Yes</v>
      </c>
      <c r="J1579">
        <f t="shared" ca="1" si="297"/>
        <v>1</v>
      </c>
      <c r="K1579" t="str">
        <f t="shared" ca="1" si="298"/>
        <v>Private</v>
      </c>
      <c r="L1579" t="str">
        <f t="shared" ca="1" si="299"/>
        <v>Neurology</v>
      </c>
    </row>
    <row r="1580" spans="1:12" x14ac:dyDescent="0.25">
      <c r="A1580">
        <f t="shared" si="288"/>
        <v>1579</v>
      </c>
      <c r="B1580">
        <f t="shared" ca="1" si="289"/>
        <v>57</v>
      </c>
      <c r="C1580" t="str">
        <f t="shared" ca="1" si="290"/>
        <v>Male</v>
      </c>
      <c r="D1580" s="1">
        <f t="shared" ca="1" si="291"/>
        <v>45479</v>
      </c>
      <c r="E1580" s="1">
        <f t="shared" ca="1" si="292"/>
        <v>45487</v>
      </c>
      <c r="F1580" t="str">
        <f t="shared" ca="1" si="293"/>
        <v>Stroke</v>
      </c>
      <c r="G1580" t="str">
        <f t="shared" ca="1" si="294"/>
        <v>Therapy</v>
      </c>
      <c r="H1580">
        <f t="shared" ca="1" si="295"/>
        <v>8</v>
      </c>
      <c r="I1580" t="str">
        <f t="shared" ca="1" si="296"/>
        <v>Yes</v>
      </c>
      <c r="J1580">
        <f t="shared" ca="1" si="297"/>
        <v>1</v>
      </c>
      <c r="K1580" t="str">
        <f t="shared" ca="1" si="298"/>
        <v>Public</v>
      </c>
      <c r="L1580" t="str">
        <f t="shared" ca="1" si="299"/>
        <v>ICU</v>
      </c>
    </row>
    <row r="1581" spans="1:12" x14ac:dyDescent="0.25">
      <c r="A1581">
        <f t="shared" si="288"/>
        <v>1580</v>
      </c>
      <c r="B1581">
        <f t="shared" ca="1" si="289"/>
        <v>80</v>
      </c>
      <c r="C1581" t="str">
        <f t="shared" ca="1" si="290"/>
        <v>Male</v>
      </c>
      <c r="D1581" s="1">
        <f t="shared" ca="1" si="291"/>
        <v>45491</v>
      </c>
      <c r="E1581" s="1">
        <f t="shared" ca="1" si="292"/>
        <v>45498</v>
      </c>
      <c r="F1581" t="str">
        <f t="shared" ca="1" si="293"/>
        <v>Diabetes</v>
      </c>
      <c r="G1581" t="str">
        <f t="shared" ca="1" si="294"/>
        <v>Surgery</v>
      </c>
      <c r="H1581">
        <f t="shared" ca="1" si="295"/>
        <v>7</v>
      </c>
      <c r="I1581" t="str">
        <f t="shared" ca="1" si="296"/>
        <v>No</v>
      </c>
      <c r="J1581">
        <f t="shared" ca="1" si="297"/>
        <v>2</v>
      </c>
      <c r="K1581" t="str">
        <f t="shared" ca="1" si="298"/>
        <v>Public</v>
      </c>
      <c r="L1581" t="str">
        <f t="shared" ca="1" si="299"/>
        <v>General</v>
      </c>
    </row>
    <row r="1582" spans="1:12" x14ac:dyDescent="0.25">
      <c r="A1582">
        <f t="shared" si="288"/>
        <v>1581</v>
      </c>
      <c r="B1582">
        <f t="shared" ca="1" si="289"/>
        <v>20</v>
      </c>
      <c r="C1582" t="str">
        <f t="shared" ca="1" si="290"/>
        <v>Male</v>
      </c>
      <c r="D1582" s="1">
        <f t="shared" ca="1" si="291"/>
        <v>45362</v>
      </c>
      <c r="E1582" s="1">
        <f t="shared" ca="1" si="292"/>
        <v>45369</v>
      </c>
      <c r="F1582" t="str">
        <f t="shared" ca="1" si="293"/>
        <v>Diabetes</v>
      </c>
      <c r="G1582" t="str">
        <f t="shared" ca="1" si="294"/>
        <v>Therapy</v>
      </c>
      <c r="H1582">
        <f t="shared" ca="1" si="295"/>
        <v>7</v>
      </c>
      <c r="I1582" t="str">
        <f t="shared" ca="1" si="296"/>
        <v>No</v>
      </c>
      <c r="J1582">
        <f t="shared" ca="1" si="297"/>
        <v>1</v>
      </c>
      <c r="K1582" t="str">
        <f t="shared" ca="1" si="298"/>
        <v>Private</v>
      </c>
      <c r="L1582" t="str">
        <f t="shared" ca="1" si="299"/>
        <v>Cardiology</v>
      </c>
    </row>
    <row r="1583" spans="1:12" x14ac:dyDescent="0.25">
      <c r="A1583">
        <f t="shared" si="288"/>
        <v>1582</v>
      </c>
      <c r="B1583">
        <f t="shared" ca="1" si="289"/>
        <v>29</v>
      </c>
      <c r="C1583" t="str">
        <f t="shared" ca="1" si="290"/>
        <v>Female</v>
      </c>
      <c r="D1583" s="1">
        <f t="shared" ca="1" si="291"/>
        <v>45509</v>
      </c>
      <c r="E1583" s="1">
        <f t="shared" ca="1" si="292"/>
        <v>45514</v>
      </c>
      <c r="F1583" t="str">
        <f t="shared" ca="1" si="293"/>
        <v>Hypertension</v>
      </c>
      <c r="G1583" t="str">
        <f t="shared" ca="1" si="294"/>
        <v>Medication</v>
      </c>
      <c r="H1583">
        <f t="shared" ca="1" si="295"/>
        <v>5</v>
      </c>
      <c r="I1583" t="str">
        <f t="shared" ca="1" si="296"/>
        <v>No</v>
      </c>
      <c r="J1583">
        <f t="shared" ca="1" si="297"/>
        <v>1</v>
      </c>
      <c r="K1583" t="str">
        <f t="shared" ca="1" si="298"/>
        <v>Public</v>
      </c>
      <c r="L1583" t="str">
        <f t="shared" ca="1" si="299"/>
        <v>ER</v>
      </c>
    </row>
    <row r="1584" spans="1:12" x14ac:dyDescent="0.25">
      <c r="A1584">
        <f t="shared" si="288"/>
        <v>1583</v>
      </c>
      <c r="B1584">
        <f t="shared" ca="1" si="289"/>
        <v>25</v>
      </c>
      <c r="C1584" t="str">
        <f t="shared" ca="1" si="290"/>
        <v>Female</v>
      </c>
      <c r="D1584" s="1">
        <f t="shared" ca="1" si="291"/>
        <v>45637</v>
      </c>
      <c r="E1584" s="1">
        <f t="shared" ca="1" si="292"/>
        <v>45641</v>
      </c>
      <c r="F1584" t="str">
        <f t="shared" ca="1" si="293"/>
        <v>Heart Failure</v>
      </c>
      <c r="G1584" t="str">
        <f t="shared" ca="1" si="294"/>
        <v>Medication</v>
      </c>
      <c r="H1584">
        <f t="shared" ca="1" si="295"/>
        <v>4</v>
      </c>
      <c r="I1584" t="str">
        <f t="shared" ca="1" si="296"/>
        <v>No</v>
      </c>
      <c r="J1584">
        <f t="shared" ca="1" si="297"/>
        <v>0</v>
      </c>
      <c r="K1584" t="str">
        <f t="shared" ca="1" si="298"/>
        <v>Public</v>
      </c>
      <c r="L1584" t="str">
        <f t="shared" ca="1" si="299"/>
        <v>General</v>
      </c>
    </row>
    <row r="1585" spans="1:12" x14ac:dyDescent="0.25">
      <c r="A1585">
        <f t="shared" si="288"/>
        <v>1584</v>
      </c>
      <c r="B1585">
        <f t="shared" ca="1" si="289"/>
        <v>21</v>
      </c>
      <c r="C1585" t="str">
        <f t="shared" ca="1" si="290"/>
        <v>Female</v>
      </c>
      <c r="D1585" s="1">
        <f t="shared" ca="1" si="291"/>
        <v>45549</v>
      </c>
      <c r="E1585" s="1">
        <f t="shared" ca="1" si="292"/>
        <v>45554</v>
      </c>
      <c r="F1585" t="str">
        <f t="shared" ca="1" si="293"/>
        <v>Diabetes</v>
      </c>
      <c r="G1585" t="str">
        <f t="shared" ca="1" si="294"/>
        <v>Medication</v>
      </c>
      <c r="H1585">
        <f t="shared" ca="1" si="295"/>
        <v>5</v>
      </c>
      <c r="I1585" t="str">
        <f t="shared" ca="1" si="296"/>
        <v>No</v>
      </c>
      <c r="J1585">
        <f t="shared" ca="1" si="297"/>
        <v>1</v>
      </c>
      <c r="K1585" t="str">
        <f t="shared" ca="1" si="298"/>
        <v>None</v>
      </c>
      <c r="L1585" t="str">
        <f t="shared" ca="1" si="299"/>
        <v>Cardiology</v>
      </c>
    </row>
    <row r="1586" spans="1:12" x14ac:dyDescent="0.25">
      <c r="A1586">
        <f t="shared" si="288"/>
        <v>1585</v>
      </c>
      <c r="B1586">
        <f t="shared" ca="1" si="289"/>
        <v>26</v>
      </c>
      <c r="C1586" t="str">
        <f t="shared" ca="1" si="290"/>
        <v>Male</v>
      </c>
      <c r="D1586" s="1">
        <f t="shared" ca="1" si="291"/>
        <v>45368</v>
      </c>
      <c r="E1586" s="1">
        <f t="shared" ca="1" si="292"/>
        <v>45382</v>
      </c>
      <c r="F1586" t="str">
        <f t="shared" ca="1" si="293"/>
        <v>Stroke</v>
      </c>
      <c r="G1586" t="str">
        <f t="shared" ca="1" si="294"/>
        <v>Therapy</v>
      </c>
      <c r="H1586">
        <f t="shared" ca="1" si="295"/>
        <v>14</v>
      </c>
      <c r="I1586" t="str">
        <f t="shared" ca="1" si="296"/>
        <v>No</v>
      </c>
      <c r="J1586">
        <f t="shared" ca="1" si="297"/>
        <v>0</v>
      </c>
      <c r="K1586" t="str">
        <f t="shared" ca="1" si="298"/>
        <v>Public</v>
      </c>
      <c r="L1586" t="str">
        <f t="shared" ca="1" si="299"/>
        <v>ER</v>
      </c>
    </row>
    <row r="1587" spans="1:12" x14ac:dyDescent="0.25">
      <c r="A1587">
        <f t="shared" si="288"/>
        <v>1586</v>
      </c>
      <c r="B1587">
        <f t="shared" ca="1" si="289"/>
        <v>78</v>
      </c>
      <c r="C1587" t="str">
        <f t="shared" ca="1" si="290"/>
        <v>Male</v>
      </c>
      <c r="D1587" s="1">
        <f t="shared" ca="1" si="291"/>
        <v>45427</v>
      </c>
      <c r="E1587" s="1">
        <f t="shared" ca="1" si="292"/>
        <v>45431</v>
      </c>
      <c r="F1587" t="str">
        <f t="shared" ca="1" si="293"/>
        <v>Pneumonia</v>
      </c>
      <c r="G1587" t="str">
        <f t="shared" ca="1" si="294"/>
        <v>Therapy</v>
      </c>
      <c r="H1587">
        <f t="shared" ca="1" si="295"/>
        <v>4</v>
      </c>
      <c r="I1587" t="str">
        <f t="shared" ca="1" si="296"/>
        <v>Yes</v>
      </c>
      <c r="J1587">
        <f t="shared" ca="1" si="297"/>
        <v>3</v>
      </c>
      <c r="K1587" t="str">
        <f t="shared" ca="1" si="298"/>
        <v>None</v>
      </c>
      <c r="L1587" t="str">
        <f t="shared" ca="1" si="299"/>
        <v>ER</v>
      </c>
    </row>
    <row r="1588" spans="1:12" x14ac:dyDescent="0.25">
      <c r="A1588">
        <f t="shared" si="288"/>
        <v>1587</v>
      </c>
      <c r="B1588">
        <f t="shared" ca="1" si="289"/>
        <v>24</v>
      </c>
      <c r="C1588" t="str">
        <f t="shared" ca="1" si="290"/>
        <v>Female</v>
      </c>
      <c r="D1588" s="1">
        <f t="shared" ca="1" si="291"/>
        <v>45477</v>
      </c>
      <c r="E1588" s="1">
        <f t="shared" ca="1" si="292"/>
        <v>45480</v>
      </c>
      <c r="F1588" t="str">
        <f t="shared" ca="1" si="293"/>
        <v>Hypertension</v>
      </c>
      <c r="G1588" t="str">
        <f t="shared" ca="1" si="294"/>
        <v>Medication</v>
      </c>
      <c r="H1588">
        <f t="shared" ca="1" si="295"/>
        <v>3</v>
      </c>
      <c r="I1588" t="str">
        <f t="shared" ca="1" si="296"/>
        <v>No</v>
      </c>
      <c r="J1588">
        <f t="shared" ca="1" si="297"/>
        <v>4</v>
      </c>
      <c r="K1588" t="str">
        <f t="shared" ca="1" si="298"/>
        <v>None</v>
      </c>
      <c r="L1588" t="str">
        <f t="shared" ca="1" si="299"/>
        <v>Cardiology</v>
      </c>
    </row>
    <row r="1589" spans="1:12" x14ac:dyDescent="0.25">
      <c r="A1589">
        <f t="shared" si="288"/>
        <v>1588</v>
      </c>
      <c r="B1589">
        <f t="shared" ca="1" si="289"/>
        <v>31</v>
      </c>
      <c r="C1589" t="str">
        <f t="shared" ca="1" si="290"/>
        <v>Male</v>
      </c>
      <c r="D1589" s="1">
        <f t="shared" ca="1" si="291"/>
        <v>45454</v>
      </c>
      <c r="E1589" s="1">
        <f t="shared" ca="1" si="292"/>
        <v>45460</v>
      </c>
      <c r="F1589" t="str">
        <f t="shared" ca="1" si="293"/>
        <v>Diabetes</v>
      </c>
      <c r="G1589" t="str">
        <f t="shared" ca="1" si="294"/>
        <v>Medication</v>
      </c>
      <c r="H1589">
        <f t="shared" ca="1" si="295"/>
        <v>6</v>
      </c>
      <c r="I1589" t="str">
        <f t="shared" ca="1" si="296"/>
        <v>No</v>
      </c>
      <c r="J1589">
        <f t="shared" ca="1" si="297"/>
        <v>3</v>
      </c>
      <c r="K1589" t="str">
        <f t="shared" ca="1" si="298"/>
        <v>None</v>
      </c>
      <c r="L1589" t="str">
        <f t="shared" ca="1" si="299"/>
        <v>ICU</v>
      </c>
    </row>
    <row r="1590" spans="1:12" x14ac:dyDescent="0.25">
      <c r="A1590">
        <f t="shared" si="288"/>
        <v>1589</v>
      </c>
      <c r="B1590">
        <f t="shared" ca="1" si="289"/>
        <v>76</v>
      </c>
      <c r="C1590" t="str">
        <f t="shared" ca="1" si="290"/>
        <v>Male</v>
      </c>
      <c r="D1590" s="1">
        <f t="shared" ca="1" si="291"/>
        <v>45312</v>
      </c>
      <c r="E1590" s="1">
        <f t="shared" ca="1" si="292"/>
        <v>45314</v>
      </c>
      <c r="F1590" t="str">
        <f t="shared" ca="1" si="293"/>
        <v>Heart Failure</v>
      </c>
      <c r="G1590" t="str">
        <f t="shared" ca="1" si="294"/>
        <v>Surgery</v>
      </c>
      <c r="H1590">
        <f t="shared" ca="1" si="295"/>
        <v>2</v>
      </c>
      <c r="I1590" t="str">
        <f t="shared" ca="1" si="296"/>
        <v>No</v>
      </c>
      <c r="J1590">
        <f t="shared" ca="1" si="297"/>
        <v>0</v>
      </c>
      <c r="K1590" t="str">
        <f t="shared" ca="1" si="298"/>
        <v>Private</v>
      </c>
      <c r="L1590" t="str">
        <f t="shared" ca="1" si="299"/>
        <v>General</v>
      </c>
    </row>
    <row r="1591" spans="1:12" x14ac:dyDescent="0.25">
      <c r="A1591">
        <f t="shared" si="288"/>
        <v>1590</v>
      </c>
      <c r="B1591">
        <f t="shared" ca="1" si="289"/>
        <v>38</v>
      </c>
      <c r="C1591" t="str">
        <f t="shared" ca="1" si="290"/>
        <v>Female</v>
      </c>
      <c r="D1591" s="1">
        <f t="shared" ca="1" si="291"/>
        <v>45470</v>
      </c>
      <c r="E1591" s="1">
        <f t="shared" ca="1" si="292"/>
        <v>45476</v>
      </c>
      <c r="F1591" t="str">
        <f t="shared" ca="1" si="293"/>
        <v>Heart Failure</v>
      </c>
      <c r="G1591" t="str">
        <f t="shared" ca="1" si="294"/>
        <v>Therapy</v>
      </c>
      <c r="H1591">
        <f t="shared" ca="1" si="295"/>
        <v>6</v>
      </c>
      <c r="I1591" t="str">
        <f t="shared" ca="1" si="296"/>
        <v>No</v>
      </c>
      <c r="J1591">
        <f t="shared" ca="1" si="297"/>
        <v>2</v>
      </c>
      <c r="K1591" t="str">
        <f t="shared" ca="1" si="298"/>
        <v>Public</v>
      </c>
      <c r="L1591" t="str">
        <f t="shared" ca="1" si="299"/>
        <v>ICU</v>
      </c>
    </row>
    <row r="1592" spans="1:12" x14ac:dyDescent="0.25">
      <c r="A1592">
        <f t="shared" si="288"/>
        <v>1591</v>
      </c>
      <c r="B1592">
        <f t="shared" ca="1" si="289"/>
        <v>81</v>
      </c>
      <c r="C1592" t="str">
        <f t="shared" ca="1" si="290"/>
        <v>Female</v>
      </c>
      <c r="D1592" s="1">
        <f t="shared" ca="1" si="291"/>
        <v>45551</v>
      </c>
      <c r="E1592" s="1">
        <f t="shared" ca="1" si="292"/>
        <v>45563</v>
      </c>
      <c r="F1592" t="str">
        <f t="shared" ca="1" si="293"/>
        <v>Pneumonia</v>
      </c>
      <c r="G1592" t="str">
        <f t="shared" ca="1" si="294"/>
        <v>Surgery</v>
      </c>
      <c r="H1592">
        <f t="shared" ca="1" si="295"/>
        <v>12</v>
      </c>
      <c r="I1592" t="str">
        <f t="shared" ca="1" si="296"/>
        <v>No</v>
      </c>
      <c r="J1592">
        <f t="shared" ca="1" si="297"/>
        <v>1</v>
      </c>
      <c r="K1592" t="str">
        <f t="shared" ca="1" si="298"/>
        <v>Public</v>
      </c>
      <c r="L1592" t="str">
        <f t="shared" ca="1" si="299"/>
        <v>ER</v>
      </c>
    </row>
    <row r="1593" spans="1:12" x14ac:dyDescent="0.25">
      <c r="A1593">
        <f t="shared" si="288"/>
        <v>1592</v>
      </c>
      <c r="B1593">
        <f t="shared" ca="1" si="289"/>
        <v>38</v>
      </c>
      <c r="C1593" t="str">
        <f t="shared" ca="1" si="290"/>
        <v>Female</v>
      </c>
      <c r="D1593" s="1">
        <f t="shared" ca="1" si="291"/>
        <v>45427</v>
      </c>
      <c r="E1593" s="1">
        <f t="shared" ca="1" si="292"/>
        <v>45434</v>
      </c>
      <c r="F1593" t="str">
        <f t="shared" ca="1" si="293"/>
        <v>Diabetes</v>
      </c>
      <c r="G1593" t="str">
        <f t="shared" ca="1" si="294"/>
        <v>Medication</v>
      </c>
      <c r="H1593">
        <f t="shared" ca="1" si="295"/>
        <v>7</v>
      </c>
      <c r="I1593" t="str">
        <f t="shared" ca="1" si="296"/>
        <v>Yes</v>
      </c>
      <c r="J1593">
        <f t="shared" ca="1" si="297"/>
        <v>0</v>
      </c>
      <c r="K1593" t="str">
        <f t="shared" ca="1" si="298"/>
        <v>Public</v>
      </c>
      <c r="L1593" t="str">
        <f t="shared" ca="1" si="299"/>
        <v>ICU</v>
      </c>
    </row>
    <row r="1594" spans="1:12" x14ac:dyDescent="0.25">
      <c r="A1594">
        <f t="shared" si="288"/>
        <v>1593</v>
      </c>
      <c r="B1594">
        <f t="shared" ca="1" si="289"/>
        <v>51</v>
      </c>
      <c r="C1594" t="str">
        <f t="shared" ca="1" si="290"/>
        <v>Female</v>
      </c>
      <c r="D1594" s="1">
        <f t="shared" ca="1" si="291"/>
        <v>45348</v>
      </c>
      <c r="E1594" s="1">
        <f t="shared" ca="1" si="292"/>
        <v>45351</v>
      </c>
      <c r="F1594" t="str">
        <f t="shared" ca="1" si="293"/>
        <v>Hypertension</v>
      </c>
      <c r="G1594" t="str">
        <f t="shared" ca="1" si="294"/>
        <v>Surgery</v>
      </c>
      <c r="H1594">
        <f t="shared" ca="1" si="295"/>
        <v>3</v>
      </c>
      <c r="I1594" t="str">
        <f t="shared" ca="1" si="296"/>
        <v>Yes</v>
      </c>
      <c r="J1594">
        <f t="shared" ca="1" si="297"/>
        <v>3</v>
      </c>
      <c r="K1594" t="str">
        <f t="shared" ca="1" si="298"/>
        <v>None</v>
      </c>
      <c r="L1594" t="str">
        <f t="shared" ca="1" si="299"/>
        <v>General</v>
      </c>
    </row>
    <row r="1595" spans="1:12" x14ac:dyDescent="0.25">
      <c r="A1595">
        <f t="shared" si="288"/>
        <v>1594</v>
      </c>
      <c r="B1595">
        <f t="shared" ca="1" si="289"/>
        <v>76</v>
      </c>
      <c r="C1595" t="str">
        <f t="shared" ca="1" si="290"/>
        <v>Female</v>
      </c>
      <c r="D1595" s="1">
        <f t="shared" ca="1" si="291"/>
        <v>45297</v>
      </c>
      <c r="E1595" s="1">
        <f t="shared" ca="1" si="292"/>
        <v>45302</v>
      </c>
      <c r="F1595" t="str">
        <f t="shared" ca="1" si="293"/>
        <v>Hypertension</v>
      </c>
      <c r="G1595" t="str">
        <f t="shared" ca="1" si="294"/>
        <v>Therapy</v>
      </c>
      <c r="H1595">
        <f t="shared" ca="1" si="295"/>
        <v>5</v>
      </c>
      <c r="I1595" t="str">
        <f t="shared" ca="1" si="296"/>
        <v>No</v>
      </c>
      <c r="J1595">
        <f t="shared" ca="1" si="297"/>
        <v>3</v>
      </c>
      <c r="K1595" t="str">
        <f t="shared" ca="1" si="298"/>
        <v>Public</v>
      </c>
      <c r="L1595" t="str">
        <f t="shared" ca="1" si="299"/>
        <v>ICU</v>
      </c>
    </row>
    <row r="1596" spans="1:12" x14ac:dyDescent="0.25">
      <c r="A1596">
        <f t="shared" si="288"/>
        <v>1595</v>
      </c>
      <c r="B1596">
        <f t="shared" ca="1" si="289"/>
        <v>63</v>
      </c>
      <c r="C1596" t="str">
        <f t="shared" ca="1" si="290"/>
        <v>Female</v>
      </c>
      <c r="D1596" s="1">
        <f t="shared" ca="1" si="291"/>
        <v>45389</v>
      </c>
      <c r="E1596" s="1">
        <f t="shared" ca="1" si="292"/>
        <v>45401</v>
      </c>
      <c r="F1596" t="str">
        <f t="shared" ca="1" si="293"/>
        <v>Stroke</v>
      </c>
      <c r="G1596" t="str">
        <f t="shared" ca="1" si="294"/>
        <v>Medication</v>
      </c>
      <c r="H1596">
        <f t="shared" ca="1" si="295"/>
        <v>12</v>
      </c>
      <c r="I1596" t="str">
        <f t="shared" ca="1" si="296"/>
        <v>No</v>
      </c>
      <c r="J1596">
        <f t="shared" ca="1" si="297"/>
        <v>2</v>
      </c>
      <c r="K1596" t="str">
        <f t="shared" ca="1" si="298"/>
        <v>Private</v>
      </c>
      <c r="L1596" t="str">
        <f t="shared" ca="1" si="299"/>
        <v>ICU</v>
      </c>
    </row>
    <row r="1597" spans="1:12" x14ac:dyDescent="0.25">
      <c r="A1597">
        <f t="shared" si="288"/>
        <v>1596</v>
      </c>
      <c r="B1597">
        <f t="shared" ca="1" si="289"/>
        <v>54</v>
      </c>
      <c r="C1597" t="str">
        <f t="shared" ca="1" si="290"/>
        <v>Male</v>
      </c>
      <c r="D1597" s="1">
        <f t="shared" ca="1" si="291"/>
        <v>45422</v>
      </c>
      <c r="E1597" s="1">
        <f t="shared" ca="1" si="292"/>
        <v>45426</v>
      </c>
      <c r="F1597" t="str">
        <f t="shared" ca="1" si="293"/>
        <v>Pneumonia</v>
      </c>
      <c r="G1597" t="str">
        <f t="shared" ca="1" si="294"/>
        <v>Medication</v>
      </c>
      <c r="H1597">
        <f t="shared" ca="1" si="295"/>
        <v>4</v>
      </c>
      <c r="I1597" t="str">
        <f t="shared" ca="1" si="296"/>
        <v>No</v>
      </c>
      <c r="J1597">
        <f t="shared" ca="1" si="297"/>
        <v>1</v>
      </c>
      <c r="K1597" t="str">
        <f t="shared" ca="1" si="298"/>
        <v>Public</v>
      </c>
      <c r="L1597" t="str">
        <f t="shared" ca="1" si="299"/>
        <v>Neurology</v>
      </c>
    </row>
    <row r="1598" spans="1:12" x14ac:dyDescent="0.25">
      <c r="A1598">
        <f t="shared" si="288"/>
        <v>1597</v>
      </c>
      <c r="B1598">
        <f t="shared" ca="1" si="289"/>
        <v>32</v>
      </c>
      <c r="C1598" t="str">
        <f t="shared" ca="1" si="290"/>
        <v>Female</v>
      </c>
      <c r="D1598" s="1">
        <f t="shared" ca="1" si="291"/>
        <v>45518</v>
      </c>
      <c r="E1598" s="1">
        <f t="shared" ca="1" si="292"/>
        <v>45520</v>
      </c>
      <c r="F1598" t="str">
        <f t="shared" ca="1" si="293"/>
        <v>Heart Failure</v>
      </c>
      <c r="G1598" t="str">
        <f t="shared" ca="1" si="294"/>
        <v>Medication</v>
      </c>
      <c r="H1598">
        <f t="shared" ca="1" si="295"/>
        <v>2</v>
      </c>
      <c r="I1598" t="str">
        <f t="shared" ca="1" si="296"/>
        <v>No</v>
      </c>
      <c r="J1598">
        <f t="shared" ca="1" si="297"/>
        <v>0</v>
      </c>
      <c r="K1598" t="str">
        <f t="shared" ca="1" si="298"/>
        <v>Public</v>
      </c>
      <c r="L1598" t="str">
        <f t="shared" ca="1" si="299"/>
        <v>ER</v>
      </c>
    </row>
    <row r="1599" spans="1:12" x14ac:dyDescent="0.25">
      <c r="A1599">
        <f t="shared" si="288"/>
        <v>1598</v>
      </c>
      <c r="B1599">
        <f t="shared" ca="1" si="289"/>
        <v>40</v>
      </c>
      <c r="C1599" t="str">
        <f t="shared" ca="1" si="290"/>
        <v>Male</v>
      </c>
      <c r="D1599" s="1">
        <f t="shared" ca="1" si="291"/>
        <v>45326</v>
      </c>
      <c r="E1599" s="1">
        <f t="shared" ca="1" si="292"/>
        <v>45341</v>
      </c>
      <c r="F1599" t="str">
        <f t="shared" ca="1" si="293"/>
        <v>Hypertension</v>
      </c>
      <c r="G1599" t="str">
        <f t="shared" ca="1" si="294"/>
        <v>Medication</v>
      </c>
      <c r="H1599">
        <f t="shared" ca="1" si="295"/>
        <v>15</v>
      </c>
      <c r="I1599" t="str">
        <f t="shared" ca="1" si="296"/>
        <v>No</v>
      </c>
      <c r="J1599">
        <f t="shared" ca="1" si="297"/>
        <v>2</v>
      </c>
      <c r="K1599" t="str">
        <f t="shared" ca="1" si="298"/>
        <v>Public</v>
      </c>
      <c r="L1599" t="str">
        <f t="shared" ca="1" si="299"/>
        <v>General</v>
      </c>
    </row>
    <row r="1600" spans="1:12" x14ac:dyDescent="0.25">
      <c r="A1600">
        <f t="shared" si="288"/>
        <v>1599</v>
      </c>
      <c r="B1600">
        <f t="shared" ca="1" si="289"/>
        <v>84</v>
      </c>
      <c r="C1600" t="str">
        <f t="shared" ca="1" si="290"/>
        <v>Female</v>
      </c>
      <c r="D1600" s="1">
        <f t="shared" ca="1" si="291"/>
        <v>45568</v>
      </c>
      <c r="E1600" s="1">
        <f t="shared" ca="1" si="292"/>
        <v>45573</v>
      </c>
      <c r="F1600" t="str">
        <f t="shared" ca="1" si="293"/>
        <v>Stroke</v>
      </c>
      <c r="G1600" t="str">
        <f t="shared" ca="1" si="294"/>
        <v>Therapy</v>
      </c>
      <c r="H1600">
        <f t="shared" ca="1" si="295"/>
        <v>5</v>
      </c>
      <c r="I1600" t="str">
        <f t="shared" ca="1" si="296"/>
        <v>Yes</v>
      </c>
      <c r="J1600">
        <f t="shared" ca="1" si="297"/>
        <v>4</v>
      </c>
      <c r="K1600" t="str">
        <f t="shared" ca="1" si="298"/>
        <v>Private</v>
      </c>
      <c r="L1600" t="str">
        <f t="shared" ca="1" si="299"/>
        <v>ER</v>
      </c>
    </row>
    <row r="1601" spans="1:12" x14ac:dyDescent="0.25">
      <c r="A1601">
        <f t="shared" si="288"/>
        <v>1600</v>
      </c>
      <c r="B1601">
        <f t="shared" ca="1" si="289"/>
        <v>79</v>
      </c>
      <c r="C1601" t="str">
        <f t="shared" ca="1" si="290"/>
        <v>Female</v>
      </c>
      <c r="D1601" s="1">
        <f t="shared" ca="1" si="291"/>
        <v>45575</v>
      </c>
      <c r="E1601" s="1">
        <f t="shared" ca="1" si="292"/>
        <v>45584</v>
      </c>
      <c r="F1601" t="str">
        <f t="shared" ca="1" si="293"/>
        <v>Diabetes</v>
      </c>
      <c r="G1601" t="str">
        <f t="shared" ca="1" si="294"/>
        <v>Medication</v>
      </c>
      <c r="H1601">
        <f t="shared" ca="1" si="295"/>
        <v>9</v>
      </c>
      <c r="I1601" t="str">
        <f t="shared" ca="1" si="296"/>
        <v>Yes</v>
      </c>
      <c r="J1601">
        <f t="shared" ca="1" si="297"/>
        <v>0</v>
      </c>
      <c r="K1601" t="str">
        <f t="shared" ca="1" si="298"/>
        <v>Public</v>
      </c>
      <c r="L1601" t="str">
        <f t="shared" ca="1" si="299"/>
        <v>ER</v>
      </c>
    </row>
    <row r="1602" spans="1:12" x14ac:dyDescent="0.25">
      <c r="A1602">
        <f t="shared" si="288"/>
        <v>1601</v>
      </c>
      <c r="B1602">
        <f t="shared" ca="1" si="289"/>
        <v>73</v>
      </c>
      <c r="C1602" t="str">
        <f t="shared" ca="1" si="290"/>
        <v>Female</v>
      </c>
      <c r="D1602" s="1">
        <f t="shared" ca="1" si="291"/>
        <v>45498</v>
      </c>
      <c r="E1602" s="1">
        <f t="shared" ca="1" si="292"/>
        <v>45513</v>
      </c>
      <c r="F1602" t="str">
        <f t="shared" ca="1" si="293"/>
        <v>Pneumonia</v>
      </c>
      <c r="G1602" t="str">
        <f t="shared" ca="1" si="294"/>
        <v>Therapy</v>
      </c>
      <c r="H1602">
        <f t="shared" ca="1" si="295"/>
        <v>15</v>
      </c>
      <c r="I1602" t="str">
        <f t="shared" ca="1" si="296"/>
        <v>No</v>
      </c>
      <c r="J1602">
        <f t="shared" ca="1" si="297"/>
        <v>3</v>
      </c>
      <c r="K1602" t="str">
        <f t="shared" ca="1" si="298"/>
        <v>Private</v>
      </c>
      <c r="L1602" t="str">
        <f t="shared" ca="1" si="299"/>
        <v>ICU</v>
      </c>
    </row>
    <row r="1603" spans="1:12" x14ac:dyDescent="0.25">
      <c r="A1603">
        <f t="shared" ref="A1603:A1666" si="300">ROW() -1</f>
        <v>1602</v>
      </c>
      <c r="B1603">
        <f t="shared" ref="B1603:B1666" ca="1" si="301">RANDBETWEEN(20,90)</f>
        <v>50</v>
      </c>
      <c r="C1603" t="str">
        <f t="shared" ref="C1603:C1666" ca="1" si="302">IF(RAND()&lt;0.5,"Male","Female")</f>
        <v>Female</v>
      </c>
      <c r="D1603" s="1">
        <f t="shared" ref="D1603:D1666" ca="1" si="303">DATE(2024,1,1)+RANDBETWEEN(0,364)</f>
        <v>45648</v>
      </c>
      <c r="E1603" s="1">
        <f t="shared" ref="E1603:E1666" ca="1" si="304">D1603+RANDBETWEEN(1,15)</f>
        <v>45660</v>
      </c>
      <c r="F1603" t="str">
        <f t="shared" ref="F1603:F1666" ca="1" si="305">CHOOSE(RANDBETWEEN(1,5),"Diabetes","Heart Failure","Pneumonia","Stroke","Hypertension")</f>
        <v>Diabetes</v>
      </c>
      <c r="G1603" t="str">
        <f t="shared" ref="G1603:G1666" ca="1" si="306">CHOOSE(RANDBETWEEN(1,3),"Medication","Surgery","Therapy")</f>
        <v>Surgery</v>
      </c>
      <c r="H1603">
        <f t="shared" ref="H1603:H1666" ca="1" si="307">DATEDIF(D1603,E1603,"D")</f>
        <v>12</v>
      </c>
      <c r="I1603" t="str">
        <f t="shared" ref="I1603:I1666" ca="1" si="308">IF(RAND()&lt;0.3,"Yes","No")</f>
        <v>No</v>
      </c>
      <c r="J1603">
        <f t="shared" ref="J1603:J1666" ca="1" si="309">RANDBETWEEN(0,4)</f>
        <v>4</v>
      </c>
      <c r="K1603" t="str">
        <f t="shared" ref="K1603:K1666" ca="1" si="310">CHOOSE(RANDBETWEEN(1,3),"Private","Public","None")</f>
        <v>Private</v>
      </c>
      <c r="L1603" t="str">
        <f t="shared" ref="L1603:L1666" ca="1" si="311">CHOOSE(RANDBETWEEN(1,5),"ER","Cardiology","Neurology","General","ICU")</f>
        <v>Cardiology</v>
      </c>
    </row>
    <row r="1604" spans="1:12" x14ac:dyDescent="0.25">
      <c r="A1604">
        <f t="shared" si="300"/>
        <v>1603</v>
      </c>
      <c r="B1604">
        <f t="shared" ca="1" si="301"/>
        <v>32</v>
      </c>
      <c r="C1604" t="str">
        <f t="shared" ca="1" si="302"/>
        <v>Female</v>
      </c>
      <c r="D1604" s="1">
        <f t="shared" ca="1" si="303"/>
        <v>45562</v>
      </c>
      <c r="E1604" s="1">
        <f t="shared" ca="1" si="304"/>
        <v>45565</v>
      </c>
      <c r="F1604" t="str">
        <f t="shared" ca="1" si="305"/>
        <v>Hypertension</v>
      </c>
      <c r="G1604" t="str">
        <f t="shared" ca="1" si="306"/>
        <v>Medication</v>
      </c>
      <c r="H1604">
        <f t="shared" ca="1" si="307"/>
        <v>3</v>
      </c>
      <c r="I1604" t="str">
        <f t="shared" ca="1" si="308"/>
        <v>No</v>
      </c>
      <c r="J1604">
        <f t="shared" ca="1" si="309"/>
        <v>4</v>
      </c>
      <c r="K1604" t="str">
        <f t="shared" ca="1" si="310"/>
        <v>Private</v>
      </c>
      <c r="L1604" t="str">
        <f t="shared" ca="1" si="311"/>
        <v>ER</v>
      </c>
    </row>
    <row r="1605" spans="1:12" x14ac:dyDescent="0.25">
      <c r="A1605">
        <f t="shared" si="300"/>
        <v>1604</v>
      </c>
      <c r="B1605">
        <f t="shared" ca="1" si="301"/>
        <v>57</v>
      </c>
      <c r="C1605" t="str">
        <f t="shared" ca="1" si="302"/>
        <v>Female</v>
      </c>
      <c r="D1605" s="1">
        <f t="shared" ca="1" si="303"/>
        <v>45440</v>
      </c>
      <c r="E1605" s="1">
        <f t="shared" ca="1" si="304"/>
        <v>45451</v>
      </c>
      <c r="F1605" t="str">
        <f t="shared" ca="1" si="305"/>
        <v>Hypertension</v>
      </c>
      <c r="G1605" t="str">
        <f t="shared" ca="1" si="306"/>
        <v>Medication</v>
      </c>
      <c r="H1605">
        <f t="shared" ca="1" si="307"/>
        <v>11</v>
      </c>
      <c r="I1605" t="str">
        <f t="shared" ca="1" si="308"/>
        <v>No</v>
      </c>
      <c r="J1605">
        <f t="shared" ca="1" si="309"/>
        <v>1</v>
      </c>
      <c r="K1605" t="str">
        <f t="shared" ca="1" si="310"/>
        <v>None</v>
      </c>
      <c r="L1605" t="str">
        <f t="shared" ca="1" si="311"/>
        <v>ER</v>
      </c>
    </row>
    <row r="1606" spans="1:12" x14ac:dyDescent="0.25">
      <c r="A1606">
        <f t="shared" si="300"/>
        <v>1605</v>
      </c>
      <c r="B1606">
        <f t="shared" ca="1" si="301"/>
        <v>84</v>
      </c>
      <c r="C1606" t="str">
        <f t="shared" ca="1" si="302"/>
        <v>Male</v>
      </c>
      <c r="D1606" s="1">
        <f t="shared" ca="1" si="303"/>
        <v>45314</v>
      </c>
      <c r="E1606" s="1">
        <f t="shared" ca="1" si="304"/>
        <v>45322</v>
      </c>
      <c r="F1606" t="str">
        <f t="shared" ca="1" si="305"/>
        <v>Hypertension</v>
      </c>
      <c r="G1606" t="str">
        <f t="shared" ca="1" si="306"/>
        <v>Medication</v>
      </c>
      <c r="H1606">
        <f t="shared" ca="1" si="307"/>
        <v>8</v>
      </c>
      <c r="I1606" t="str">
        <f t="shared" ca="1" si="308"/>
        <v>No</v>
      </c>
      <c r="J1606">
        <f t="shared" ca="1" si="309"/>
        <v>1</v>
      </c>
      <c r="K1606" t="str">
        <f t="shared" ca="1" si="310"/>
        <v>None</v>
      </c>
      <c r="L1606" t="str">
        <f t="shared" ca="1" si="311"/>
        <v>ER</v>
      </c>
    </row>
    <row r="1607" spans="1:12" x14ac:dyDescent="0.25">
      <c r="A1607">
        <f t="shared" si="300"/>
        <v>1606</v>
      </c>
      <c r="B1607">
        <f t="shared" ca="1" si="301"/>
        <v>86</v>
      </c>
      <c r="C1607" t="str">
        <f t="shared" ca="1" si="302"/>
        <v>Female</v>
      </c>
      <c r="D1607" s="1">
        <f t="shared" ca="1" si="303"/>
        <v>45435</v>
      </c>
      <c r="E1607" s="1">
        <f t="shared" ca="1" si="304"/>
        <v>45449</v>
      </c>
      <c r="F1607" t="str">
        <f t="shared" ca="1" si="305"/>
        <v>Hypertension</v>
      </c>
      <c r="G1607" t="str">
        <f t="shared" ca="1" si="306"/>
        <v>Surgery</v>
      </c>
      <c r="H1607">
        <f t="shared" ca="1" si="307"/>
        <v>14</v>
      </c>
      <c r="I1607" t="str">
        <f t="shared" ca="1" si="308"/>
        <v>Yes</v>
      </c>
      <c r="J1607">
        <f t="shared" ca="1" si="309"/>
        <v>3</v>
      </c>
      <c r="K1607" t="str">
        <f t="shared" ca="1" si="310"/>
        <v>None</v>
      </c>
      <c r="L1607" t="str">
        <f t="shared" ca="1" si="311"/>
        <v>ER</v>
      </c>
    </row>
    <row r="1608" spans="1:12" x14ac:dyDescent="0.25">
      <c r="A1608">
        <f t="shared" si="300"/>
        <v>1607</v>
      </c>
      <c r="B1608">
        <f t="shared" ca="1" si="301"/>
        <v>51</v>
      </c>
      <c r="C1608" t="str">
        <f t="shared" ca="1" si="302"/>
        <v>Female</v>
      </c>
      <c r="D1608" s="1">
        <f t="shared" ca="1" si="303"/>
        <v>45504</v>
      </c>
      <c r="E1608" s="1">
        <f t="shared" ca="1" si="304"/>
        <v>45510</v>
      </c>
      <c r="F1608" t="str">
        <f t="shared" ca="1" si="305"/>
        <v>Heart Failure</v>
      </c>
      <c r="G1608" t="str">
        <f t="shared" ca="1" si="306"/>
        <v>Medication</v>
      </c>
      <c r="H1608">
        <f t="shared" ca="1" si="307"/>
        <v>6</v>
      </c>
      <c r="I1608" t="str">
        <f t="shared" ca="1" si="308"/>
        <v>Yes</v>
      </c>
      <c r="J1608">
        <f t="shared" ca="1" si="309"/>
        <v>4</v>
      </c>
      <c r="K1608" t="str">
        <f t="shared" ca="1" si="310"/>
        <v>Public</v>
      </c>
      <c r="L1608" t="str">
        <f t="shared" ca="1" si="311"/>
        <v>ER</v>
      </c>
    </row>
    <row r="1609" spans="1:12" x14ac:dyDescent="0.25">
      <c r="A1609">
        <f t="shared" si="300"/>
        <v>1608</v>
      </c>
      <c r="B1609">
        <f t="shared" ca="1" si="301"/>
        <v>59</v>
      </c>
      <c r="C1609" t="str">
        <f t="shared" ca="1" si="302"/>
        <v>Female</v>
      </c>
      <c r="D1609" s="1">
        <f t="shared" ca="1" si="303"/>
        <v>45562</v>
      </c>
      <c r="E1609" s="1">
        <f t="shared" ca="1" si="304"/>
        <v>45573</v>
      </c>
      <c r="F1609" t="str">
        <f t="shared" ca="1" si="305"/>
        <v>Pneumonia</v>
      </c>
      <c r="G1609" t="str">
        <f t="shared" ca="1" si="306"/>
        <v>Therapy</v>
      </c>
      <c r="H1609">
        <f t="shared" ca="1" si="307"/>
        <v>11</v>
      </c>
      <c r="I1609" t="str">
        <f t="shared" ca="1" si="308"/>
        <v>No</v>
      </c>
      <c r="J1609">
        <f t="shared" ca="1" si="309"/>
        <v>4</v>
      </c>
      <c r="K1609" t="str">
        <f t="shared" ca="1" si="310"/>
        <v>Public</v>
      </c>
      <c r="L1609" t="str">
        <f t="shared" ca="1" si="311"/>
        <v>General</v>
      </c>
    </row>
    <row r="1610" spans="1:12" x14ac:dyDescent="0.25">
      <c r="A1610">
        <f t="shared" si="300"/>
        <v>1609</v>
      </c>
      <c r="B1610">
        <f t="shared" ca="1" si="301"/>
        <v>80</v>
      </c>
      <c r="C1610" t="str">
        <f t="shared" ca="1" si="302"/>
        <v>Male</v>
      </c>
      <c r="D1610" s="1">
        <f t="shared" ca="1" si="303"/>
        <v>45470</v>
      </c>
      <c r="E1610" s="1">
        <f t="shared" ca="1" si="304"/>
        <v>45481</v>
      </c>
      <c r="F1610" t="str">
        <f t="shared" ca="1" si="305"/>
        <v>Pneumonia</v>
      </c>
      <c r="G1610" t="str">
        <f t="shared" ca="1" si="306"/>
        <v>Medication</v>
      </c>
      <c r="H1610">
        <f t="shared" ca="1" si="307"/>
        <v>11</v>
      </c>
      <c r="I1610" t="str">
        <f t="shared" ca="1" si="308"/>
        <v>Yes</v>
      </c>
      <c r="J1610">
        <f t="shared" ca="1" si="309"/>
        <v>0</v>
      </c>
      <c r="K1610" t="str">
        <f t="shared" ca="1" si="310"/>
        <v>Private</v>
      </c>
      <c r="L1610" t="str">
        <f t="shared" ca="1" si="311"/>
        <v>General</v>
      </c>
    </row>
    <row r="1611" spans="1:12" x14ac:dyDescent="0.25">
      <c r="A1611">
        <f t="shared" si="300"/>
        <v>1610</v>
      </c>
      <c r="B1611">
        <f t="shared" ca="1" si="301"/>
        <v>37</v>
      </c>
      <c r="C1611" t="str">
        <f t="shared" ca="1" si="302"/>
        <v>Male</v>
      </c>
      <c r="D1611" s="1">
        <f t="shared" ca="1" si="303"/>
        <v>45417</v>
      </c>
      <c r="E1611" s="1">
        <f t="shared" ca="1" si="304"/>
        <v>45428</v>
      </c>
      <c r="F1611" t="str">
        <f t="shared" ca="1" si="305"/>
        <v>Pneumonia</v>
      </c>
      <c r="G1611" t="str">
        <f t="shared" ca="1" si="306"/>
        <v>Surgery</v>
      </c>
      <c r="H1611">
        <f t="shared" ca="1" si="307"/>
        <v>11</v>
      </c>
      <c r="I1611" t="str">
        <f t="shared" ca="1" si="308"/>
        <v>No</v>
      </c>
      <c r="J1611">
        <f t="shared" ca="1" si="309"/>
        <v>0</v>
      </c>
      <c r="K1611" t="str">
        <f t="shared" ca="1" si="310"/>
        <v>None</v>
      </c>
      <c r="L1611" t="str">
        <f t="shared" ca="1" si="311"/>
        <v>Neurology</v>
      </c>
    </row>
    <row r="1612" spans="1:12" x14ac:dyDescent="0.25">
      <c r="A1612">
        <f t="shared" si="300"/>
        <v>1611</v>
      </c>
      <c r="B1612">
        <f t="shared" ca="1" si="301"/>
        <v>71</v>
      </c>
      <c r="C1612" t="str">
        <f t="shared" ca="1" si="302"/>
        <v>Male</v>
      </c>
      <c r="D1612" s="1">
        <f t="shared" ca="1" si="303"/>
        <v>45586</v>
      </c>
      <c r="E1612" s="1">
        <f t="shared" ca="1" si="304"/>
        <v>45595</v>
      </c>
      <c r="F1612" t="str">
        <f t="shared" ca="1" si="305"/>
        <v>Heart Failure</v>
      </c>
      <c r="G1612" t="str">
        <f t="shared" ca="1" si="306"/>
        <v>Medication</v>
      </c>
      <c r="H1612">
        <f t="shared" ca="1" si="307"/>
        <v>9</v>
      </c>
      <c r="I1612" t="str">
        <f t="shared" ca="1" si="308"/>
        <v>No</v>
      </c>
      <c r="J1612">
        <f t="shared" ca="1" si="309"/>
        <v>3</v>
      </c>
      <c r="K1612" t="str">
        <f t="shared" ca="1" si="310"/>
        <v>Private</v>
      </c>
      <c r="L1612" t="str">
        <f t="shared" ca="1" si="311"/>
        <v>ER</v>
      </c>
    </row>
    <row r="1613" spans="1:12" x14ac:dyDescent="0.25">
      <c r="A1613">
        <f t="shared" si="300"/>
        <v>1612</v>
      </c>
      <c r="B1613">
        <f t="shared" ca="1" si="301"/>
        <v>90</v>
      </c>
      <c r="C1613" t="str">
        <f t="shared" ca="1" si="302"/>
        <v>Male</v>
      </c>
      <c r="D1613" s="1">
        <f t="shared" ca="1" si="303"/>
        <v>45597</v>
      </c>
      <c r="E1613" s="1">
        <f t="shared" ca="1" si="304"/>
        <v>45600</v>
      </c>
      <c r="F1613" t="str">
        <f t="shared" ca="1" si="305"/>
        <v>Hypertension</v>
      </c>
      <c r="G1613" t="str">
        <f t="shared" ca="1" si="306"/>
        <v>Surgery</v>
      </c>
      <c r="H1613">
        <f t="shared" ca="1" si="307"/>
        <v>3</v>
      </c>
      <c r="I1613" t="str">
        <f t="shared" ca="1" si="308"/>
        <v>Yes</v>
      </c>
      <c r="J1613">
        <f t="shared" ca="1" si="309"/>
        <v>1</v>
      </c>
      <c r="K1613" t="str">
        <f t="shared" ca="1" si="310"/>
        <v>None</v>
      </c>
      <c r="L1613" t="str">
        <f t="shared" ca="1" si="311"/>
        <v>Neurology</v>
      </c>
    </row>
    <row r="1614" spans="1:12" x14ac:dyDescent="0.25">
      <c r="A1614">
        <f t="shared" si="300"/>
        <v>1613</v>
      </c>
      <c r="B1614">
        <f t="shared" ca="1" si="301"/>
        <v>69</v>
      </c>
      <c r="C1614" t="str">
        <f t="shared" ca="1" si="302"/>
        <v>Female</v>
      </c>
      <c r="D1614" s="1">
        <f t="shared" ca="1" si="303"/>
        <v>45619</v>
      </c>
      <c r="E1614" s="1">
        <f t="shared" ca="1" si="304"/>
        <v>45621</v>
      </c>
      <c r="F1614" t="str">
        <f t="shared" ca="1" si="305"/>
        <v>Stroke</v>
      </c>
      <c r="G1614" t="str">
        <f t="shared" ca="1" si="306"/>
        <v>Surgery</v>
      </c>
      <c r="H1614">
        <f t="shared" ca="1" si="307"/>
        <v>2</v>
      </c>
      <c r="I1614" t="str">
        <f t="shared" ca="1" si="308"/>
        <v>No</v>
      </c>
      <c r="J1614">
        <f t="shared" ca="1" si="309"/>
        <v>0</v>
      </c>
      <c r="K1614" t="str">
        <f t="shared" ca="1" si="310"/>
        <v>Public</v>
      </c>
      <c r="L1614" t="str">
        <f t="shared" ca="1" si="311"/>
        <v>Cardiology</v>
      </c>
    </row>
    <row r="1615" spans="1:12" x14ac:dyDescent="0.25">
      <c r="A1615">
        <f t="shared" si="300"/>
        <v>1614</v>
      </c>
      <c r="B1615">
        <f t="shared" ca="1" si="301"/>
        <v>55</v>
      </c>
      <c r="C1615" t="str">
        <f t="shared" ca="1" si="302"/>
        <v>Male</v>
      </c>
      <c r="D1615" s="1">
        <f t="shared" ca="1" si="303"/>
        <v>45624</v>
      </c>
      <c r="E1615" s="1">
        <f t="shared" ca="1" si="304"/>
        <v>45632</v>
      </c>
      <c r="F1615" t="str">
        <f t="shared" ca="1" si="305"/>
        <v>Diabetes</v>
      </c>
      <c r="G1615" t="str">
        <f t="shared" ca="1" si="306"/>
        <v>Medication</v>
      </c>
      <c r="H1615">
        <f t="shared" ca="1" si="307"/>
        <v>8</v>
      </c>
      <c r="I1615" t="str">
        <f t="shared" ca="1" si="308"/>
        <v>Yes</v>
      </c>
      <c r="J1615">
        <f t="shared" ca="1" si="309"/>
        <v>0</v>
      </c>
      <c r="K1615" t="str">
        <f t="shared" ca="1" si="310"/>
        <v>None</v>
      </c>
      <c r="L1615" t="str">
        <f t="shared" ca="1" si="311"/>
        <v>Cardiology</v>
      </c>
    </row>
    <row r="1616" spans="1:12" x14ac:dyDescent="0.25">
      <c r="A1616">
        <f t="shared" si="300"/>
        <v>1615</v>
      </c>
      <c r="B1616">
        <f t="shared" ca="1" si="301"/>
        <v>66</v>
      </c>
      <c r="C1616" t="str">
        <f t="shared" ca="1" si="302"/>
        <v>Female</v>
      </c>
      <c r="D1616" s="1">
        <f t="shared" ca="1" si="303"/>
        <v>45445</v>
      </c>
      <c r="E1616" s="1">
        <f t="shared" ca="1" si="304"/>
        <v>45449</v>
      </c>
      <c r="F1616" t="str">
        <f t="shared" ca="1" si="305"/>
        <v>Stroke</v>
      </c>
      <c r="G1616" t="str">
        <f t="shared" ca="1" si="306"/>
        <v>Therapy</v>
      </c>
      <c r="H1616">
        <f t="shared" ca="1" si="307"/>
        <v>4</v>
      </c>
      <c r="I1616" t="str">
        <f t="shared" ca="1" si="308"/>
        <v>No</v>
      </c>
      <c r="J1616">
        <f t="shared" ca="1" si="309"/>
        <v>2</v>
      </c>
      <c r="K1616" t="str">
        <f t="shared" ca="1" si="310"/>
        <v>None</v>
      </c>
      <c r="L1616" t="str">
        <f t="shared" ca="1" si="311"/>
        <v>ICU</v>
      </c>
    </row>
    <row r="1617" spans="1:12" x14ac:dyDescent="0.25">
      <c r="A1617">
        <f t="shared" si="300"/>
        <v>1616</v>
      </c>
      <c r="B1617">
        <f t="shared" ca="1" si="301"/>
        <v>46</v>
      </c>
      <c r="C1617" t="str">
        <f t="shared" ca="1" si="302"/>
        <v>Male</v>
      </c>
      <c r="D1617" s="1">
        <f t="shared" ca="1" si="303"/>
        <v>45317</v>
      </c>
      <c r="E1617" s="1">
        <f t="shared" ca="1" si="304"/>
        <v>45322</v>
      </c>
      <c r="F1617" t="str">
        <f t="shared" ca="1" si="305"/>
        <v>Heart Failure</v>
      </c>
      <c r="G1617" t="str">
        <f t="shared" ca="1" si="306"/>
        <v>Medication</v>
      </c>
      <c r="H1617">
        <f t="shared" ca="1" si="307"/>
        <v>5</v>
      </c>
      <c r="I1617" t="str">
        <f t="shared" ca="1" si="308"/>
        <v>Yes</v>
      </c>
      <c r="J1617">
        <f t="shared" ca="1" si="309"/>
        <v>0</v>
      </c>
      <c r="K1617" t="str">
        <f t="shared" ca="1" si="310"/>
        <v>Public</v>
      </c>
      <c r="L1617" t="str">
        <f t="shared" ca="1" si="311"/>
        <v>General</v>
      </c>
    </row>
    <row r="1618" spans="1:12" x14ac:dyDescent="0.25">
      <c r="A1618">
        <f t="shared" si="300"/>
        <v>1617</v>
      </c>
      <c r="B1618">
        <f t="shared" ca="1" si="301"/>
        <v>41</v>
      </c>
      <c r="C1618" t="str">
        <f t="shared" ca="1" si="302"/>
        <v>Male</v>
      </c>
      <c r="D1618" s="1">
        <f t="shared" ca="1" si="303"/>
        <v>45567</v>
      </c>
      <c r="E1618" s="1">
        <f t="shared" ca="1" si="304"/>
        <v>45573</v>
      </c>
      <c r="F1618" t="str">
        <f t="shared" ca="1" si="305"/>
        <v>Stroke</v>
      </c>
      <c r="G1618" t="str">
        <f t="shared" ca="1" si="306"/>
        <v>Surgery</v>
      </c>
      <c r="H1618">
        <f t="shared" ca="1" si="307"/>
        <v>6</v>
      </c>
      <c r="I1618" t="str">
        <f t="shared" ca="1" si="308"/>
        <v>No</v>
      </c>
      <c r="J1618">
        <f t="shared" ca="1" si="309"/>
        <v>4</v>
      </c>
      <c r="K1618" t="str">
        <f t="shared" ca="1" si="310"/>
        <v>Private</v>
      </c>
      <c r="L1618" t="str">
        <f t="shared" ca="1" si="311"/>
        <v>ER</v>
      </c>
    </row>
    <row r="1619" spans="1:12" x14ac:dyDescent="0.25">
      <c r="A1619">
        <f t="shared" si="300"/>
        <v>1618</v>
      </c>
      <c r="B1619">
        <f t="shared" ca="1" si="301"/>
        <v>59</v>
      </c>
      <c r="C1619" t="str">
        <f t="shared" ca="1" si="302"/>
        <v>Female</v>
      </c>
      <c r="D1619" s="1">
        <f t="shared" ca="1" si="303"/>
        <v>45385</v>
      </c>
      <c r="E1619" s="1">
        <f t="shared" ca="1" si="304"/>
        <v>45396</v>
      </c>
      <c r="F1619" t="str">
        <f t="shared" ca="1" si="305"/>
        <v>Stroke</v>
      </c>
      <c r="G1619" t="str">
        <f t="shared" ca="1" si="306"/>
        <v>Medication</v>
      </c>
      <c r="H1619">
        <f t="shared" ca="1" si="307"/>
        <v>11</v>
      </c>
      <c r="I1619" t="str">
        <f t="shared" ca="1" si="308"/>
        <v>No</v>
      </c>
      <c r="J1619">
        <f t="shared" ca="1" si="309"/>
        <v>4</v>
      </c>
      <c r="K1619" t="str">
        <f t="shared" ca="1" si="310"/>
        <v>Private</v>
      </c>
      <c r="L1619" t="str">
        <f t="shared" ca="1" si="311"/>
        <v>General</v>
      </c>
    </row>
    <row r="1620" spans="1:12" x14ac:dyDescent="0.25">
      <c r="A1620">
        <f t="shared" si="300"/>
        <v>1619</v>
      </c>
      <c r="B1620">
        <f t="shared" ca="1" si="301"/>
        <v>46</v>
      </c>
      <c r="C1620" t="str">
        <f t="shared" ca="1" si="302"/>
        <v>Male</v>
      </c>
      <c r="D1620" s="1">
        <f t="shared" ca="1" si="303"/>
        <v>45402</v>
      </c>
      <c r="E1620" s="1">
        <f t="shared" ca="1" si="304"/>
        <v>45417</v>
      </c>
      <c r="F1620" t="str">
        <f t="shared" ca="1" si="305"/>
        <v>Heart Failure</v>
      </c>
      <c r="G1620" t="str">
        <f t="shared" ca="1" si="306"/>
        <v>Therapy</v>
      </c>
      <c r="H1620">
        <f t="shared" ca="1" si="307"/>
        <v>15</v>
      </c>
      <c r="I1620" t="str">
        <f t="shared" ca="1" si="308"/>
        <v>No</v>
      </c>
      <c r="J1620">
        <f t="shared" ca="1" si="309"/>
        <v>3</v>
      </c>
      <c r="K1620" t="str">
        <f t="shared" ca="1" si="310"/>
        <v>Public</v>
      </c>
      <c r="L1620" t="str">
        <f t="shared" ca="1" si="311"/>
        <v>ER</v>
      </c>
    </row>
    <row r="1621" spans="1:12" x14ac:dyDescent="0.25">
      <c r="A1621">
        <f t="shared" si="300"/>
        <v>1620</v>
      </c>
      <c r="B1621">
        <f t="shared" ca="1" si="301"/>
        <v>41</v>
      </c>
      <c r="C1621" t="str">
        <f t="shared" ca="1" si="302"/>
        <v>Male</v>
      </c>
      <c r="D1621" s="1">
        <f t="shared" ca="1" si="303"/>
        <v>45561</v>
      </c>
      <c r="E1621" s="1">
        <f t="shared" ca="1" si="304"/>
        <v>45570</v>
      </c>
      <c r="F1621" t="str">
        <f t="shared" ca="1" si="305"/>
        <v>Hypertension</v>
      </c>
      <c r="G1621" t="str">
        <f t="shared" ca="1" si="306"/>
        <v>Therapy</v>
      </c>
      <c r="H1621">
        <f t="shared" ca="1" si="307"/>
        <v>9</v>
      </c>
      <c r="I1621" t="str">
        <f t="shared" ca="1" si="308"/>
        <v>No</v>
      </c>
      <c r="J1621">
        <f t="shared" ca="1" si="309"/>
        <v>1</v>
      </c>
      <c r="K1621" t="str">
        <f t="shared" ca="1" si="310"/>
        <v>None</v>
      </c>
      <c r="L1621" t="str">
        <f t="shared" ca="1" si="311"/>
        <v>ICU</v>
      </c>
    </row>
    <row r="1622" spans="1:12" x14ac:dyDescent="0.25">
      <c r="A1622">
        <f t="shared" si="300"/>
        <v>1621</v>
      </c>
      <c r="B1622">
        <f t="shared" ca="1" si="301"/>
        <v>82</v>
      </c>
      <c r="C1622" t="str">
        <f t="shared" ca="1" si="302"/>
        <v>Female</v>
      </c>
      <c r="D1622" s="1">
        <f t="shared" ca="1" si="303"/>
        <v>45375</v>
      </c>
      <c r="E1622" s="1">
        <f t="shared" ca="1" si="304"/>
        <v>45378</v>
      </c>
      <c r="F1622" t="str">
        <f t="shared" ca="1" si="305"/>
        <v>Pneumonia</v>
      </c>
      <c r="G1622" t="str">
        <f t="shared" ca="1" si="306"/>
        <v>Therapy</v>
      </c>
      <c r="H1622">
        <f t="shared" ca="1" si="307"/>
        <v>3</v>
      </c>
      <c r="I1622" t="str">
        <f t="shared" ca="1" si="308"/>
        <v>No</v>
      </c>
      <c r="J1622">
        <f t="shared" ca="1" si="309"/>
        <v>3</v>
      </c>
      <c r="K1622" t="str">
        <f t="shared" ca="1" si="310"/>
        <v>Public</v>
      </c>
      <c r="L1622" t="str">
        <f t="shared" ca="1" si="311"/>
        <v>General</v>
      </c>
    </row>
    <row r="1623" spans="1:12" x14ac:dyDescent="0.25">
      <c r="A1623">
        <f t="shared" si="300"/>
        <v>1622</v>
      </c>
      <c r="B1623">
        <f t="shared" ca="1" si="301"/>
        <v>26</v>
      </c>
      <c r="C1623" t="str">
        <f t="shared" ca="1" si="302"/>
        <v>Male</v>
      </c>
      <c r="D1623" s="1">
        <f t="shared" ca="1" si="303"/>
        <v>45575</v>
      </c>
      <c r="E1623" s="1">
        <f t="shared" ca="1" si="304"/>
        <v>45581</v>
      </c>
      <c r="F1623" t="str">
        <f t="shared" ca="1" si="305"/>
        <v>Heart Failure</v>
      </c>
      <c r="G1623" t="str">
        <f t="shared" ca="1" si="306"/>
        <v>Therapy</v>
      </c>
      <c r="H1623">
        <f t="shared" ca="1" si="307"/>
        <v>6</v>
      </c>
      <c r="I1623" t="str">
        <f t="shared" ca="1" si="308"/>
        <v>No</v>
      </c>
      <c r="J1623">
        <f t="shared" ca="1" si="309"/>
        <v>2</v>
      </c>
      <c r="K1623" t="str">
        <f t="shared" ca="1" si="310"/>
        <v>None</v>
      </c>
      <c r="L1623" t="str">
        <f t="shared" ca="1" si="311"/>
        <v>ICU</v>
      </c>
    </row>
    <row r="1624" spans="1:12" x14ac:dyDescent="0.25">
      <c r="A1624">
        <f t="shared" si="300"/>
        <v>1623</v>
      </c>
      <c r="B1624">
        <f t="shared" ca="1" si="301"/>
        <v>68</v>
      </c>
      <c r="C1624" t="str">
        <f t="shared" ca="1" si="302"/>
        <v>Male</v>
      </c>
      <c r="D1624" s="1">
        <f t="shared" ca="1" si="303"/>
        <v>45449</v>
      </c>
      <c r="E1624" s="1">
        <f t="shared" ca="1" si="304"/>
        <v>45456</v>
      </c>
      <c r="F1624" t="str">
        <f t="shared" ca="1" si="305"/>
        <v>Pneumonia</v>
      </c>
      <c r="G1624" t="str">
        <f t="shared" ca="1" si="306"/>
        <v>Surgery</v>
      </c>
      <c r="H1624">
        <f t="shared" ca="1" si="307"/>
        <v>7</v>
      </c>
      <c r="I1624" t="str">
        <f t="shared" ca="1" si="308"/>
        <v>No</v>
      </c>
      <c r="J1624">
        <f t="shared" ca="1" si="309"/>
        <v>1</v>
      </c>
      <c r="K1624" t="str">
        <f t="shared" ca="1" si="310"/>
        <v>None</v>
      </c>
      <c r="L1624" t="str">
        <f t="shared" ca="1" si="311"/>
        <v>General</v>
      </c>
    </row>
    <row r="1625" spans="1:12" x14ac:dyDescent="0.25">
      <c r="A1625">
        <f t="shared" si="300"/>
        <v>1624</v>
      </c>
      <c r="B1625">
        <f t="shared" ca="1" si="301"/>
        <v>82</v>
      </c>
      <c r="C1625" t="str">
        <f t="shared" ca="1" si="302"/>
        <v>Female</v>
      </c>
      <c r="D1625" s="1">
        <f t="shared" ca="1" si="303"/>
        <v>45356</v>
      </c>
      <c r="E1625" s="1">
        <f t="shared" ca="1" si="304"/>
        <v>45364</v>
      </c>
      <c r="F1625" t="str">
        <f t="shared" ca="1" si="305"/>
        <v>Heart Failure</v>
      </c>
      <c r="G1625" t="str">
        <f t="shared" ca="1" si="306"/>
        <v>Surgery</v>
      </c>
      <c r="H1625">
        <f t="shared" ca="1" si="307"/>
        <v>8</v>
      </c>
      <c r="I1625" t="str">
        <f t="shared" ca="1" si="308"/>
        <v>No</v>
      </c>
      <c r="J1625">
        <f t="shared" ca="1" si="309"/>
        <v>3</v>
      </c>
      <c r="K1625" t="str">
        <f t="shared" ca="1" si="310"/>
        <v>Public</v>
      </c>
      <c r="L1625" t="str">
        <f t="shared" ca="1" si="311"/>
        <v>Neurology</v>
      </c>
    </row>
    <row r="1626" spans="1:12" x14ac:dyDescent="0.25">
      <c r="A1626">
        <f t="shared" si="300"/>
        <v>1625</v>
      </c>
      <c r="B1626">
        <f t="shared" ca="1" si="301"/>
        <v>30</v>
      </c>
      <c r="C1626" t="str">
        <f t="shared" ca="1" si="302"/>
        <v>Male</v>
      </c>
      <c r="D1626" s="1">
        <f t="shared" ca="1" si="303"/>
        <v>45576</v>
      </c>
      <c r="E1626" s="1">
        <f t="shared" ca="1" si="304"/>
        <v>45578</v>
      </c>
      <c r="F1626" t="str">
        <f t="shared" ca="1" si="305"/>
        <v>Stroke</v>
      </c>
      <c r="G1626" t="str">
        <f t="shared" ca="1" si="306"/>
        <v>Therapy</v>
      </c>
      <c r="H1626">
        <f t="shared" ca="1" si="307"/>
        <v>2</v>
      </c>
      <c r="I1626" t="str">
        <f t="shared" ca="1" si="308"/>
        <v>No</v>
      </c>
      <c r="J1626">
        <f t="shared" ca="1" si="309"/>
        <v>0</v>
      </c>
      <c r="K1626" t="str">
        <f t="shared" ca="1" si="310"/>
        <v>Private</v>
      </c>
      <c r="L1626" t="str">
        <f t="shared" ca="1" si="311"/>
        <v>ICU</v>
      </c>
    </row>
    <row r="1627" spans="1:12" x14ac:dyDescent="0.25">
      <c r="A1627">
        <f t="shared" si="300"/>
        <v>1626</v>
      </c>
      <c r="B1627">
        <f t="shared" ca="1" si="301"/>
        <v>75</v>
      </c>
      <c r="C1627" t="str">
        <f t="shared" ca="1" si="302"/>
        <v>Male</v>
      </c>
      <c r="D1627" s="1">
        <f t="shared" ca="1" si="303"/>
        <v>45302</v>
      </c>
      <c r="E1627" s="1">
        <f t="shared" ca="1" si="304"/>
        <v>45308</v>
      </c>
      <c r="F1627" t="str">
        <f t="shared" ca="1" si="305"/>
        <v>Hypertension</v>
      </c>
      <c r="G1627" t="str">
        <f t="shared" ca="1" si="306"/>
        <v>Medication</v>
      </c>
      <c r="H1627">
        <f t="shared" ca="1" si="307"/>
        <v>6</v>
      </c>
      <c r="I1627" t="str">
        <f t="shared" ca="1" si="308"/>
        <v>No</v>
      </c>
      <c r="J1627">
        <f t="shared" ca="1" si="309"/>
        <v>3</v>
      </c>
      <c r="K1627" t="str">
        <f t="shared" ca="1" si="310"/>
        <v>Private</v>
      </c>
      <c r="L1627" t="str">
        <f t="shared" ca="1" si="311"/>
        <v>Cardiology</v>
      </c>
    </row>
    <row r="1628" spans="1:12" x14ac:dyDescent="0.25">
      <c r="A1628">
        <f t="shared" si="300"/>
        <v>1627</v>
      </c>
      <c r="B1628">
        <f t="shared" ca="1" si="301"/>
        <v>28</v>
      </c>
      <c r="C1628" t="str">
        <f t="shared" ca="1" si="302"/>
        <v>Male</v>
      </c>
      <c r="D1628" s="1">
        <f t="shared" ca="1" si="303"/>
        <v>45556</v>
      </c>
      <c r="E1628" s="1">
        <f t="shared" ca="1" si="304"/>
        <v>45564</v>
      </c>
      <c r="F1628" t="str">
        <f t="shared" ca="1" si="305"/>
        <v>Stroke</v>
      </c>
      <c r="G1628" t="str">
        <f t="shared" ca="1" si="306"/>
        <v>Medication</v>
      </c>
      <c r="H1628">
        <f t="shared" ca="1" si="307"/>
        <v>8</v>
      </c>
      <c r="I1628" t="str">
        <f t="shared" ca="1" si="308"/>
        <v>No</v>
      </c>
      <c r="J1628">
        <f t="shared" ca="1" si="309"/>
        <v>4</v>
      </c>
      <c r="K1628" t="str">
        <f t="shared" ca="1" si="310"/>
        <v>Private</v>
      </c>
      <c r="L1628" t="str">
        <f t="shared" ca="1" si="311"/>
        <v>ER</v>
      </c>
    </row>
    <row r="1629" spans="1:12" x14ac:dyDescent="0.25">
      <c r="A1629">
        <f t="shared" si="300"/>
        <v>1628</v>
      </c>
      <c r="B1629">
        <f t="shared" ca="1" si="301"/>
        <v>28</v>
      </c>
      <c r="C1629" t="str">
        <f t="shared" ca="1" si="302"/>
        <v>Female</v>
      </c>
      <c r="D1629" s="1">
        <f t="shared" ca="1" si="303"/>
        <v>45564</v>
      </c>
      <c r="E1629" s="1">
        <f t="shared" ca="1" si="304"/>
        <v>45565</v>
      </c>
      <c r="F1629" t="str">
        <f t="shared" ca="1" si="305"/>
        <v>Pneumonia</v>
      </c>
      <c r="G1629" t="str">
        <f t="shared" ca="1" si="306"/>
        <v>Therapy</v>
      </c>
      <c r="H1629">
        <f t="shared" ca="1" si="307"/>
        <v>1</v>
      </c>
      <c r="I1629" t="str">
        <f t="shared" ca="1" si="308"/>
        <v>Yes</v>
      </c>
      <c r="J1629">
        <f t="shared" ca="1" si="309"/>
        <v>0</v>
      </c>
      <c r="K1629" t="str">
        <f t="shared" ca="1" si="310"/>
        <v>None</v>
      </c>
      <c r="L1629" t="str">
        <f t="shared" ca="1" si="311"/>
        <v>ICU</v>
      </c>
    </row>
    <row r="1630" spans="1:12" x14ac:dyDescent="0.25">
      <c r="A1630">
        <f t="shared" si="300"/>
        <v>1629</v>
      </c>
      <c r="B1630">
        <f t="shared" ca="1" si="301"/>
        <v>38</v>
      </c>
      <c r="C1630" t="str">
        <f t="shared" ca="1" si="302"/>
        <v>Male</v>
      </c>
      <c r="D1630" s="1">
        <f t="shared" ca="1" si="303"/>
        <v>45455</v>
      </c>
      <c r="E1630" s="1">
        <f t="shared" ca="1" si="304"/>
        <v>45464</v>
      </c>
      <c r="F1630" t="str">
        <f t="shared" ca="1" si="305"/>
        <v>Stroke</v>
      </c>
      <c r="G1630" t="str">
        <f t="shared" ca="1" si="306"/>
        <v>Medication</v>
      </c>
      <c r="H1630">
        <f t="shared" ca="1" si="307"/>
        <v>9</v>
      </c>
      <c r="I1630" t="str">
        <f t="shared" ca="1" si="308"/>
        <v>No</v>
      </c>
      <c r="J1630">
        <f t="shared" ca="1" si="309"/>
        <v>4</v>
      </c>
      <c r="K1630" t="str">
        <f t="shared" ca="1" si="310"/>
        <v>Public</v>
      </c>
      <c r="L1630" t="str">
        <f t="shared" ca="1" si="311"/>
        <v>General</v>
      </c>
    </row>
    <row r="1631" spans="1:12" x14ac:dyDescent="0.25">
      <c r="A1631">
        <f t="shared" si="300"/>
        <v>1630</v>
      </c>
      <c r="B1631">
        <f t="shared" ca="1" si="301"/>
        <v>81</v>
      </c>
      <c r="C1631" t="str">
        <f t="shared" ca="1" si="302"/>
        <v>Female</v>
      </c>
      <c r="D1631" s="1">
        <f t="shared" ca="1" si="303"/>
        <v>45338</v>
      </c>
      <c r="E1631" s="1">
        <f t="shared" ca="1" si="304"/>
        <v>45343</v>
      </c>
      <c r="F1631" t="str">
        <f t="shared" ca="1" si="305"/>
        <v>Stroke</v>
      </c>
      <c r="G1631" t="str">
        <f t="shared" ca="1" si="306"/>
        <v>Medication</v>
      </c>
      <c r="H1631">
        <f t="shared" ca="1" si="307"/>
        <v>5</v>
      </c>
      <c r="I1631" t="str">
        <f t="shared" ca="1" si="308"/>
        <v>No</v>
      </c>
      <c r="J1631">
        <f t="shared" ca="1" si="309"/>
        <v>4</v>
      </c>
      <c r="K1631" t="str">
        <f t="shared" ca="1" si="310"/>
        <v>Private</v>
      </c>
      <c r="L1631" t="str">
        <f t="shared" ca="1" si="311"/>
        <v>ER</v>
      </c>
    </row>
    <row r="1632" spans="1:12" x14ac:dyDescent="0.25">
      <c r="A1632">
        <f t="shared" si="300"/>
        <v>1631</v>
      </c>
      <c r="B1632">
        <f t="shared" ca="1" si="301"/>
        <v>45</v>
      </c>
      <c r="C1632" t="str">
        <f t="shared" ca="1" si="302"/>
        <v>Female</v>
      </c>
      <c r="D1632" s="1">
        <f t="shared" ca="1" si="303"/>
        <v>45593</v>
      </c>
      <c r="E1632" s="1">
        <f t="shared" ca="1" si="304"/>
        <v>45596</v>
      </c>
      <c r="F1632" t="str">
        <f t="shared" ca="1" si="305"/>
        <v>Pneumonia</v>
      </c>
      <c r="G1632" t="str">
        <f t="shared" ca="1" si="306"/>
        <v>Medication</v>
      </c>
      <c r="H1632">
        <f t="shared" ca="1" si="307"/>
        <v>3</v>
      </c>
      <c r="I1632" t="str">
        <f t="shared" ca="1" si="308"/>
        <v>Yes</v>
      </c>
      <c r="J1632">
        <f t="shared" ca="1" si="309"/>
        <v>3</v>
      </c>
      <c r="K1632" t="str">
        <f t="shared" ca="1" si="310"/>
        <v>Public</v>
      </c>
      <c r="L1632" t="str">
        <f t="shared" ca="1" si="311"/>
        <v>Cardiology</v>
      </c>
    </row>
    <row r="1633" spans="1:12" x14ac:dyDescent="0.25">
      <c r="A1633">
        <f t="shared" si="300"/>
        <v>1632</v>
      </c>
      <c r="B1633">
        <f t="shared" ca="1" si="301"/>
        <v>32</v>
      </c>
      <c r="C1633" t="str">
        <f t="shared" ca="1" si="302"/>
        <v>Male</v>
      </c>
      <c r="D1633" s="1">
        <f t="shared" ca="1" si="303"/>
        <v>45302</v>
      </c>
      <c r="E1633" s="1">
        <f t="shared" ca="1" si="304"/>
        <v>45309</v>
      </c>
      <c r="F1633" t="str">
        <f t="shared" ca="1" si="305"/>
        <v>Heart Failure</v>
      </c>
      <c r="G1633" t="str">
        <f t="shared" ca="1" si="306"/>
        <v>Therapy</v>
      </c>
      <c r="H1633">
        <f t="shared" ca="1" si="307"/>
        <v>7</v>
      </c>
      <c r="I1633" t="str">
        <f t="shared" ca="1" si="308"/>
        <v>No</v>
      </c>
      <c r="J1633">
        <f t="shared" ca="1" si="309"/>
        <v>4</v>
      </c>
      <c r="K1633" t="str">
        <f t="shared" ca="1" si="310"/>
        <v>None</v>
      </c>
      <c r="L1633" t="str">
        <f t="shared" ca="1" si="311"/>
        <v>ICU</v>
      </c>
    </row>
    <row r="1634" spans="1:12" x14ac:dyDescent="0.25">
      <c r="A1634">
        <f t="shared" si="300"/>
        <v>1633</v>
      </c>
      <c r="B1634">
        <f t="shared" ca="1" si="301"/>
        <v>33</v>
      </c>
      <c r="C1634" t="str">
        <f t="shared" ca="1" si="302"/>
        <v>Male</v>
      </c>
      <c r="D1634" s="1">
        <f t="shared" ca="1" si="303"/>
        <v>45303</v>
      </c>
      <c r="E1634" s="1">
        <f t="shared" ca="1" si="304"/>
        <v>45313</v>
      </c>
      <c r="F1634" t="str">
        <f t="shared" ca="1" si="305"/>
        <v>Pneumonia</v>
      </c>
      <c r="G1634" t="str">
        <f t="shared" ca="1" si="306"/>
        <v>Therapy</v>
      </c>
      <c r="H1634">
        <f t="shared" ca="1" si="307"/>
        <v>10</v>
      </c>
      <c r="I1634" t="str">
        <f t="shared" ca="1" si="308"/>
        <v>No</v>
      </c>
      <c r="J1634">
        <f t="shared" ca="1" si="309"/>
        <v>1</v>
      </c>
      <c r="K1634" t="str">
        <f t="shared" ca="1" si="310"/>
        <v>Public</v>
      </c>
      <c r="L1634" t="str">
        <f t="shared" ca="1" si="311"/>
        <v>ICU</v>
      </c>
    </row>
    <row r="1635" spans="1:12" x14ac:dyDescent="0.25">
      <c r="A1635">
        <f t="shared" si="300"/>
        <v>1634</v>
      </c>
      <c r="B1635">
        <f t="shared" ca="1" si="301"/>
        <v>32</v>
      </c>
      <c r="C1635" t="str">
        <f t="shared" ca="1" si="302"/>
        <v>Female</v>
      </c>
      <c r="D1635" s="1">
        <f t="shared" ca="1" si="303"/>
        <v>45341</v>
      </c>
      <c r="E1635" s="1">
        <f t="shared" ca="1" si="304"/>
        <v>45342</v>
      </c>
      <c r="F1635" t="str">
        <f t="shared" ca="1" si="305"/>
        <v>Diabetes</v>
      </c>
      <c r="G1635" t="str">
        <f t="shared" ca="1" si="306"/>
        <v>Medication</v>
      </c>
      <c r="H1635">
        <f t="shared" ca="1" si="307"/>
        <v>1</v>
      </c>
      <c r="I1635" t="str">
        <f t="shared" ca="1" si="308"/>
        <v>No</v>
      </c>
      <c r="J1635">
        <f t="shared" ca="1" si="309"/>
        <v>1</v>
      </c>
      <c r="K1635" t="str">
        <f t="shared" ca="1" si="310"/>
        <v>Public</v>
      </c>
      <c r="L1635" t="str">
        <f t="shared" ca="1" si="311"/>
        <v>Neurology</v>
      </c>
    </row>
    <row r="1636" spans="1:12" x14ac:dyDescent="0.25">
      <c r="A1636">
        <f t="shared" si="300"/>
        <v>1635</v>
      </c>
      <c r="B1636">
        <f t="shared" ca="1" si="301"/>
        <v>36</v>
      </c>
      <c r="C1636" t="str">
        <f t="shared" ca="1" si="302"/>
        <v>Male</v>
      </c>
      <c r="D1636" s="1">
        <f t="shared" ca="1" si="303"/>
        <v>45353</v>
      </c>
      <c r="E1636" s="1">
        <f t="shared" ca="1" si="304"/>
        <v>45363</v>
      </c>
      <c r="F1636" t="str">
        <f t="shared" ca="1" si="305"/>
        <v>Pneumonia</v>
      </c>
      <c r="G1636" t="str">
        <f t="shared" ca="1" si="306"/>
        <v>Medication</v>
      </c>
      <c r="H1636">
        <f t="shared" ca="1" si="307"/>
        <v>10</v>
      </c>
      <c r="I1636" t="str">
        <f t="shared" ca="1" si="308"/>
        <v>Yes</v>
      </c>
      <c r="J1636">
        <f t="shared" ca="1" si="309"/>
        <v>4</v>
      </c>
      <c r="K1636" t="str">
        <f t="shared" ca="1" si="310"/>
        <v>Public</v>
      </c>
      <c r="L1636" t="str">
        <f t="shared" ca="1" si="311"/>
        <v>Cardiology</v>
      </c>
    </row>
    <row r="1637" spans="1:12" x14ac:dyDescent="0.25">
      <c r="A1637">
        <f t="shared" si="300"/>
        <v>1636</v>
      </c>
      <c r="B1637">
        <f t="shared" ca="1" si="301"/>
        <v>60</v>
      </c>
      <c r="C1637" t="str">
        <f t="shared" ca="1" si="302"/>
        <v>Female</v>
      </c>
      <c r="D1637" s="1">
        <f t="shared" ca="1" si="303"/>
        <v>45336</v>
      </c>
      <c r="E1637" s="1">
        <f t="shared" ca="1" si="304"/>
        <v>45343</v>
      </c>
      <c r="F1637" t="str">
        <f t="shared" ca="1" si="305"/>
        <v>Heart Failure</v>
      </c>
      <c r="G1637" t="str">
        <f t="shared" ca="1" si="306"/>
        <v>Surgery</v>
      </c>
      <c r="H1637">
        <f t="shared" ca="1" si="307"/>
        <v>7</v>
      </c>
      <c r="I1637" t="str">
        <f t="shared" ca="1" si="308"/>
        <v>Yes</v>
      </c>
      <c r="J1637">
        <f t="shared" ca="1" si="309"/>
        <v>2</v>
      </c>
      <c r="K1637" t="str">
        <f t="shared" ca="1" si="310"/>
        <v>Public</v>
      </c>
      <c r="L1637" t="str">
        <f t="shared" ca="1" si="311"/>
        <v>ICU</v>
      </c>
    </row>
    <row r="1638" spans="1:12" x14ac:dyDescent="0.25">
      <c r="A1638">
        <f t="shared" si="300"/>
        <v>1637</v>
      </c>
      <c r="B1638">
        <f t="shared" ca="1" si="301"/>
        <v>80</v>
      </c>
      <c r="C1638" t="str">
        <f t="shared" ca="1" si="302"/>
        <v>Female</v>
      </c>
      <c r="D1638" s="1">
        <f t="shared" ca="1" si="303"/>
        <v>45479</v>
      </c>
      <c r="E1638" s="1">
        <f t="shared" ca="1" si="304"/>
        <v>45482</v>
      </c>
      <c r="F1638" t="str">
        <f t="shared" ca="1" si="305"/>
        <v>Pneumonia</v>
      </c>
      <c r="G1638" t="str">
        <f t="shared" ca="1" si="306"/>
        <v>Surgery</v>
      </c>
      <c r="H1638">
        <f t="shared" ca="1" si="307"/>
        <v>3</v>
      </c>
      <c r="I1638" t="str">
        <f t="shared" ca="1" si="308"/>
        <v>Yes</v>
      </c>
      <c r="J1638">
        <f t="shared" ca="1" si="309"/>
        <v>4</v>
      </c>
      <c r="K1638" t="str">
        <f t="shared" ca="1" si="310"/>
        <v>None</v>
      </c>
      <c r="L1638" t="str">
        <f t="shared" ca="1" si="311"/>
        <v>Neurology</v>
      </c>
    </row>
    <row r="1639" spans="1:12" x14ac:dyDescent="0.25">
      <c r="A1639">
        <f t="shared" si="300"/>
        <v>1638</v>
      </c>
      <c r="B1639">
        <f t="shared" ca="1" si="301"/>
        <v>32</v>
      </c>
      <c r="C1639" t="str">
        <f t="shared" ca="1" si="302"/>
        <v>Female</v>
      </c>
      <c r="D1639" s="1">
        <f t="shared" ca="1" si="303"/>
        <v>45484</v>
      </c>
      <c r="E1639" s="1">
        <f t="shared" ca="1" si="304"/>
        <v>45491</v>
      </c>
      <c r="F1639" t="str">
        <f t="shared" ca="1" si="305"/>
        <v>Diabetes</v>
      </c>
      <c r="G1639" t="str">
        <f t="shared" ca="1" si="306"/>
        <v>Surgery</v>
      </c>
      <c r="H1639">
        <f t="shared" ca="1" si="307"/>
        <v>7</v>
      </c>
      <c r="I1639" t="str">
        <f t="shared" ca="1" si="308"/>
        <v>No</v>
      </c>
      <c r="J1639">
        <f t="shared" ca="1" si="309"/>
        <v>1</v>
      </c>
      <c r="K1639" t="str">
        <f t="shared" ca="1" si="310"/>
        <v>Public</v>
      </c>
      <c r="L1639" t="str">
        <f t="shared" ca="1" si="311"/>
        <v>ER</v>
      </c>
    </row>
    <row r="1640" spans="1:12" x14ac:dyDescent="0.25">
      <c r="A1640">
        <f t="shared" si="300"/>
        <v>1639</v>
      </c>
      <c r="B1640">
        <f t="shared" ca="1" si="301"/>
        <v>59</v>
      </c>
      <c r="C1640" t="str">
        <f t="shared" ca="1" si="302"/>
        <v>Female</v>
      </c>
      <c r="D1640" s="1">
        <f t="shared" ca="1" si="303"/>
        <v>45380</v>
      </c>
      <c r="E1640" s="1">
        <f t="shared" ca="1" si="304"/>
        <v>45387</v>
      </c>
      <c r="F1640" t="str">
        <f t="shared" ca="1" si="305"/>
        <v>Heart Failure</v>
      </c>
      <c r="G1640" t="str">
        <f t="shared" ca="1" si="306"/>
        <v>Therapy</v>
      </c>
      <c r="H1640">
        <f t="shared" ca="1" si="307"/>
        <v>7</v>
      </c>
      <c r="I1640" t="str">
        <f t="shared" ca="1" si="308"/>
        <v>Yes</v>
      </c>
      <c r="J1640">
        <f t="shared" ca="1" si="309"/>
        <v>1</v>
      </c>
      <c r="K1640" t="str">
        <f t="shared" ca="1" si="310"/>
        <v>Public</v>
      </c>
      <c r="L1640" t="str">
        <f t="shared" ca="1" si="311"/>
        <v>ER</v>
      </c>
    </row>
    <row r="1641" spans="1:12" x14ac:dyDescent="0.25">
      <c r="A1641">
        <f t="shared" si="300"/>
        <v>1640</v>
      </c>
      <c r="B1641">
        <f t="shared" ca="1" si="301"/>
        <v>78</v>
      </c>
      <c r="C1641" t="str">
        <f t="shared" ca="1" si="302"/>
        <v>Male</v>
      </c>
      <c r="D1641" s="1">
        <f t="shared" ca="1" si="303"/>
        <v>45390</v>
      </c>
      <c r="E1641" s="1">
        <f t="shared" ca="1" si="304"/>
        <v>45399</v>
      </c>
      <c r="F1641" t="str">
        <f t="shared" ca="1" si="305"/>
        <v>Stroke</v>
      </c>
      <c r="G1641" t="str">
        <f t="shared" ca="1" si="306"/>
        <v>Surgery</v>
      </c>
      <c r="H1641">
        <f t="shared" ca="1" si="307"/>
        <v>9</v>
      </c>
      <c r="I1641" t="str">
        <f t="shared" ca="1" si="308"/>
        <v>No</v>
      </c>
      <c r="J1641">
        <f t="shared" ca="1" si="309"/>
        <v>0</v>
      </c>
      <c r="K1641" t="str">
        <f t="shared" ca="1" si="310"/>
        <v>Private</v>
      </c>
      <c r="L1641" t="str">
        <f t="shared" ca="1" si="311"/>
        <v>General</v>
      </c>
    </row>
    <row r="1642" spans="1:12" x14ac:dyDescent="0.25">
      <c r="A1642">
        <f t="shared" si="300"/>
        <v>1641</v>
      </c>
      <c r="B1642">
        <f t="shared" ca="1" si="301"/>
        <v>63</v>
      </c>
      <c r="C1642" t="str">
        <f t="shared" ca="1" si="302"/>
        <v>Male</v>
      </c>
      <c r="D1642" s="1">
        <f t="shared" ca="1" si="303"/>
        <v>45456</v>
      </c>
      <c r="E1642" s="1">
        <f t="shared" ca="1" si="304"/>
        <v>45462</v>
      </c>
      <c r="F1642" t="str">
        <f t="shared" ca="1" si="305"/>
        <v>Stroke</v>
      </c>
      <c r="G1642" t="str">
        <f t="shared" ca="1" si="306"/>
        <v>Medication</v>
      </c>
      <c r="H1642">
        <f t="shared" ca="1" si="307"/>
        <v>6</v>
      </c>
      <c r="I1642" t="str">
        <f t="shared" ca="1" si="308"/>
        <v>No</v>
      </c>
      <c r="J1642">
        <f t="shared" ca="1" si="309"/>
        <v>2</v>
      </c>
      <c r="K1642" t="str">
        <f t="shared" ca="1" si="310"/>
        <v>Private</v>
      </c>
      <c r="L1642" t="str">
        <f t="shared" ca="1" si="311"/>
        <v>General</v>
      </c>
    </row>
    <row r="1643" spans="1:12" x14ac:dyDescent="0.25">
      <c r="A1643">
        <f t="shared" si="300"/>
        <v>1642</v>
      </c>
      <c r="B1643">
        <f t="shared" ca="1" si="301"/>
        <v>38</v>
      </c>
      <c r="C1643" t="str">
        <f t="shared" ca="1" si="302"/>
        <v>Female</v>
      </c>
      <c r="D1643" s="1">
        <f t="shared" ca="1" si="303"/>
        <v>45492</v>
      </c>
      <c r="E1643" s="1">
        <f t="shared" ca="1" si="304"/>
        <v>45496</v>
      </c>
      <c r="F1643" t="str">
        <f t="shared" ca="1" si="305"/>
        <v>Hypertension</v>
      </c>
      <c r="G1643" t="str">
        <f t="shared" ca="1" si="306"/>
        <v>Surgery</v>
      </c>
      <c r="H1643">
        <f t="shared" ca="1" si="307"/>
        <v>4</v>
      </c>
      <c r="I1643" t="str">
        <f t="shared" ca="1" si="308"/>
        <v>Yes</v>
      </c>
      <c r="J1643">
        <f t="shared" ca="1" si="309"/>
        <v>2</v>
      </c>
      <c r="K1643" t="str">
        <f t="shared" ca="1" si="310"/>
        <v>None</v>
      </c>
      <c r="L1643" t="str">
        <f t="shared" ca="1" si="311"/>
        <v>Cardiology</v>
      </c>
    </row>
    <row r="1644" spans="1:12" x14ac:dyDescent="0.25">
      <c r="A1644">
        <f t="shared" si="300"/>
        <v>1643</v>
      </c>
      <c r="B1644">
        <f t="shared" ca="1" si="301"/>
        <v>36</v>
      </c>
      <c r="C1644" t="str">
        <f t="shared" ca="1" si="302"/>
        <v>Male</v>
      </c>
      <c r="D1644" s="1">
        <f t="shared" ca="1" si="303"/>
        <v>45410</v>
      </c>
      <c r="E1644" s="1">
        <f t="shared" ca="1" si="304"/>
        <v>45419</v>
      </c>
      <c r="F1644" t="str">
        <f t="shared" ca="1" si="305"/>
        <v>Diabetes</v>
      </c>
      <c r="G1644" t="str">
        <f t="shared" ca="1" si="306"/>
        <v>Surgery</v>
      </c>
      <c r="H1644">
        <f t="shared" ca="1" si="307"/>
        <v>9</v>
      </c>
      <c r="I1644" t="str">
        <f t="shared" ca="1" si="308"/>
        <v>Yes</v>
      </c>
      <c r="J1644">
        <f t="shared" ca="1" si="309"/>
        <v>4</v>
      </c>
      <c r="K1644" t="str">
        <f t="shared" ca="1" si="310"/>
        <v>Public</v>
      </c>
      <c r="L1644" t="str">
        <f t="shared" ca="1" si="311"/>
        <v>Cardiology</v>
      </c>
    </row>
    <row r="1645" spans="1:12" x14ac:dyDescent="0.25">
      <c r="A1645">
        <f t="shared" si="300"/>
        <v>1644</v>
      </c>
      <c r="B1645">
        <f t="shared" ca="1" si="301"/>
        <v>70</v>
      </c>
      <c r="C1645" t="str">
        <f t="shared" ca="1" si="302"/>
        <v>Male</v>
      </c>
      <c r="D1645" s="1">
        <f t="shared" ca="1" si="303"/>
        <v>45334</v>
      </c>
      <c r="E1645" s="1">
        <f t="shared" ca="1" si="304"/>
        <v>45341</v>
      </c>
      <c r="F1645" t="str">
        <f t="shared" ca="1" si="305"/>
        <v>Stroke</v>
      </c>
      <c r="G1645" t="str">
        <f t="shared" ca="1" si="306"/>
        <v>Therapy</v>
      </c>
      <c r="H1645">
        <f t="shared" ca="1" si="307"/>
        <v>7</v>
      </c>
      <c r="I1645" t="str">
        <f t="shared" ca="1" si="308"/>
        <v>Yes</v>
      </c>
      <c r="J1645">
        <f t="shared" ca="1" si="309"/>
        <v>4</v>
      </c>
      <c r="K1645" t="str">
        <f t="shared" ca="1" si="310"/>
        <v>Private</v>
      </c>
      <c r="L1645" t="str">
        <f t="shared" ca="1" si="311"/>
        <v>Cardiology</v>
      </c>
    </row>
    <row r="1646" spans="1:12" x14ac:dyDescent="0.25">
      <c r="A1646">
        <f t="shared" si="300"/>
        <v>1645</v>
      </c>
      <c r="B1646">
        <f t="shared" ca="1" si="301"/>
        <v>32</v>
      </c>
      <c r="C1646" t="str">
        <f t="shared" ca="1" si="302"/>
        <v>Male</v>
      </c>
      <c r="D1646" s="1">
        <f t="shared" ca="1" si="303"/>
        <v>45554</v>
      </c>
      <c r="E1646" s="1">
        <f t="shared" ca="1" si="304"/>
        <v>45566</v>
      </c>
      <c r="F1646" t="str">
        <f t="shared" ca="1" si="305"/>
        <v>Hypertension</v>
      </c>
      <c r="G1646" t="str">
        <f t="shared" ca="1" si="306"/>
        <v>Therapy</v>
      </c>
      <c r="H1646">
        <f t="shared" ca="1" si="307"/>
        <v>12</v>
      </c>
      <c r="I1646" t="str">
        <f t="shared" ca="1" si="308"/>
        <v>No</v>
      </c>
      <c r="J1646">
        <f t="shared" ca="1" si="309"/>
        <v>0</v>
      </c>
      <c r="K1646" t="str">
        <f t="shared" ca="1" si="310"/>
        <v>None</v>
      </c>
      <c r="L1646" t="str">
        <f t="shared" ca="1" si="311"/>
        <v>ER</v>
      </c>
    </row>
    <row r="1647" spans="1:12" x14ac:dyDescent="0.25">
      <c r="A1647">
        <f t="shared" si="300"/>
        <v>1646</v>
      </c>
      <c r="B1647">
        <f t="shared" ca="1" si="301"/>
        <v>58</v>
      </c>
      <c r="C1647" t="str">
        <f t="shared" ca="1" si="302"/>
        <v>Male</v>
      </c>
      <c r="D1647" s="1">
        <f t="shared" ca="1" si="303"/>
        <v>45556</v>
      </c>
      <c r="E1647" s="1">
        <f t="shared" ca="1" si="304"/>
        <v>45568</v>
      </c>
      <c r="F1647" t="str">
        <f t="shared" ca="1" si="305"/>
        <v>Hypertension</v>
      </c>
      <c r="G1647" t="str">
        <f t="shared" ca="1" si="306"/>
        <v>Therapy</v>
      </c>
      <c r="H1647">
        <f t="shared" ca="1" si="307"/>
        <v>12</v>
      </c>
      <c r="I1647" t="str">
        <f t="shared" ca="1" si="308"/>
        <v>No</v>
      </c>
      <c r="J1647">
        <f t="shared" ca="1" si="309"/>
        <v>2</v>
      </c>
      <c r="K1647" t="str">
        <f t="shared" ca="1" si="310"/>
        <v>None</v>
      </c>
      <c r="L1647" t="str">
        <f t="shared" ca="1" si="311"/>
        <v>Cardiology</v>
      </c>
    </row>
    <row r="1648" spans="1:12" x14ac:dyDescent="0.25">
      <c r="A1648">
        <f t="shared" si="300"/>
        <v>1647</v>
      </c>
      <c r="B1648">
        <f t="shared" ca="1" si="301"/>
        <v>33</v>
      </c>
      <c r="C1648" t="str">
        <f t="shared" ca="1" si="302"/>
        <v>Male</v>
      </c>
      <c r="D1648" s="1">
        <f t="shared" ca="1" si="303"/>
        <v>45641</v>
      </c>
      <c r="E1648" s="1">
        <f t="shared" ca="1" si="304"/>
        <v>45651</v>
      </c>
      <c r="F1648" t="str">
        <f t="shared" ca="1" si="305"/>
        <v>Diabetes</v>
      </c>
      <c r="G1648" t="str">
        <f t="shared" ca="1" si="306"/>
        <v>Surgery</v>
      </c>
      <c r="H1648">
        <f t="shared" ca="1" si="307"/>
        <v>10</v>
      </c>
      <c r="I1648" t="str">
        <f t="shared" ca="1" si="308"/>
        <v>No</v>
      </c>
      <c r="J1648">
        <f t="shared" ca="1" si="309"/>
        <v>0</v>
      </c>
      <c r="K1648" t="str">
        <f t="shared" ca="1" si="310"/>
        <v>Public</v>
      </c>
      <c r="L1648" t="str">
        <f t="shared" ca="1" si="311"/>
        <v>Neurology</v>
      </c>
    </row>
    <row r="1649" spans="1:12" x14ac:dyDescent="0.25">
      <c r="A1649">
        <f t="shared" si="300"/>
        <v>1648</v>
      </c>
      <c r="B1649">
        <f t="shared" ca="1" si="301"/>
        <v>78</v>
      </c>
      <c r="C1649" t="str">
        <f t="shared" ca="1" si="302"/>
        <v>Male</v>
      </c>
      <c r="D1649" s="1">
        <f t="shared" ca="1" si="303"/>
        <v>45458</v>
      </c>
      <c r="E1649" s="1">
        <f t="shared" ca="1" si="304"/>
        <v>45462</v>
      </c>
      <c r="F1649" t="str">
        <f t="shared" ca="1" si="305"/>
        <v>Heart Failure</v>
      </c>
      <c r="G1649" t="str">
        <f t="shared" ca="1" si="306"/>
        <v>Medication</v>
      </c>
      <c r="H1649">
        <f t="shared" ca="1" si="307"/>
        <v>4</v>
      </c>
      <c r="I1649" t="str">
        <f t="shared" ca="1" si="308"/>
        <v>Yes</v>
      </c>
      <c r="J1649">
        <f t="shared" ca="1" si="309"/>
        <v>2</v>
      </c>
      <c r="K1649" t="str">
        <f t="shared" ca="1" si="310"/>
        <v>Public</v>
      </c>
      <c r="L1649" t="str">
        <f t="shared" ca="1" si="311"/>
        <v>General</v>
      </c>
    </row>
    <row r="1650" spans="1:12" x14ac:dyDescent="0.25">
      <c r="A1650">
        <f t="shared" si="300"/>
        <v>1649</v>
      </c>
      <c r="B1650">
        <f t="shared" ca="1" si="301"/>
        <v>68</v>
      </c>
      <c r="C1650" t="str">
        <f t="shared" ca="1" si="302"/>
        <v>Female</v>
      </c>
      <c r="D1650" s="1">
        <f t="shared" ca="1" si="303"/>
        <v>45375</v>
      </c>
      <c r="E1650" s="1">
        <f t="shared" ca="1" si="304"/>
        <v>45380</v>
      </c>
      <c r="F1650" t="str">
        <f t="shared" ca="1" si="305"/>
        <v>Diabetes</v>
      </c>
      <c r="G1650" t="str">
        <f t="shared" ca="1" si="306"/>
        <v>Therapy</v>
      </c>
      <c r="H1650">
        <f t="shared" ca="1" si="307"/>
        <v>5</v>
      </c>
      <c r="I1650" t="str">
        <f t="shared" ca="1" si="308"/>
        <v>Yes</v>
      </c>
      <c r="J1650">
        <f t="shared" ca="1" si="309"/>
        <v>0</v>
      </c>
      <c r="K1650" t="str">
        <f t="shared" ca="1" si="310"/>
        <v>Public</v>
      </c>
      <c r="L1650" t="str">
        <f t="shared" ca="1" si="311"/>
        <v>ER</v>
      </c>
    </row>
    <row r="1651" spans="1:12" x14ac:dyDescent="0.25">
      <c r="A1651">
        <f t="shared" si="300"/>
        <v>1650</v>
      </c>
      <c r="B1651">
        <f t="shared" ca="1" si="301"/>
        <v>82</v>
      </c>
      <c r="C1651" t="str">
        <f t="shared" ca="1" si="302"/>
        <v>Female</v>
      </c>
      <c r="D1651" s="1">
        <f t="shared" ca="1" si="303"/>
        <v>45359</v>
      </c>
      <c r="E1651" s="1">
        <f t="shared" ca="1" si="304"/>
        <v>45369</v>
      </c>
      <c r="F1651" t="str">
        <f t="shared" ca="1" si="305"/>
        <v>Stroke</v>
      </c>
      <c r="G1651" t="str">
        <f t="shared" ca="1" si="306"/>
        <v>Medication</v>
      </c>
      <c r="H1651">
        <f t="shared" ca="1" si="307"/>
        <v>10</v>
      </c>
      <c r="I1651" t="str">
        <f t="shared" ca="1" si="308"/>
        <v>No</v>
      </c>
      <c r="J1651">
        <f t="shared" ca="1" si="309"/>
        <v>3</v>
      </c>
      <c r="K1651" t="str">
        <f t="shared" ca="1" si="310"/>
        <v>Private</v>
      </c>
      <c r="L1651" t="str">
        <f t="shared" ca="1" si="311"/>
        <v>Cardiology</v>
      </c>
    </row>
    <row r="1652" spans="1:12" x14ac:dyDescent="0.25">
      <c r="A1652">
        <f t="shared" si="300"/>
        <v>1651</v>
      </c>
      <c r="B1652">
        <f t="shared" ca="1" si="301"/>
        <v>47</v>
      </c>
      <c r="C1652" t="str">
        <f t="shared" ca="1" si="302"/>
        <v>Female</v>
      </c>
      <c r="D1652" s="1">
        <f t="shared" ca="1" si="303"/>
        <v>45644</v>
      </c>
      <c r="E1652" s="1">
        <f t="shared" ca="1" si="304"/>
        <v>45657</v>
      </c>
      <c r="F1652" t="str">
        <f t="shared" ca="1" si="305"/>
        <v>Heart Failure</v>
      </c>
      <c r="G1652" t="str">
        <f t="shared" ca="1" si="306"/>
        <v>Therapy</v>
      </c>
      <c r="H1652">
        <f t="shared" ca="1" si="307"/>
        <v>13</v>
      </c>
      <c r="I1652" t="str">
        <f t="shared" ca="1" si="308"/>
        <v>No</v>
      </c>
      <c r="J1652">
        <f t="shared" ca="1" si="309"/>
        <v>4</v>
      </c>
      <c r="K1652" t="str">
        <f t="shared" ca="1" si="310"/>
        <v>Private</v>
      </c>
      <c r="L1652" t="str">
        <f t="shared" ca="1" si="311"/>
        <v>ICU</v>
      </c>
    </row>
    <row r="1653" spans="1:12" x14ac:dyDescent="0.25">
      <c r="A1653">
        <f t="shared" si="300"/>
        <v>1652</v>
      </c>
      <c r="B1653">
        <f t="shared" ca="1" si="301"/>
        <v>49</v>
      </c>
      <c r="C1653" t="str">
        <f t="shared" ca="1" si="302"/>
        <v>Male</v>
      </c>
      <c r="D1653" s="1">
        <f t="shared" ca="1" si="303"/>
        <v>45491</v>
      </c>
      <c r="E1653" s="1">
        <f t="shared" ca="1" si="304"/>
        <v>45496</v>
      </c>
      <c r="F1653" t="str">
        <f t="shared" ca="1" si="305"/>
        <v>Hypertension</v>
      </c>
      <c r="G1653" t="str">
        <f t="shared" ca="1" si="306"/>
        <v>Therapy</v>
      </c>
      <c r="H1653">
        <f t="shared" ca="1" si="307"/>
        <v>5</v>
      </c>
      <c r="I1653" t="str">
        <f t="shared" ca="1" si="308"/>
        <v>No</v>
      </c>
      <c r="J1653">
        <f t="shared" ca="1" si="309"/>
        <v>0</v>
      </c>
      <c r="K1653" t="str">
        <f t="shared" ca="1" si="310"/>
        <v>None</v>
      </c>
      <c r="L1653" t="str">
        <f t="shared" ca="1" si="311"/>
        <v>ICU</v>
      </c>
    </row>
    <row r="1654" spans="1:12" x14ac:dyDescent="0.25">
      <c r="A1654">
        <f t="shared" si="300"/>
        <v>1653</v>
      </c>
      <c r="B1654">
        <f t="shared" ca="1" si="301"/>
        <v>31</v>
      </c>
      <c r="C1654" t="str">
        <f t="shared" ca="1" si="302"/>
        <v>Male</v>
      </c>
      <c r="D1654" s="1">
        <f t="shared" ca="1" si="303"/>
        <v>45554</v>
      </c>
      <c r="E1654" s="1">
        <f t="shared" ca="1" si="304"/>
        <v>45559</v>
      </c>
      <c r="F1654" t="str">
        <f t="shared" ca="1" si="305"/>
        <v>Pneumonia</v>
      </c>
      <c r="G1654" t="str">
        <f t="shared" ca="1" si="306"/>
        <v>Medication</v>
      </c>
      <c r="H1654">
        <f t="shared" ca="1" si="307"/>
        <v>5</v>
      </c>
      <c r="I1654" t="str">
        <f t="shared" ca="1" si="308"/>
        <v>No</v>
      </c>
      <c r="J1654">
        <f t="shared" ca="1" si="309"/>
        <v>3</v>
      </c>
      <c r="K1654" t="str">
        <f t="shared" ca="1" si="310"/>
        <v>None</v>
      </c>
      <c r="L1654" t="str">
        <f t="shared" ca="1" si="311"/>
        <v>General</v>
      </c>
    </row>
    <row r="1655" spans="1:12" x14ac:dyDescent="0.25">
      <c r="A1655">
        <f t="shared" si="300"/>
        <v>1654</v>
      </c>
      <c r="B1655">
        <f t="shared" ca="1" si="301"/>
        <v>53</v>
      </c>
      <c r="C1655" t="str">
        <f t="shared" ca="1" si="302"/>
        <v>Male</v>
      </c>
      <c r="D1655" s="1">
        <f t="shared" ca="1" si="303"/>
        <v>45595</v>
      </c>
      <c r="E1655" s="1">
        <f t="shared" ca="1" si="304"/>
        <v>45602</v>
      </c>
      <c r="F1655" t="str">
        <f t="shared" ca="1" si="305"/>
        <v>Hypertension</v>
      </c>
      <c r="G1655" t="str">
        <f t="shared" ca="1" si="306"/>
        <v>Surgery</v>
      </c>
      <c r="H1655">
        <f t="shared" ca="1" si="307"/>
        <v>7</v>
      </c>
      <c r="I1655" t="str">
        <f t="shared" ca="1" si="308"/>
        <v>No</v>
      </c>
      <c r="J1655">
        <f t="shared" ca="1" si="309"/>
        <v>1</v>
      </c>
      <c r="K1655" t="str">
        <f t="shared" ca="1" si="310"/>
        <v>None</v>
      </c>
      <c r="L1655" t="str">
        <f t="shared" ca="1" si="311"/>
        <v>ER</v>
      </c>
    </row>
    <row r="1656" spans="1:12" x14ac:dyDescent="0.25">
      <c r="A1656">
        <f t="shared" si="300"/>
        <v>1655</v>
      </c>
      <c r="B1656">
        <f t="shared" ca="1" si="301"/>
        <v>57</v>
      </c>
      <c r="C1656" t="str">
        <f t="shared" ca="1" si="302"/>
        <v>Female</v>
      </c>
      <c r="D1656" s="1">
        <f t="shared" ca="1" si="303"/>
        <v>45414</v>
      </c>
      <c r="E1656" s="1">
        <f t="shared" ca="1" si="304"/>
        <v>45426</v>
      </c>
      <c r="F1656" t="str">
        <f t="shared" ca="1" si="305"/>
        <v>Pneumonia</v>
      </c>
      <c r="G1656" t="str">
        <f t="shared" ca="1" si="306"/>
        <v>Medication</v>
      </c>
      <c r="H1656">
        <f t="shared" ca="1" si="307"/>
        <v>12</v>
      </c>
      <c r="I1656" t="str">
        <f t="shared" ca="1" si="308"/>
        <v>No</v>
      </c>
      <c r="J1656">
        <f t="shared" ca="1" si="309"/>
        <v>2</v>
      </c>
      <c r="K1656" t="str">
        <f t="shared" ca="1" si="310"/>
        <v>None</v>
      </c>
      <c r="L1656" t="str">
        <f t="shared" ca="1" si="311"/>
        <v>Neurology</v>
      </c>
    </row>
    <row r="1657" spans="1:12" x14ac:dyDescent="0.25">
      <c r="A1657">
        <f t="shared" si="300"/>
        <v>1656</v>
      </c>
      <c r="B1657">
        <f t="shared" ca="1" si="301"/>
        <v>28</v>
      </c>
      <c r="C1657" t="str">
        <f t="shared" ca="1" si="302"/>
        <v>Male</v>
      </c>
      <c r="D1657" s="1">
        <f t="shared" ca="1" si="303"/>
        <v>45568</v>
      </c>
      <c r="E1657" s="1">
        <f t="shared" ca="1" si="304"/>
        <v>45578</v>
      </c>
      <c r="F1657" t="str">
        <f t="shared" ca="1" si="305"/>
        <v>Diabetes</v>
      </c>
      <c r="G1657" t="str">
        <f t="shared" ca="1" si="306"/>
        <v>Surgery</v>
      </c>
      <c r="H1657">
        <f t="shared" ca="1" si="307"/>
        <v>10</v>
      </c>
      <c r="I1657" t="str">
        <f t="shared" ca="1" si="308"/>
        <v>No</v>
      </c>
      <c r="J1657">
        <f t="shared" ca="1" si="309"/>
        <v>3</v>
      </c>
      <c r="K1657" t="str">
        <f t="shared" ca="1" si="310"/>
        <v>None</v>
      </c>
      <c r="L1657" t="str">
        <f t="shared" ca="1" si="311"/>
        <v>ER</v>
      </c>
    </row>
    <row r="1658" spans="1:12" x14ac:dyDescent="0.25">
      <c r="A1658">
        <f t="shared" si="300"/>
        <v>1657</v>
      </c>
      <c r="B1658">
        <f t="shared" ca="1" si="301"/>
        <v>35</v>
      </c>
      <c r="C1658" t="str">
        <f t="shared" ca="1" si="302"/>
        <v>Female</v>
      </c>
      <c r="D1658" s="1">
        <f t="shared" ca="1" si="303"/>
        <v>45518</v>
      </c>
      <c r="E1658" s="1">
        <f t="shared" ca="1" si="304"/>
        <v>45523</v>
      </c>
      <c r="F1658" t="str">
        <f t="shared" ca="1" si="305"/>
        <v>Heart Failure</v>
      </c>
      <c r="G1658" t="str">
        <f t="shared" ca="1" si="306"/>
        <v>Surgery</v>
      </c>
      <c r="H1658">
        <f t="shared" ca="1" si="307"/>
        <v>5</v>
      </c>
      <c r="I1658" t="str">
        <f t="shared" ca="1" si="308"/>
        <v>No</v>
      </c>
      <c r="J1658">
        <f t="shared" ca="1" si="309"/>
        <v>0</v>
      </c>
      <c r="K1658" t="str">
        <f t="shared" ca="1" si="310"/>
        <v>None</v>
      </c>
      <c r="L1658" t="str">
        <f t="shared" ca="1" si="311"/>
        <v>ICU</v>
      </c>
    </row>
    <row r="1659" spans="1:12" x14ac:dyDescent="0.25">
      <c r="A1659">
        <f t="shared" si="300"/>
        <v>1658</v>
      </c>
      <c r="B1659">
        <f t="shared" ca="1" si="301"/>
        <v>20</v>
      </c>
      <c r="C1659" t="str">
        <f t="shared" ca="1" si="302"/>
        <v>Male</v>
      </c>
      <c r="D1659" s="1">
        <f t="shared" ca="1" si="303"/>
        <v>45534</v>
      </c>
      <c r="E1659" s="1">
        <f t="shared" ca="1" si="304"/>
        <v>45543</v>
      </c>
      <c r="F1659" t="str">
        <f t="shared" ca="1" si="305"/>
        <v>Hypertension</v>
      </c>
      <c r="G1659" t="str">
        <f t="shared" ca="1" si="306"/>
        <v>Medication</v>
      </c>
      <c r="H1659">
        <f t="shared" ca="1" si="307"/>
        <v>9</v>
      </c>
      <c r="I1659" t="str">
        <f t="shared" ca="1" si="308"/>
        <v>No</v>
      </c>
      <c r="J1659">
        <f t="shared" ca="1" si="309"/>
        <v>0</v>
      </c>
      <c r="K1659" t="str">
        <f t="shared" ca="1" si="310"/>
        <v>Public</v>
      </c>
      <c r="L1659" t="str">
        <f t="shared" ca="1" si="311"/>
        <v>Neurology</v>
      </c>
    </row>
    <row r="1660" spans="1:12" x14ac:dyDescent="0.25">
      <c r="A1660">
        <f t="shared" si="300"/>
        <v>1659</v>
      </c>
      <c r="B1660">
        <f t="shared" ca="1" si="301"/>
        <v>30</v>
      </c>
      <c r="C1660" t="str">
        <f t="shared" ca="1" si="302"/>
        <v>Female</v>
      </c>
      <c r="D1660" s="1">
        <f t="shared" ca="1" si="303"/>
        <v>45444</v>
      </c>
      <c r="E1660" s="1">
        <f t="shared" ca="1" si="304"/>
        <v>45458</v>
      </c>
      <c r="F1660" t="str">
        <f t="shared" ca="1" si="305"/>
        <v>Heart Failure</v>
      </c>
      <c r="G1660" t="str">
        <f t="shared" ca="1" si="306"/>
        <v>Surgery</v>
      </c>
      <c r="H1660">
        <f t="shared" ca="1" si="307"/>
        <v>14</v>
      </c>
      <c r="I1660" t="str">
        <f t="shared" ca="1" si="308"/>
        <v>Yes</v>
      </c>
      <c r="J1660">
        <f t="shared" ca="1" si="309"/>
        <v>4</v>
      </c>
      <c r="K1660" t="str">
        <f t="shared" ca="1" si="310"/>
        <v>Public</v>
      </c>
      <c r="L1660" t="str">
        <f t="shared" ca="1" si="311"/>
        <v>Cardiology</v>
      </c>
    </row>
    <row r="1661" spans="1:12" x14ac:dyDescent="0.25">
      <c r="A1661">
        <f t="shared" si="300"/>
        <v>1660</v>
      </c>
      <c r="B1661">
        <f t="shared" ca="1" si="301"/>
        <v>83</v>
      </c>
      <c r="C1661" t="str">
        <f t="shared" ca="1" si="302"/>
        <v>Female</v>
      </c>
      <c r="D1661" s="1">
        <f t="shared" ca="1" si="303"/>
        <v>45541</v>
      </c>
      <c r="E1661" s="1">
        <f t="shared" ca="1" si="304"/>
        <v>45542</v>
      </c>
      <c r="F1661" t="str">
        <f t="shared" ca="1" si="305"/>
        <v>Stroke</v>
      </c>
      <c r="G1661" t="str">
        <f t="shared" ca="1" si="306"/>
        <v>Therapy</v>
      </c>
      <c r="H1661">
        <f t="shared" ca="1" si="307"/>
        <v>1</v>
      </c>
      <c r="I1661" t="str">
        <f t="shared" ca="1" si="308"/>
        <v>Yes</v>
      </c>
      <c r="J1661">
        <f t="shared" ca="1" si="309"/>
        <v>2</v>
      </c>
      <c r="K1661" t="str">
        <f t="shared" ca="1" si="310"/>
        <v>Public</v>
      </c>
      <c r="L1661" t="str">
        <f t="shared" ca="1" si="311"/>
        <v>ICU</v>
      </c>
    </row>
    <row r="1662" spans="1:12" x14ac:dyDescent="0.25">
      <c r="A1662">
        <f t="shared" si="300"/>
        <v>1661</v>
      </c>
      <c r="B1662">
        <f t="shared" ca="1" si="301"/>
        <v>57</v>
      </c>
      <c r="C1662" t="str">
        <f t="shared" ca="1" si="302"/>
        <v>Male</v>
      </c>
      <c r="D1662" s="1">
        <f t="shared" ca="1" si="303"/>
        <v>45292</v>
      </c>
      <c r="E1662" s="1">
        <f t="shared" ca="1" si="304"/>
        <v>45296</v>
      </c>
      <c r="F1662" t="str">
        <f t="shared" ca="1" si="305"/>
        <v>Pneumonia</v>
      </c>
      <c r="G1662" t="str">
        <f t="shared" ca="1" si="306"/>
        <v>Surgery</v>
      </c>
      <c r="H1662">
        <f t="shared" ca="1" si="307"/>
        <v>4</v>
      </c>
      <c r="I1662" t="str">
        <f t="shared" ca="1" si="308"/>
        <v>No</v>
      </c>
      <c r="J1662">
        <f t="shared" ca="1" si="309"/>
        <v>2</v>
      </c>
      <c r="K1662" t="str">
        <f t="shared" ca="1" si="310"/>
        <v>None</v>
      </c>
      <c r="L1662" t="str">
        <f t="shared" ca="1" si="311"/>
        <v>Neurology</v>
      </c>
    </row>
    <row r="1663" spans="1:12" x14ac:dyDescent="0.25">
      <c r="A1663">
        <f t="shared" si="300"/>
        <v>1662</v>
      </c>
      <c r="B1663">
        <f t="shared" ca="1" si="301"/>
        <v>63</v>
      </c>
      <c r="C1663" t="str">
        <f t="shared" ca="1" si="302"/>
        <v>Male</v>
      </c>
      <c r="D1663" s="1">
        <f t="shared" ca="1" si="303"/>
        <v>45486</v>
      </c>
      <c r="E1663" s="1">
        <f t="shared" ca="1" si="304"/>
        <v>45497</v>
      </c>
      <c r="F1663" t="str">
        <f t="shared" ca="1" si="305"/>
        <v>Diabetes</v>
      </c>
      <c r="G1663" t="str">
        <f t="shared" ca="1" si="306"/>
        <v>Therapy</v>
      </c>
      <c r="H1663">
        <f t="shared" ca="1" si="307"/>
        <v>11</v>
      </c>
      <c r="I1663" t="str">
        <f t="shared" ca="1" si="308"/>
        <v>No</v>
      </c>
      <c r="J1663">
        <f t="shared" ca="1" si="309"/>
        <v>2</v>
      </c>
      <c r="K1663" t="str">
        <f t="shared" ca="1" si="310"/>
        <v>Public</v>
      </c>
      <c r="L1663" t="str">
        <f t="shared" ca="1" si="311"/>
        <v>ER</v>
      </c>
    </row>
    <row r="1664" spans="1:12" x14ac:dyDescent="0.25">
      <c r="A1664">
        <f t="shared" si="300"/>
        <v>1663</v>
      </c>
      <c r="B1664">
        <f t="shared" ca="1" si="301"/>
        <v>31</v>
      </c>
      <c r="C1664" t="str">
        <f t="shared" ca="1" si="302"/>
        <v>Male</v>
      </c>
      <c r="D1664" s="1">
        <f t="shared" ca="1" si="303"/>
        <v>45367</v>
      </c>
      <c r="E1664" s="1">
        <f t="shared" ca="1" si="304"/>
        <v>45368</v>
      </c>
      <c r="F1664" t="str">
        <f t="shared" ca="1" si="305"/>
        <v>Heart Failure</v>
      </c>
      <c r="G1664" t="str">
        <f t="shared" ca="1" si="306"/>
        <v>Surgery</v>
      </c>
      <c r="H1664">
        <f t="shared" ca="1" si="307"/>
        <v>1</v>
      </c>
      <c r="I1664" t="str">
        <f t="shared" ca="1" si="308"/>
        <v>Yes</v>
      </c>
      <c r="J1664">
        <f t="shared" ca="1" si="309"/>
        <v>4</v>
      </c>
      <c r="K1664" t="str">
        <f t="shared" ca="1" si="310"/>
        <v>Private</v>
      </c>
      <c r="L1664" t="str">
        <f t="shared" ca="1" si="311"/>
        <v>Neurology</v>
      </c>
    </row>
    <row r="1665" spans="1:12" x14ac:dyDescent="0.25">
      <c r="A1665">
        <f t="shared" si="300"/>
        <v>1664</v>
      </c>
      <c r="B1665">
        <f t="shared" ca="1" si="301"/>
        <v>55</v>
      </c>
      <c r="C1665" t="str">
        <f t="shared" ca="1" si="302"/>
        <v>Female</v>
      </c>
      <c r="D1665" s="1">
        <f t="shared" ca="1" si="303"/>
        <v>45298</v>
      </c>
      <c r="E1665" s="1">
        <f t="shared" ca="1" si="304"/>
        <v>45308</v>
      </c>
      <c r="F1665" t="str">
        <f t="shared" ca="1" si="305"/>
        <v>Pneumonia</v>
      </c>
      <c r="G1665" t="str">
        <f t="shared" ca="1" si="306"/>
        <v>Therapy</v>
      </c>
      <c r="H1665">
        <f t="shared" ca="1" si="307"/>
        <v>10</v>
      </c>
      <c r="I1665" t="str">
        <f t="shared" ca="1" si="308"/>
        <v>Yes</v>
      </c>
      <c r="J1665">
        <f t="shared" ca="1" si="309"/>
        <v>3</v>
      </c>
      <c r="K1665" t="str">
        <f t="shared" ca="1" si="310"/>
        <v>Public</v>
      </c>
      <c r="L1665" t="str">
        <f t="shared" ca="1" si="311"/>
        <v>ER</v>
      </c>
    </row>
    <row r="1666" spans="1:12" x14ac:dyDescent="0.25">
      <c r="A1666">
        <f t="shared" si="300"/>
        <v>1665</v>
      </c>
      <c r="B1666">
        <f t="shared" ca="1" si="301"/>
        <v>37</v>
      </c>
      <c r="C1666" t="str">
        <f t="shared" ca="1" si="302"/>
        <v>Male</v>
      </c>
      <c r="D1666" s="1">
        <f t="shared" ca="1" si="303"/>
        <v>45476</v>
      </c>
      <c r="E1666" s="1">
        <f t="shared" ca="1" si="304"/>
        <v>45484</v>
      </c>
      <c r="F1666" t="str">
        <f t="shared" ca="1" si="305"/>
        <v>Pneumonia</v>
      </c>
      <c r="G1666" t="str">
        <f t="shared" ca="1" si="306"/>
        <v>Medication</v>
      </c>
      <c r="H1666">
        <f t="shared" ca="1" si="307"/>
        <v>8</v>
      </c>
      <c r="I1666" t="str">
        <f t="shared" ca="1" si="308"/>
        <v>No</v>
      </c>
      <c r="J1666">
        <f t="shared" ca="1" si="309"/>
        <v>4</v>
      </c>
      <c r="K1666" t="str">
        <f t="shared" ca="1" si="310"/>
        <v>Public</v>
      </c>
      <c r="L1666" t="str">
        <f t="shared" ca="1" si="311"/>
        <v>General</v>
      </c>
    </row>
    <row r="1667" spans="1:12" x14ac:dyDescent="0.25">
      <c r="A1667">
        <f t="shared" ref="A1667:A1730" si="312">ROW() -1</f>
        <v>1666</v>
      </c>
      <c r="B1667">
        <f t="shared" ref="B1667:B1730" ca="1" si="313">RANDBETWEEN(20,90)</f>
        <v>48</v>
      </c>
      <c r="C1667" t="str">
        <f t="shared" ref="C1667:C1730" ca="1" si="314">IF(RAND()&lt;0.5,"Male","Female")</f>
        <v>Male</v>
      </c>
      <c r="D1667" s="1">
        <f t="shared" ref="D1667:D1730" ca="1" si="315">DATE(2024,1,1)+RANDBETWEEN(0,364)</f>
        <v>45393</v>
      </c>
      <c r="E1667" s="1">
        <f t="shared" ref="E1667:E1730" ca="1" si="316">D1667+RANDBETWEEN(1,15)</f>
        <v>45400</v>
      </c>
      <c r="F1667" t="str">
        <f t="shared" ref="F1667:F1730" ca="1" si="317">CHOOSE(RANDBETWEEN(1,5),"Diabetes","Heart Failure","Pneumonia","Stroke","Hypertension")</f>
        <v>Diabetes</v>
      </c>
      <c r="G1667" t="str">
        <f t="shared" ref="G1667:G1730" ca="1" si="318">CHOOSE(RANDBETWEEN(1,3),"Medication","Surgery","Therapy")</f>
        <v>Therapy</v>
      </c>
      <c r="H1667">
        <f t="shared" ref="H1667:H1730" ca="1" si="319">DATEDIF(D1667,E1667,"D")</f>
        <v>7</v>
      </c>
      <c r="I1667" t="str">
        <f t="shared" ref="I1667:I1730" ca="1" si="320">IF(RAND()&lt;0.3,"Yes","No")</f>
        <v>No</v>
      </c>
      <c r="J1667">
        <f t="shared" ref="J1667:J1730" ca="1" si="321">RANDBETWEEN(0,4)</f>
        <v>3</v>
      </c>
      <c r="K1667" t="str">
        <f t="shared" ref="K1667:K1730" ca="1" si="322">CHOOSE(RANDBETWEEN(1,3),"Private","Public","None")</f>
        <v>Public</v>
      </c>
      <c r="L1667" t="str">
        <f t="shared" ref="L1667:L1730" ca="1" si="323">CHOOSE(RANDBETWEEN(1,5),"ER","Cardiology","Neurology","General","ICU")</f>
        <v>General</v>
      </c>
    </row>
    <row r="1668" spans="1:12" x14ac:dyDescent="0.25">
      <c r="A1668">
        <f t="shared" si="312"/>
        <v>1667</v>
      </c>
      <c r="B1668">
        <f t="shared" ca="1" si="313"/>
        <v>60</v>
      </c>
      <c r="C1668" t="str">
        <f t="shared" ca="1" si="314"/>
        <v>Male</v>
      </c>
      <c r="D1668" s="1">
        <f t="shared" ca="1" si="315"/>
        <v>45474</v>
      </c>
      <c r="E1668" s="1">
        <f t="shared" ca="1" si="316"/>
        <v>45479</v>
      </c>
      <c r="F1668" t="str">
        <f t="shared" ca="1" si="317"/>
        <v>Pneumonia</v>
      </c>
      <c r="G1668" t="str">
        <f t="shared" ca="1" si="318"/>
        <v>Surgery</v>
      </c>
      <c r="H1668">
        <f t="shared" ca="1" si="319"/>
        <v>5</v>
      </c>
      <c r="I1668" t="str">
        <f t="shared" ca="1" si="320"/>
        <v>No</v>
      </c>
      <c r="J1668">
        <f t="shared" ca="1" si="321"/>
        <v>3</v>
      </c>
      <c r="K1668" t="str">
        <f t="shared" ca="1" si="322"/>
        <v>None</v>
      </c>
      <c r="L1668" t="str">
        <f t="shared" ca="1" si="323"/>
        <v>General</v>
      </c>
    </row>
    <row r="1669" spans="1:12" x14ac:dyDescent="0.25">
      <c r="A1669">
        <f t="shared" si="312"/>
        <v>1668</v>
      </c>
      <c r="B1669">
        <f t="shared" ca="1" si="313"/>
        <v>48</v>
      </c>
      <c r="C1669" t="str">
        <f t="shared" ca="1" si="314"/>
        <v>Male</v>
      </c>
      <c r="D1669" s="1">
        <f t="shared" ca="1" si="315"/>
        <v>45458</v>
      </c>
      <c r="E1669" s="1">
        <f t="shared" ca="1" si="316"/>
        <v>45462</v>
      </c>
      <c r="F1669" t="str">
        <f t="shared" ca="1" si="317"/>
        <v>Stroke</v>
      </c>
      <c r="G1669" t="str">
        <f t="shared" ca="1" si="318"/>
        <v>Medication</v>
      </c>
      <c r="H1669">
        <f t="shared" ca="1" si="319"/>
        <v>4</v>
      </c>
      <c r="I1669" t="str">
        <f t="shared" ca="1" si="320"/>
        <v>Yes</v>
      </c>
      <c r="J1669">
        <f t="shared" ca="1" si="321"/>
        <v>2</v>
      </c>
      <c r="K1669" t="str">
        <f t="shared" ca="1" si="322"/>
        <v>Private</v>
      </c>
      <c r="L1669" t="str">
        <f t="shared" ca="1" si="323"/>
        <v>ER</v>
      </c>
    </row>
    <row r="1670" spans="1:12" x14ac:dyDescent="0.25">
      <c r="A1670">
        <f t="shared" si="312"/>
        <v>1669</v>
      </c>
      <c r="B1670">
        <f t="shared" ca="1" si="313"/>
        <v>61</v>
      </c>
      <c r="C1670" t="str">
        <f t="shared" ca="1" si="314"/>
        <v>Female</v>
      </c>
      <c r="D1670" s="1">
        <f t="shared" ca="1" si="315"/>
        <v>45365</v>
      </c>
      <c r="E1670" s="1">
        <f t="shared" ca="1" si="316"/>
        <v>45373</v>
      </c>
      <c r="F1670" t="str">
        <f t="shared" ca="1" si="317"/>
        <v>Stroke</v>
      </c>
      <c r="G1670" t="str">
        <f t="shared" ca="1" si="318"/>
        <v>Therapy</v>
      </c>
      <c r="H1670">
        <f t="shared" ca="1" si="319"/>
        <v>8</v>
      </c>
      <c r="I1670" t="str">
        <f t="shared" ca="1" si="320"/>
        <v>Yes</v>
      </c>
      <c r="J1670">
        <f t="shared" ca="1" si="321"/>
        <v>1</v>
      </c>
      <c r="K1670" t="str">
        <f t="shared" ca="1" si="322"/>
        <v>Public</v>
      </c>
      <c r="L1670" t="str">
        <f t="shared" ca="1" si="323"/>
        <v>Cardiology</v>
      </c>
    </row>
    <row r="1671" spans="1:12" x14ac:dyDescent="0.25">
      <c r="A1671">
        <f t="shared" si="312"/>
        <v>1670</v>
      </c>
      <c r="B1671">
        <f t="shared" ca="1" si="313"/>
        <v>80</v>
      </c>
      <c r="C1671" t="str">
        <f t="shared" ca="1" si="314"/>
        <v>Female</v>
      </c>
      <c r="D1671" s="1">
        <f t="shared" ca="1" si="315"/>
        <v>45429</v>
      </c>
      <c r="E1671" s="1">
        <f t="shared" ca="1" si="316"/>
        <v>45439</v>
      </c>
      <c r="F1671" t="str">
        <f t="shared" ca="1" si="317"/>
        <v>Hypertension</v>
      </c>
      <c r="G1671" t="str">
        <f t="shared" ca="1" si="318"/>
        <v>Therapy</v>
      </c>
      <c r="H1671">
        <f t="shared" ca="1" si="319"/>
        <v>10</v>
      </c>
      <c r="I1671" t="str">
        <f t="shared" ca="1" si="320"/>
        <v>No</v>
      </c>
      <c r="J1671">
        <f t="shared" ca="1" si="321"/>
        <v>2</v>
      </c>
      <c r="K1671" t="str">
        <f t="shared" ca="1" si="322"/>
        <v>Private</v>
      </c>
      <c r="L1671" t="str">
        <f t="shared" ca="1" si="323"/>
        <v>Neurology</v>
      </c>
    </row>
    <row r="1672" spans="1:12" x14ac:dyDescent="0.25">
      <c r="A1672">
        <f t="shared" si="312"/>
        <v>1671</v>
      </c>
      <c r="B1672">
        <f t="shared" ca="1" si="313"/>
        <v>38</v>
      </c>
      <c r="C1672" t="str">
        <f t="shared" ca="1" si="314"/>
        <v>Male</v>
      </c>
      <c r="D1672" s="1">
        <f t="shared" ca="1" si="315"/>
        <v>45415</v>
      </c>
      <c r="E1672" s="1">
        <f t="shared" ca="1" si="316"/>
        <v>45418</v>
      </c>
      <c r="F1672" t="str">
        <f t="shared" ca="1" si="317"/>
        <v>Stroke</v>
      </c>
      <c r="G1672" t="str">
        <f t="shared" ca="1" si="318"/>
        <v>Surgery</v>
      </c>
      <c r="H1672">
        <f t="shared" ca="1" si="319"/>
        <v>3</v>
      </c>
      <c r="I1672" t="str">
        <f t="shared" ca="1" si="320"/>
        <v>No</v>
      </c>
      <c r="J1672">
        <f t="shared" ca="1" si="321"/>
        <v>2</v>
      </c>
      <c r="K1672" t="str">
        <f t="shared" ca="1" si="322"/>
        <v>Public</v>
      </c>
      <c r="L1672" t="str">
        <f t="shared" ca="1" si="323"/>
        <v>ICU</v>
      </c>
    </row>
    <row r="1673" spans="1:12" x14ac:dyDescent="0.25">
      <c r="A1673">
        <f t="shared" si="312"/>
        <v>1672</v>
      </c>
      <c r="B1673">
        <f t="shared" ca="1" si="313"/>
        <v>87</v>
      </c>
      <c r="C1673" t="str">
        <f t="shared" ca="1" si="314"/>
        <v>Female</v>
      </c>
      <c r="D1673" s="1">
        <f t="shared" ca="1" si="315"/>
        <v>45295</v>
      </c>
      <c r="E1673" s="1">
        <f t="shared" ca="1" si="316"/>
        <v>45310</v>
      </c>
      <c r="F1673" t="str">
        <f t="shared" ca="1" si="317"/>
        <v>Pneumonia</v>
      </c>
      <c r="G1673" t="str">
        <f t="shared" ca="1" si="318"/>
        <v>Medication</v>
      </c>
      <c r="H1673">
        <f t="shared" ca="1" si="319"/>
        <v>15</v>
      </c>
      <c r="I1673" t="str">
        <f t="shared" ca="1" si="320"/>
        <v>Yes</v>
      </c>
      <c r="J1673">
        <f t="shared" ca="1" si="321"/>
        <v>0</v>
      </c>
      <c r="K1673" t="str">
        <f t="shared" ca="1" si="322"/>
        <v>None</v>
      </c>
      <c r="L1673" t="str">
        <f t="shared" ca="1" si="323"/>
        <v>Neurology</v>
      </c>
    </row>
    <row r="1674" spans="1:12" x14ac:dyDescent="0.25">
      <c r="A1674">
        <f t="shared" si="312"/>
        <v>1673</v>
      </c>
      <c r="B1674">
        <f t="shared" ca="1" si="313"/>
        <v>45</v>
      </c>
      <c r="C1674" t="str">
        <f t="shared" ca="1" si="314"/>
        <v>Male</v>
      </c>
      <c r="D1674" s="1">
        <f t="shared" ca="1" si="315"/>
        <v>45324</v>
      </c>
      <c r="E1674" s="1">
        <f t="shared" ca="1" si="316"/>
        <v>45327</v>
      </c>
      <c r="F1674" t="str">
        <f t="shared" ca="1" si="317"/>
        <v>Hypertension</v>
      </c>
      <c r="G1674" t="str">
        <f t="shared" ca="1" si="318"/>
        <v>Surgery</v>
      </c>
      <c r="H1674">
        <f t="shared" ca="1" si="319"/>
        <v>3</v>
      </c>
      <c r="I1674" t="str">
        <f t="shared" ca="1" si="320"/>
        <v>Yes</v>
      </c>
      <c r="J1674">
        <f t="shared" ca="1" si="321"/>
        <v>2</v>
      </c>
      <c r="K1674" t="str">
        <f t="shared" ca="1" si="322"/>
        <v>Public</v>
      </c>
      <c r="L1674" t="str">
        <f t="shared" ca="1" si="323"/>
        <v>General</v>
      </c>
    </row>
    <row r="1675" spans="1:12" x14ac:dyDescent="0.25">
      <c r="A1675">
        <f t="shared" si="312"/>
        <v>1674</v>
      </c>
      <c r="B1675">
        <f t="shared" ca="1" si="313"/>
        <v>35</v>
      </c>
      <c r="C1675" t="str">
        <f t="shared" ca="1" si="314"/>
        <v>Male</v>
      </c>
      <c r="D1675" s="1">
        <f t="shared" ca="1" si="315"/>
        <v>45498</v>
      </c>
      <c r="E1675" s="1">
        <f t="shared" ca="1" si="316"/>
        <v>45503</v>
      </c>
      <c r="F1675" t="str">
        <f t="shared" ca="1" si="317"/>
        <v>Stroke</v>
      </c>
      <c r="G1675" t="str">
        <f t="shared" ca="1" si="318"/>
        <v>Surgery</v>
      </c>
      <c r="H1675">
        <f t="shared" ca="1" si="319"/>
        <v>5</v>
      </c>
      <c r="I1675" t="str">
        <f t="shared" ca="1" si="320"/>
        <v>No</v>
      </c>
      <c r="J1675">
        <f t="shared" ca="1" si="321"/>
        <v>2</v>
      </c>
      <c r="K1675" t="str">
        <f t="shared" ca="1" si="322"/>
        <v>Public</v>
      </c>
      <c r="L1675" t="str">
        <f t="shared" ca="1" si="323"/>
        <v>General</v>
      </c>
    </row>
    <row r="1676" spans="1:12" x14ac:dyDescent="0.25">
      <c r="A1676">
        <f t="shared" si="312"/>
        <v>1675</v>
      </c>
      <c r="B1676">
        <f t="shared" ca="1" si="313"/>
        <v>85</v>
      </c>
      <c r="C1676" t="str">
        <f t="shared" ca="1" si="314"/>
        <v>Female</v>
      </c>
      <c r="D1676" s="1">
        <f t="shared" ca="1" si="315"/>
        <v>45331</v>
      </c>
      <c r="E1676" s="1">
        <f t="shared" ca="1" si="316"/>
        <v>45338</v>
      </c>
      <c r="F1676" t="str">
        <f t="shared" ca="1" si="317"/>
        <v>Pneumonia</v>
      </c>
      <c r="G1676" t="str">
        <f t="shared" ca="1" si="318"/>
        <v>Medication</v>
      </c>
      <c r="H1676">
        <f t="shared" ca="1" si="319"/>
        <v>7</v>
      </c>
      <c r="I1676" t="str">
        <f t="shared" ca="1" si="320"/>
        <v>Yes</v>
      </c>
      <c r="J1676">
        <f t="shared" ca="1" si="321"/>
        <v>3</v>
      </c>
      <c r="K1676" t="str">
        <f t="shared" ca="1" si="322"/>
        <v>Private</v>
      </c>
      <c r="L1676" t="str">
        <f t="shared" ca="1" si="323"/>
        <v>Cardiology</v>
      </c>
    </row>
    <row r="1677" spans="1:12" x14ac:dyDescent="0.25">
      <c r="A1677">
        <f t="shared" si="312"/>
        <v>1676</v>
      </c>
      <c r="B1677">
        <f t="shared" ca="1" si="313"/>
        <v>53</v>
      </c>
      <c r="C1677" t="str">
        <f t="shared" ca="1" si="314"/>
        <v>Male</v>
      </c>
      <c r="D1677" s="1">
        <f t="shared" ca="1" si="315"/>
        <v>45487</v>
      </c>
      <c r="E1677" s="1">
        <f t="shared" ca="1" si="316"/>
        <v>45500</v>
      </c>
      <c r="F1677" t="str">
        <f t="shared" ca="1" si="317"/>
        <v>Stroke</v>
      </c>
      <c r="G1677" t="str">
        <f t="shared" ca="1" si="318"/>
        <v>Therapy</v>
      </c>
      <c r="H1677">
        <f t="shared" ca="1" si="319"/>
        <v>13</v>
      </c>
      <c r="I1677" t="str">
        <f t="shared" ca="1" si="320"/>
        <v>Yes</v>
      </c>
      <c r="J1677">
        <f t="shared" ca="1" si="321"/>
        <v>3</v>
      </c>
      <c r="K1677" t="str">
        <f t="shared" ca="1" si="322"/>
        <v>Private</v>
      </c>
      <c r="L1677" t="str">
        <f t="shared" ca="1" si="323"/>
        <v>General</v>
      </c>
    </row>
    <row r="1678" spans="1:12" x14ac:dyDescent="0.25">
      <c r="A1678">
        <f t="shared" si="312"/>
        <v>1677</v>
      </c>
      <c r="B1678">
        <f t="shared" ca="1" si="313"/>
        <v>80</v>
      </c>
      <c r="C1678" t="str">
        <f t="shared" ca="1" si="314"/>
        <v>Female</v>
      </c>
      <c r="D1678" s="1">
        <f t="shared" ca="1" si="315"/>
        <v>45410</v>
      </c>
      <c r="E1678" s="1">
        <f t="shared" ca="1" si="316"/>
        <v>45414</v>
      </c>
      <c r="F1678" t="str">
        <f t="shared" ca="1" si="317"/>
        <v>Pneumonia</v>
      </c>
      <c r="G1678" t="str">
        <f t="shared" ca="1" si="318"/>
        <v>Surgery</v>
      </c>
      <c r="H1678">
        <f t="shared" ca="1" si="319"/>
        <v>4</v>
      </c>
      <c r="I1678" t="str">
        <f t="shared" ca="1" si="320"/>
        <v>No</v>
      </c>
      <c r="J1678">
        <f t="shared" ca="1" si="321"/>
        <v>2</v>
      </c>
      <c r="K1678" t="str">
        <f t="shared" ca="1" si="322"/>
        <v>None</v>
      </c>
      <c r="L1678" t="str">
        <f t="shared" ca="1" si="323"/>
        <v>ER</v>
      </c>
    </row>
    <row r="1679" spans="1:12" x14ac:dyDescent="0.25">
      <c r="A1679">
        <f t="shared" si="312"/>
        <v>1678</v>
      </c>
      <c r="B1679">
        <f t="shared" ca="1" si="313"/>
        <v>55</v>
      </c>
      <c r="C1679" t="str">
        <f t="shared" ca="1" si="314"/>
        <v>Male</v>
      </c>
      <c r="D1679" s="1">
        <f t="shared" ca="1" si="315"/>
        <v>45572</v>
      </c>
      <c r="E1679" s="1">
        <f t="shared" ca="1" si="316"/>
        <v>45583</v>
      </c>
      <c r="F1679" t="str">
        <f t="shared" ca="1" si="317"/>
        <v>Heart Failure</v>
      </c>
      <c r="G1679" t="str">
        <f t="shared" ca="1" si="318"/>
        <v>Medication</v>
      </c>
      <c r="H1679">
        <f t="shared" ca="1" si="319"/>
        <v>11</v>
      </c>
      <c r="I1679" t="str">
        <f t="shared" ca="1" si="320"/>
        <v>No</v>
      </c>
      <c r="J1679">
        <f t="shared" ca="1" si="321"/>
        <v>0</v>
      </c>
      <c r="K1679" t="str">
        <f t="shared" ca="1" si="322"/>
        <v>Public</v>
      </c>
      <c r="L1679" t="str">
        <f t="shared" ca="1" si="323"/>
        <v>General</v>
      </c>
    </row>
    <row r="1680" spans="1:12" x14ac:dyDescent="0.25">
      <c r="A1680">
        <f t="shared" si="312"/>
        <v>1679</v>
      </c>
      <c r="B1680">
        <f t="shared" ca="1" si="313"/>
        <v>24</v>
      </c>
      <c r="C1680" t="str">
        <f t="shared" ca="1" si="314"/>
        <v>Male</v>
      </c>
      <c r="D1680" s="1">
        <f t="shared" ca="1" si="315"/>
        <v>45310</v>
      </c>
      <c r="E1680" s="1">
        <f t="shared" ca="1" si="316"/>
        <v>45322</v>
      </c>
      <c r="F1680" t="str">
        <f t="shared" ca="1" si="317"/>
        <v>Diabetes</v>
      </c>
      <c r="G1680" t="str">
        <f t="shared" ca="1" si="318"/>
        <v>Surgery</v>
      </c>
      <c r="H1680">
        <f t="shared" ca="1" si="319"/>
        <v>12</v>
      </c>
      <c r="I1680" t="str">
        <f t="shared" ca="1" si="320"/>
        <v>No</v>
      </c>
      <c r="J1680">
        <f t="shared" ca="1" si="321"/>
        <v>0</v>
      </c>
      <c r="K1680" t="str">
        <f t="shared" ca="1" si="322"/>
        <v>Private</v>
      </c>
      <c r="L1680" t="str">
        <f t="shared" ca="1" si="323"/>
        <v>General</v>
      </c>
    </row>
    <row r="1681" spans="1:12" x14ac:dyDescent="0.25">
      <c r="A1681">
        <f t="shared" si="312"/>
        <v>1680</v>
      </c>
      <c r="B1681">
        <f t="shared" ca="1" si="313"/>
        <v>62</v>
      </c>
      <c r="C1681" t="str">
        <f t="shared" ca="1" si="314"/>
        <v>Female</v>
      </c>
      <c r="D1681" s="1">
        <f t="shared" ca="1" si="315"/>
        <v>45305</v>
      </c>
      <c r="E1681" s="1">
        <f t="shared" ca="1" si="316"/>
        <v>45318</v>
      </c>
      <c r="F1681" t="str">
        <f t="shared" ca="1" si="317"/>
        <v>Heart Failure</v>
      </c>
      <c r="G1681" t="str">
        <f t="shared" ca="1" si="318"/>
        <v>Medication</v>
      </c>
      <c r="H1681">
        <f t="shared" ca="1" si="319"/>
        <v>13</v>
      </c>
      <c r="I1681" t="str">
        <f t="shared" ca="1" si="320"/>
        <v>No</v>
      </c>
      <c r="J1681">
        <f t="shared" ca="1" si="321"/>
        <v>3</v>
      </c>
      <c r="K1681" t="str">
        <f t="shared" ca="1" si="322"/>
        <v>None</v>
      </c>
      <c r="L1681" t="str">
        <f t="shared" ca="1" si="323"/>
        <v>Cardiology</v>
      </c>
    </row>
    <row r="1682" spans="1:12" x14ac:dyDescent="0.25">
      <c r="A1682">
        <f t="shared" si="312"/>
        <v>1681</v>
      </c>
      <c r="B1682">
        <f t="shared" ca="1" si="313"/>
        <v>29</v>
      </c>
      <c r="C1682" t="str">
        <f t="shared" ca="1" si="314"/>
        <v>Female</v>
      </c>
      <c r="D1682" s="1">
        <f t="shared" ca="1" si="315"/>
        <v>45416</v>
      </c>
      <c r="E1682" s="1">
        <f t="shared" ca="1" si="316"/>
        <v>45427</v>
      </c>
      <c r="F1682" t="str">
        <f t="shared" ca="1" si="317"/>
        <v>Pneumonia</v>
      </c>
      <c r="G1682" t="str">
        <f t="shared" ca="1" si="318"/>
        <v>Surgery</v>
      </c>
      <c r="H1682">
        <f t="shared" ca="1" si="319"/>
        <v>11</v>
      </c>
      <c r="I1682" t="str">
        <f t="shared" ca="1" si="320"/>
        <v>No</v>
      </c>
      <c r="J1682">
        <f t="shared" ca="1" si="321"/>
        <v>4</v>
      </c>
      <c r="K1682" t="str">
        <f t="shared" ca="1" si="322"/>
        <v>Private</v>
      </c>
      <c r="L1682" t="str">
        <f t="shared" ca="1" si="323"/>
        <v>General</v>
      </c>
    </row>
    <row r="1683" spans="1:12" x14ac:dyDescent="0.25">
      <c r="A1683">
        <f t="shared" si="312"/>
        <v>1682</v>
      </c>
      <c r="B1683">
        <f t="shared" ca="1" si="313"/>
        <v>89</v>
      </c>
      <c r="C1683" t="str">
        <f t="shared" ca="1" si="314"/>
        <v>Male</v>
      </c>
      <c r="D1683" s="1">
        <f t="shared" ca="1" si="315"/>
        <v>45350</v>
      </c>
      <c r="E1683" s="1">
        <f t="shared" ca="1" si="316"/>
        <v>45361</v>
      </c>
      <c r="F1683" t="str">
        <f t="shared" ca="1" si="317"/>
        <v>Pneumonia</v>
      </c>
      <c r="G1683" t="str">
        <f t="shared" ca="1" si="318"/>
        <v>Therapy</v>
      </c>
      <c r="H1683">
        <f t="shared" ca="1" si="319"/>
        <v>11</v>
      </c>
      <c r="I1683" t="str">
        <f t="shared" ca="1" si="320"/>
        <v>No</v>
      </c>
      <c r="J1683">
        <f t="shared" ca="1" si="321"/>
        <v>2</v>
      </c>
      <c r="K1683" t="str">
        <f t="shared" ca="1" si="322"/>
        <v>Private</v>
      </c>
      <c r="L1683" t="str">
        <f t="shared" ca="1" si="323"/>
        <v>ICU</v>
      </c>
    </row>
    <row r="1684" spans="1:12" x14ac:dyDescent="0.25">
      <c r="A1684">
        <f t="shared" si="312"/>
        <v>1683</v>
      </c>
      <c r="B1684">
        <f t="shared" ca="1" si="313"/>
        <v>57</v>
      </c>
      <c r="C1684" t="str">
        <f t="shared" ca="1" si="314"/>
        <v>Male</v>
      </c>
      <c r="D1684" s="1">
        <f t="shared" ca="1" si="315"/>
        <v>45364</v>
      </c>
      <c r="E1684" s="1">
        <f t="shared" ca="1" si="316"/>
        <v>45379</v>
      </c>
      <c r="F1684" t="str">
        <f t="shared" ca="1" si="317"/>
        <v>Pneumonia</v>
      </c>
      <c r="G1684" t="str">
        <f t="shared" ca="1" si="318"/>
        <v>Therapy</v>
      </c>
      <c r="H1684">
        <f t="shared" ca="1" si="319"/>
        <v>15</v>
      </c>
      <c r="I1684" t="str">
        <f t="shared" ca="1" si="320"/>
        <v>No</v>
      </c>
      <c r="J1684">
        <f t="shared" ca="1" si="321"/>
        <v>2</v>
      </c>
      <c r="K1684" t="str">
        <f t="shared" ca="1" si="322"/>
        <v>None</v>
      </c>
      <c r="L1684" t="str">
        <f t="shared" ca="1" si="323"/>
        <v>ICU</v>
      </c>
    </row>
    <row r="1685" spans="1:12" x14ac:dyDescent="0.25">
      <c r="A1685">
        <f t="shared" si="312"/>
        <v>1684</v>
      </c>
      <c r="B1685">
        <f t="shared" ca="1" si="313"/>
        <v>49</v>
      </c>
      <c r="C1685" t="str">
        <f t="shared" ca="1" si="314"/>
        <v>Female</v>
      </c>
      <c r="D1685" s="1">
        <f t="shared" ca="1" si="315"/>
        <v>45511</v>
      </c>
      <c r="E1685" s="1">
        <f t="shared" ca="1" si="316"/>
        <v>45520</v>
      </c>
      <c r="F1685" t="str">
        <f t="shared" ca="1" si="317"/>
        <v>Diabetes</v>
      </c>
      <c r="G1685" t="str">
        <f t="shared" ca="1" si="318"/>
        <v>Therapy</v>
      </c>
      <c r="H1685">
        <f t="shared" ca="1" si="319"/>
        <v>9</v>
      </c>
      <c r="I1685" t="str">
        <f t="shared" ca="1" si="320"/>
        <v>No</v>
      </c>
      <c r="J1685">
        <f t="shared" ca="1" si="321"/>
        <v>1</v>
      </c>
      <c r="K1685" t="str">
        <f t="shared" ca="1" si="322"/>
        <v>Private</v>
      </c>
      <c r="L1685" t="str">
        <f t="shared" ca="1" si="323"/>
        <v>General</v>
      </c>
    </row>
    <row r="1686" spans="1:12" x14ac:dyDescent="0.25">
      <c r="A1686">
        <f t="shared" si="312"/>
        <v>1685</v>
      </c>
      <c r="B1686">
        <f t="shared" ca="1" si="313"/>
        <v>39</v>
      </c>
      <c r="C1686" t="str">
        <f t="shared" ca="1" si="314"/>
        <v>Male</v>
      </c>
      <c r="D1686" s="1">
        <f t="shared" ca="1" si="315"/>
        <v>45539</v>
      </c>
      <c r="E1686" s="1">
        <f t="shared" ca="1" si="316"/>
        <v>45542</v>
      </c>
      <c r="F1686" t="str">
        <f t="shared" ca="1" si="317"/>
        <v>Diabetes</v>
      </c>
      <c r="G1686" t="str">
        <f t="shared" ca="1" si="318"/>
        <v>Therapy</v>
      </c>
      <c r="H1686">
        <f t="shared" ca="1" si="319"/>
        <v>3</v>
      </c>
      <c r="I1686" t="str">
        <f t="shared" ca="1" si="320"/>
        <v>Yes</v>
      </c>
      <c r="J1686">
        <f t="shared" ca="1" si="321"/>
        <v>2</v>
      </c>
      <c r="K1686" t="str">
        <f t="shared" ca="1" si="322"/>
        <v>Private</v>
      </c>
      <c r="L1686" t="str">
        <f t="shared" ca="1" si="323"/>
        <v>General</v>
      </c>
    </row>
    <row r="1687" spans="1:12" x14ac:dyDescent="0.25">
      <c r="A1687">
        <f t="shared" si="312"/>
        <v>1686</v>
      </c>
      <c r="B1687">
        <f t="shared" ca="1" si="313"/>
        <v>32</v>
      </c>
      <c r="C1687" t="str">
        <f t="shared" ca="1" si="314"/>
        <v>Female</v>
      </c>
      <c r="D1687" s="1">
        <f t="shared" ca="1" si="315"/>
        <v>45609</v>
      </c>
      <c r="E1687" s="1">
        <f t="shared" ca="1" si="316"/>
        <v>45622</v>
      </c>
      <c r="F1687" t="str">
        <f t="shared" ca="1" si="317"/>
        <v>Pneumonia</v>
      </c>
      <c r="G1687" t="str">
        <f t="shared" ca="1" si="318"/>
        <v>Surgery</v>
      </c>
      <c r="H1687">
        <f t="shared" ca="1" si="319"/>
        <v>13</v>
      </c>
      <c r="I1687" t="str">
        <f t="shared" ca="1" si="320"/>
        <v>No</v>
      </c>
      <c r="J1687">
        <f t="shared" ca="1" si="321"/>
        <v>1</v>
      </c>
      <c r="K1687" t="str">
        <f t="shared" ca="1" si="322"/>
        <v>Private</v>
      </c>
      <c r="L1687" t="str">
        <f t="shared" ca="1" si="323"/>
        <v>Neurology</v>
      </c>
    </row>
    <row r="1688" spans="1:12" x14ac:dyDescent="0.25">
      <c r="A1688">
        <f t="shared" si="312"/>
        <v>1687</v>
      </c>
      <c r="B1688">
        <f t="shared" ca="1" si="313"/>
        <v>38</v>
      </c>
      <c r="C1688" t="str">
        <f t="shared" ca="1" si="314"/>
        <v>Male</v>
      </c>
      <c r="D1688" s="1">
        <f t="shared" ca="1" si="315"/>
        <v>45571</v>
      </c>
      <c r="E1688" s="1">
        <f t="shared" ca="1" si="316"/>
        <v>45578</v>
      </c>
      <c r="F1688" t="str">
        <f t="shared" ca="1" si="317"/>
        <v>Heart Failure</v>
      </c>
      <c r="G1688" t="str">
        <f t="shared" ca="1" si="318"/>
        <v>Therapy</v>
      </c>
      <c r="H1688">
        <f t="shared" ca="1" si="319"/>
        <v>7</v>
      </c>
      <c r="I1688" t="str">
        <f t="shared" ca="1" si="320"/>
        <v>No</v>
      </c>
      <c r="J1688">
        <f t="shared" ca="1" si="321"/>
        <v>3</v>
      </c>
      <c r="K1688" t="str">
        <f t="shared" ca="1" si="322"/>
        <v>None</v>
      </c>
      <c r="L1688" t="str">
        <f t="shared" ca="1" si="323"/>
        <v>General</v>
      </c>
    </row>
    <row r="1689" spans="1:12" x14ac:dyDescent="0.25">
      <c r="A1689">
        <f t="shared" si="312"/>
        <v>1688</v>
      </c>
      <c r="B1689">
        <f t="shared" ca="1" si="313"/>
        <v>80</v>
      </c>
      <c r="C1689" t="str">
        <f t="shared" ca="1" si="314"/>
        <v>Female</v>
      </c>
      <c r="D1689" s="1">
        <f t="shared" ca="1" si="315"/>
        <v>45603</v>
      </c>
      <c r="E1689" s="1">
        <f t="shared" ca="1" si="316"/>
        <v>45608</v>
      </c>
      <c r="F1689" t="str">
        <f t="shared" ca="1" si="317"/>
        <v>Hypertension</v>
      </c>
      <c r="G1689" t="str">
        <f t="shared" ca="1" si="318"/>
        <v>Surgery</v>
      </c>
      <c r="H1689">
        <f t="shared" ca="1" si="319"/>
        <v>5</v>
      </c>
      <c r="I1689" t="str">
        <f t="shared" ca="1" si="320"/>
        <v>No</v>
      </c>
      <c r="J1689">
        <f t="shared" ca="1" si="321"/>
        <v>3</v>
      </c>
      <c r="K1689" t="str">
        <f t="shared" ca="1" si="322"/>
        <v>Public</v>
      </c>
      <c r="L1689" t="str">
        <f t="shared" ca="1" si="323"/>
        <v>General</v>
      </c>
    </row>
    <row r="1690" spans="1:12" x14ac:dyDescent="0.25">
      <c r="A1690">
        <f t="shared" si="312"/>
        <v>1689</v>
      </c>
      <c r="B1690">
        <f t="shared" ca="1" si="313"/>
        <v>49</v>
      </c>
      <c r="C1690" t="str">
        <f t="shared" ca="1" si="314"/>
        <v>Female</v>
      </c>
      <c r="D1690" s="1">
        <f t="shared" ca="1" si="315"/>
        <v>45490</v>
      </c>
      <c r="E1690" s="1">
        <f t="shared" ca="1" si="316"/>
        <v>45492</v>
      </c>
      <c r="F1690" t="str">
        <f t="shared" ca="1" si="317"/>
        <v>Pneumonia</v>
      </c>
      <c r="G1690" t="str">
        <f t="shared" ca="1" si="318"/>
        <v>Surgery</v>
      </c>
      <c r="H1690">
        <f t="shared" ca="1" si="319"/>
        <v>2</v>
      </c>
      <c r="I1690" t="str">
        <f t="shared" ca="1" si="320"/>
        <v>No</v>
      </c>
      <c r="J1690">
        <f t="shared" ca="1" si="321"/>
        <v>3</v>
      </c>
      <c r="K1690" t="str">
        <f t="shared" ca="1" si="322"/>
        <v>Private</v>
      </c>
      <c r="L1690" t="str">
        <f t="shared" ca="1" si="323"/>
        <v>ICU</v>
      </c>
    </row>
    <row r="1691" spans="1:12" x14ac:dyDescent="0.25">
      <c r="A1691">
        <f t="shared" si="312"/>
        <v>1690</v>
      </c>
      <c r="B1691">
        <f t="shared" ca="1" si="313"/>
        <v>46</v>
      </c>
      <c r="C1691" t="str">
        <f t="shared" ca="1" si="314"/>
        <v>Male</v>
      </c>
      <c r="D1691" s="1">
        <f t="shared" ca="1" si="315"/>
        <v>45409</v>
      </c>
      <c r="E1691" s="1">
        <f t="shared" ca="1" si="316"/>
        <v>45419</v>
      </c>
      <c r="F1691" t="str">
        <f t="shared" ca="1" si="317"/>
        <v>Diabetes</v>
      </c>
      <c r="G1691" t="str">
        <f t="shared" ca="1" si="318"/>
        <v>Therapy</v>
      </c>
      <c r="H1691">
        <f t="shared" ca="1" si="319"/>
        <v>10</v>
      </c>
      <c r="I1691" t="str">
        <f t="shared" ca="1" si="320"/>
        <v>No</v>
      </c>
      <c r="J1691">
        <f t="shared" ca="1" si="321"/>
        <v>0</v>
      </c>
      <c r="K1691" t="str">
        <f t="shared" ca="1" si="322"/>
        <v>Private</v>
      </c>
      <c r="L1691" t="str">
        <f t="shared" ca="1" si="323"/>
        <v>Cardiology</v>
      </c>
    </row>
    <row r="1692" spans="1:12" x14ac:dyDescent="0.25">
      <c r="A1692">
        <f t="shared" si="312"/>
        <v>1691</v>
      </c>
      <c r="B1692">
        <f t="shared" ca="1" si="313"/>
        <v>21</v>
      </c>
      <c r="C1692" t="str">
        <f t="shared" ca="1" si="314"/>
        <v>Male</v>
      </c>
      <c r="D1692" s="1">
        <f t="shared" ca="1" si="315"/>
        <v>45573</v>
      </c>
      <c r="E1692" s="1">
        <f t="shared" ca="1" si="316"/>
        <v>45579</v>
      </c>
      <c r="F1692" t="str">
        <f t="shared" ca="1" si="317"/>
        <v>Diabetes</v>
      </c>
      <c r="G1692" t="str">
        <f t="shared" ca="1" si="318"/>
        <v>Surgery</v>
      </c>
      <c r="H1692">
        <f t="shared" ca="1" si="319"/>
        <v>6</v>
      </c>
      <c r="I1692" t="str">
        <f t="shared" ca="1" si="320"/>
        <v>No</v>
      </c>
      <c r="J1692">
        <f t="shared" ca="1" si="321"/>
        <v>1</v>
      </c>
      <c r="K1692" t="str">
        <f t="shared" ca="1" si="322"/>
        <v>None</v>
      </c>
      <c r="L1692" t="str">
        <f t="shared" ca="1" si="323"/>
        <v>ER</v>
      </c>
    </row>
    <row r="1693" spans="1:12" x14ac:dyDescent="0.25">
      <c r="A1693">
        <f t="shared" si="312"/>
        <v>1692</v>
      </c>
      <c r="B1693">
        <f t="shared" ca="1" si="313"/>
        <v>26</v>
      </c>
      <c r="C1693" t="str">
        <f t="shared" ca="1" si="314"/>
        <v>Male</v>
      </c>
      <c r="D1693" s="1">
        <f t="shared" ca="1" si="315"/>
        <v>45405</v>
      </c>
      <c r="E1693" s="1">
        <f t="shared" ca="1" si="316"/>
        <v>45419</v>
      </c>
      <c r="F1693" t="str">
        <f t="shared" ca="1" si="317"/>
        <v>Heart Failure</v>
      </c>
      <c r="G1693" t="str">
        <f t="shared" ca="1" si="318"/>
        <v>Medication</v>
      </c>
      <c r="H1693">
        <f t="shared" ca="1" si="319"/>
        <v>14</v>
      </c>
      <c r="I1693" t="str">
        <f t="shared" ca="1" si="320"/>
        <v>No</v>
      </c>
      <c r="J1693">
        <f t="shared" ca="1" si="321"/>
        <v>2</v>
      </c>
      <c r="K1693" t="str">
        <f t="shared" ca="1" si="322"/>
        <v>None</v>
      </c>
      <c r="L1693" t="str">
        <f t="shared" ca="1" si="323"/>
        <v>ER</v>
      </c>
    </row>
    <row r="1694" spans="1:12" x14ac:dyDescent="0.25">
      <c r="A1694">
        <f t="shared" si="312"/>
        <v>1693</v>
      </c>
      <c r="B1694">
        <f t="shared" ca="1" si="313"/>
        <v>77</v>
      </c>
      <c r="C1694" t="str">
        <f t="shared" ca="1" si="314"/>
        <v>Female</v>
      </c>
      <c r="D1694" s="1">
        <f t="shared" ca="1" si="315"/>
        <v>45636</v>
      </c>
      <c r="E1694" s="1">
        <f t="shared" ca="1" si="316"/>
        <v>45649</v>
      </c>
      <c r="F1694" t="str">
        <f t="shared" ca="1" si="317"/>
        <v>Heart Failure</v>
      </c>
      <c r="G1694" t="str">
        <f t="shared" ca="1" si="318"/>
        <v>Surgery</v>
      </c>
      <c r="H1694">
        <f t="shared" ca="1" si="319"/>
        <v>13</v>
      </c>
      <c r="I1694" t="str">
        <f t="shared" ca="1" si="320"/>
        <v>No</v>
      </c>
      <c r="J1694">
        <f t="shared" ca="1" si="321"/>
        <v>4</v>
      </c>
      <c r="K1694" t="str">
        <f t="shared" ca="1" si="322"/>
        <v>Private</v>
      </c>
      <c r="L1694" t="str">
        <f t="shared" ca="1" si="323"/>
        <v>ICU</v>
      </c>
    </row>
    <row r="1695" spans="1:12" x14ac:dyDescent="0.25">
      <c r="A1695">
        <f t="shared" si="312"/>
        <v>1694</v>
      </c>
      <c r="B1695">
        <f t="shared" ca="1" si="313"/>
        <v>37</v>
      </c>
      <c r="C1695" t="str">
        <f t="shared" ca="1" si="314"/>
        <v>Male</v>
      </c>
      <c r="D1695" s="1">
        <f t="shared" ca="1" si="315"/>
        <v>45513</v>
      </c>
      <c r="E1695" s="1">
        <f t="shared" ca="1" si="316"/>
        <v>45517</v>
      </c>
      <c r="F1695" t="str">
        <f t="shared" ca="1" si="317"/>
        <v>Heart Failure</v>
      </c>
      <c r="G1695" t="str">
        <f t="shared" ca="1" si="318"/>
        <v>Therapy</v>
      </c>
      <c r="H1695">
        <f t="shared" ca="1" si="319"/>
        <v>4</v>
      </c>
      <c r="I1695" t="str">
        <f t="shared" ca="1" si="320"/>
        <v>No</v>
      </c>
      <c r="J1695">
        <f t="shared" ca="1" si="321"/>
        <v>1</v>
      </c>
      <c r="K1695" t="str">
        <f t="shared" ca="1" si="322"/>
        <v>None</v>
      </c>
      <c r="L1695" t="str">
        <f t="shared" ca="1" si="323"/>
        <v>ICU</v>
      </c>
    </row>
    <row r="1696" spans="1:12" x14ac:dyDescent="0.25">
      <c r="A1696">
        <f t="shared" si="312"/>
        <v>1695</v>
      </c>
      <c r="B1696">
        <f t="shared" ca="1" si="313"/>
        <v>74</v>
      </c>
      <c r="C1696" t="str">
        <f t="shared" ca="1" si="314"/>
        <v>Male</v>
      </c>
      <c r="D1696" s="1">
        <f t="shared" ca="1" si="315"/>
        <v>45508</v>
      </c>
      <c r="E1696" s="1">
        <f t="shared" ca="1" si="316"/>
        <v>45514</v>
      </c>
      <c r="F1696" t="str">
        <f t="shared" ca="1" si="317"/>
        <v>Hypertension</v>
      </c>
      <c r="G1696" t="str">
        <f t="shared" ca="1" si="318"/>
        <v>Surgery</v>
      </c>
      <c r="H1696">
        <f t="shared" ca="1" si="319"/>
        <v>6</v>
      </c>
      <c r="I1696" t="str">
        <f t="shared" ca="1" si="320"/>
        <v>Yes</v>
      </c>
      <c r="J1696">
        <f t="shared" ca="1" si="321"/>
        <v>3</v>
      </c>
      <c r="K1696" t="str">
        <f t="shared" ca="1" si="322"/>
        <v>Private</v>
      </c>
      <c r="L1696" t="str">
        <f t="shared" ca="1" si="323"/>
        <v>Neurology</v>
      </c>
    </row>
    <row r="1697" spans="1:12" x14ac:dyDescent="0.25">
      <c r="A1697">
        <f t="shared" si="312"/>
        <v>1696</v>
      </c>
      <c r="B1697">
        <f t="shared" ca="1" si="313"/>
        <v>23</v>
      </c>
      <c r="C1697" t="str">
        <f t="shared" ca="1" si="314"/>
        <v>Male</v>
      </c>
      <c r="D1697" s="1">
        <f t="shared" ca="1" si="315"/>
        <v>45413</v>
      </c>
      <c r="E1697" s="1">
        <f t="shared" ca="1" si="316"/>
        <v>45424</v>
      </c>
      <c r="F1697" t="str">
        <f t="shared" ca="1" si="317"/>
        <v>Heart Failure</v>
      </c>
      <c r="G1697" t="str">
        <f t="shared" ca="1" si="318"/>
        <v>Surgery</v>
      </c>
      <c r="H1697">
        <f t="shared" ca="1" si="319"/>
        <v>11</v>
      </c>
      <c r="I1697" t="str">
        <f t="shared" ca="1" si="320"/>
        <v>No</v>
      </c>
      <c r="J1697">
        <f t="shared" ca="1" si="321"/>
        <v>3</v>
      </c>
      <c r="K1697" t="str">
        <f t="shared" ca="1" si="322"/>
        <v>Private</v>
      </c>
      <c r="L1697" t="str">
        <f t="shared" ca="1" si="323"/>
        <v>ER</v>
      </c>
    </row>
    <row r="1698" spans="1:12" x14ac:dyDescent="0.25">
      <c r="A1698">
        <f t="shared" si="312"/>
        <v>1697</v>
      </c>
      <c r="B1698">
        <f t="shared" ca="1" si="313"/>
        <v>42</v>
      </c>
      <c r="C1698" t="str">
        <f t="shared" ca="1" si="314"/>
        <v>Female</v>
      </c>
      <c r="D1698" s="1">
        <f t="shared" ca="1" si="315"/>
        <v>45493</v>
      </c>
      <c r="E1698" s="1">
        <f t="shared" ca="1" si="316"/>
        <v>45507</v>
      </c>
      <c r="F1698" t="str">
        <f t="shared" ca="1" si="317"/>
        <v>Diabetes</v>
      </c>
      <c r="G1698" t="str">
        <f t="shared" ca="1" si="318"/>
        <v>Medication</v>
      </c>
      <c r="H1698">
        <f t="shared" ca="1" si="319"/>
        <v>14</v>
      </c>
      <c r="I1698" t="str">
        <f t="shared" ca="1" si="320"/>
        <v>No</v>
      </c>
      <c r="J1698">
        <f t="shared" ca="1" si="321"/>
        <v>4</v>
      </c>
      <c r="K1698" t="str">
        <f t="shared" ca="1" si="322"/>
        <v>Public</v>
      </c>
      <c r="L1698" t="str">
        <f t="shared" ca="1" si="323"/>
        <v>General</v>
      </c>
    </row>
    <row r="1699" spans="1:12" x14ac:dyDescent="0.25">
      <c r="A1699">
        <f t="shared" si="312"/>
        <v>1698</v>
      </c>
      <c r="B1699">
        <f t="shared" ca="1" si="313"/>
        <v>60</v>
      </c>
      <c r="C1699" t="str">
        <f t="shared" ca="1" si="314"/>
        <v>Female</v>
      </c>
      <c r="D1699" s="1">
        <f t="shared" ca="1" si="315"/>
        <v>45643</v>
      </c>
      <c r="E1699" s="1">
        <f t="shared" ca="1" si="316"/>
        <v>45655</v>
      </c>
      <c r="F1699" t="str">
        <f t="shared" ca="1" si="317"/>
        <v>Pneumonia</v>
      </c>
      <c r="G1699" t="str">
        <f t="shared" ca="1" si="318"/>
        <v>Medication</v>
      </c>
      <c r="H1699">
        <f t="shared" ca="1" si="319"/>
        <v>12</v>
      </c>
      <c r="I1699" t="str">
        <f t="shared" ca="1" si="320"/>
        <v>Yes</v>
      </c>
      <c r="J1699">
        <f t="shared" ca="1" si="321"/>
        <v>0</v>
      </c>
      <c r="K1699" t="str">
        <f t="shared" ca="1" si="322"/>
        <v>None</v>
      </c>
      <c r="L1699" t="str">
        <f t="shared" ca="1" si="323"/>
        <v>ER</v>
      </c>
    </row>
    <row r="1700" spans="1:12" x14ac:dyDescent="0.25">
      <c r="A1700">
        <f t="shared" si="312"/>
        <v>1699</v>
      </c>
      <c r="B1700">
        <f t="shared" ca="1" si="313"/>
        <v>40</v>
      </c>
      <c r="C1700" t="str">
        <f t="shared" ca="1" si="314"/>
        <v>Male</v>
      </c>
      <c r="D1700" s="1">
        <f t="shared" ca="1" si="315"/>
        <v>45316</v>
      </c>
      <c r="E1700" s="1">
        <f t="shared" ca="1" si="316"/>
        <v>45323</v>
      </c>
      <c r="F1700" t="str">
        <f t="shared" ca="1" si="317"/>
        <v>Hypertension</v>
      </c>
      <c r="G1700" t="str">
        <f t="shared" ca="1" si="318"/>
        <v>Surgery</v>
      </c>
      <c r="H1700">
        <f t="shared" ca="1" si="319"/>
        <v>7</v>
      </c>
      <c r="I1700" t="str">
        <f t="shared" ca="1" si="320"/>
        <v>No</v>
      </c>
      <c r="J1700">
        <f t="shared" ca="1" si="321"/>
        <v>3</v>
      </c>
      <c r="K1700" t="str">
        <f t="shared" ca="1" si="322"/>
        <v>Private</v>
      </c>
      <c r="L1700" t="str">
        <f t="shared" ca="1" si="323"/>
        <v>Cardiology</v>
      </c>
    </row>
    <row r="1701" spans="1:12" x14ac:dyDescent="0.25">
      <c r="A1701">
        <f t="shared" si="312"/>
        <v>1700</v>
      </c>
      <c r="B1701">
        <f t="shared" ca="1" si="313"/>
        <v>89</v>
      </c>
      <c r="C1701" t="str">
        <f t="shared" ca="1" si="314"/>
        <v>Female</v>
      </c>
      <c r="D1701" s="1">
        <f t="shared" ca="1" si="315"/>
        <v>45319</v>
      </c>
      <c r="E1701" s="1">
        <f t="shared" ca="1" si="316"/>
        <v>45334</v>
      </c>
      <c r="F1701" t="str">
        <f t="shared" ca="1" si="317"/>
        <v>Stroke</v>
      </c>
      <c r="G1701" t="str">
        <f t="shared" ca="1" si="318"/>
        <v>Surgery</v>
      </c>
      <c r="H1701">
        <f t="shared" ca="1" si="319"/>
        <v>15</v>
      </c>
      <c r="I1701" t="str">
        <f t="shared" ca="1" si="320"/>
        <v>Yes</v>
      </c>
      <c r="J1701">
        <f t="shared" ca="1" si="321"/>
        <v>4</v>
      </c>
      <c r="K1701" t="str">
        <f t="shared" ca="1" si="322"/>
        <v>None</v>
      </c>
      <c r="L1701" t="str">
        <f t="shared" ca="1" si="323"/>
        <v>Cardiology</v>
      </c>
    </row>
    <row r="1702" spans="1:12" x14ac:dyDescent="0.25">
      <c r="A1702">
        <f t="shared" si="312"/>
        <v>1701</v>
      </c>
      <c r="B1702">
        <f t="shared" ca="1" si="313"/>
        <v>81</v>
      </c>
      <c r="C1702" t="str">
        <f t="shared" ca="1" si="314"/>
        <v>Female</v>
      </c>
      <c r="D1702" s="1">
        <f t="shared" ca="1" si="315"/>
        <v>45496</v>
      </c>
      <c r="E1702" s="1">
        <f t="shared" ca="1" si="316"/>
        <v>45510</v>
      </c>
      <c r="F1702" t="str">
        <f t="shared" ca="1" si="317"/>
        <v>Stroke</v>
      </c>
      <c r="G1702" t="str">
        <f t="shared" ca="1" si="318"/>
        <v>Therapy</v>
      </c>
      <c r="H1702">
        <f t="shared" ca="1" si="319"/>
        <v>14</v>
      </c>
      <c r="I1702" t="str">
        <f t="shared" ca="1" si="320"/>
        <v>Yes</v>
      </c>
      <c r="J1702">
        <f t="shared" ca="1" si="321"/>
        <v>2</v>
      </c>
      <c r="K1702" t="str">
        <f t="shared" ca="1" si="322"/>
        <v>Private</v>
      </c>
      <c r="L1702" t="str">
        <f t="shared" ca="1" si="323"/>
        <v>ER</v>
      </c>
    </row>
    <row r="1703" spans="1:12" x14ac:dyDescent="0.25">
      <c r="A1703">
        <f t="shared" si="312"/>
        <v>1702</v>
      </c>
      <c r="B1703">
        <f t="shared" ca="1" si="313"/>
        <v>46</v>
      </c>
      <c r="C1703" t="str">
        <f t="shared" ca="1" si="314"/>
        <v>Female</v>
      </c>
      <c r="D1703" s="1">
        <f t="shared" ca="1" si="315"/>
        <v>45637</v>
      </c>
      <c r="E1703" s="1">
        <f t="shared" ca="1" si="316"/>
        <v>45641</v>
      </c>
      <c r="F1703" t="str">
        <f t="shared" ca="1" si="317"/>
        <v>Diabetes</v>
      </c>
      <c r="G1703" t="str">
        <f t="shared" ca="1" si="318"/>
        <v>Medication</v>
      </c>
      <c r="H1703">
        <f t="shared" ca="1" si="319"/>
        <v>4</v>
      </c>
      <c r="I1703" t="str">
        <f t="shared" ca="1" si="320"/>
        <v>No</v>
      </c>
      <c r="J1703">
        <f t="shared" ca="1" si="321"/>
        <v>0</v>
      </c>
      <c r="K1703" t="str">
        <f t="shared" ca="1" si="322"/>
        <v>Public</v>
      </c>
      <c r="L1703" t="str">
        <f t="shared" ca="1" si="323"/>
        <v>Neurology</v>
      </c>
    </row>
    <row r="1704" spans="1:12" x14ac:dyDescent="0.25">
      <c r="A1704">
        <f t="shared" si="312"/>
        <v>1703</v>
      </c>
      <c r="B1704">
        <f t="shared" ca="1" si="313"/>
        <v>51</v>
      </c>
      <c r="C1704" t="str">
        <f t="shared" ca="1" si="314"/>
        <v>Female</v>
      </c>
      <c r="D1704" s="1">
        <f t="shared" ca="1" si="315"/>
        <v>45294</v>
      </c>
      <c r="E1704" s="1">
        <f t="shared" ca="1" si="316"/>
        <v>45301</v>
      </c>
      <c r="F1704" t="str">
        <f t="shared" ca="1" si="317"/>
        <v>Diabetes</v>
      </c>
      <c r="G1704" t="str">
        <f t="shared" ca="1" si="318"/>
        <v>Therapy</v>
      </c>
      <c r="H1704">
        <f t="shared" ca="1" si="319"/>
        <v>7</v>
      </c>
      <c r="I1704" t="str">
        <f t="shared" ca="1" si="320"/>
        <v>No</v>
      </c>
      <c r="J1704">
        <f t="shared" ca="1" si="321"/>
        <v>3</v>
      </c>
      <c r="K1704" t="str">
        <f t="shared" ca="1" si="322"/>
        <v>Private</v>
      </c>
      <c r="L1704" t="str">
        <f t="shared" ca="1" si="323"/>
        <v>General</v>
      </c>
    </row>
    <row r="1705" spans="1:12" x14ac:dyDescent="0.25">
      <c r="A1705">
        <f t="shared" si="312"/>
        <v>1704</v>
      </c>
      <c r="B1705">
        <f t="shared" ca="1" si="313"/>
        <v>76</v>
      </c>
      <c r="C1705" t="str">
        <f t="shared" ca="1" si="314"/>
        <v>Male</v>
      </c>
      <c r="D1705" s="1">
        <f t="shared" ca="1" si="315"/>
        <v>45438</v>
      </c>
      <c r="E1705" s="1">
        <f t="shared" ca="1" si="316"/>
        <v>45440</v>
      </c>
      <c r="F1705" t="str">
        <f t="shared" ca="1" si="317"/>
        <v>Diabetes</v>
      </c>
      <c r="G1705" t="str">
        <f t="shared" ca="1" si="318"/>
        <v>Medication</v>
      </c>
      <c r="H1705">
        <f t="shared" ca="1" si="319"/>
        <v>2</v>
      </c>
      <c r="I1705" t="str">
        <f t="shared" ca="1" si="320"/>
        <v>No</v>
      </c>
      <c r="J1705">
        <f t="shared" ca="1" si="321"/>
        <v>1</v>
      </c>
      <c r="K1705" t="str">
        <f t="shared" ca="1" si="322"/>
        <v>Private</v>
      </c>
      <c r="L1705" t="str">
        <f t="shared" ca="1" si="323"/>
        <v>ER</v>
      </c>
    </row>
    <row r="1706" spans="1:12" x14ac:dyDescent="0.25">
      <c r="A1706">
        <f t="shared" si="312"/>
        <v>1705</v>
      </c>
      <c r="B1706">
        <f t="shared" ca="1" si="313"/>
        <v>22</v>
      </c>
      <c r="C1706" t="str">
        <f t="shared" ca="1" si="314"/>
        <v>Female</v>
      </c>
      <c r="D1706" s="1">
        <f t="shared" ca="1" si="315"/>
        <v>45371</v>
      </c>
      <c r="E1706" s="1">
        <f t="shared" ca="1" si="316"/>
        <v>45380</v>
      </c>
      <c r="F1706" t="str">
        <f t="shared" ca="1" si="317"/>
        <v>Heart Failure</v>
      </c>
      <c r="G1706" t="str">
        <f t="shared" ca="1" si="318"/>
        <v>Surgery</v>
      </c>
      <c r="H1706">
        <f t="shared" ca="1" si="319"/>
        <v>9</v>
      </c>
      <c r="I1706" t="str">
        <f t="shared" ca="1" si="320"/>
        <v>Yes</v>
      </c>
      <c r="J1706">
        <f t="shared" ca="1" si="321"/>
        <v>1</v>
      </c>
      <c r="K1706" t="str">
        <f t="shared" ca="1" si="322"/>
        <v>None</v>
      </c>
      <c r="L1706" t="str">
        <f t="shared" ca="1" si="323"/>
        <v>General</v>
      </c>
    </row>
    <row r="1707" spans="1:12" x14ac:dyDescent="0.25">
      <c r="A1707">
        <f t="shared" si="312"/>
        <v>1706</v>
      </c>
      <c r="B1707">
        <f t="shared" ca="1" si="313"/>
        <v>80</v>
      </c>
      <c r="C1707" t="str">
        <f t="shared" ca="1" si="314"/>
        <v>Male</v>
      </c>
      <c r="D1707" s="1">
        <f t="shared" ca="1" si="315"/>
        <v>45552</v>
      </c>
      <c r="E1707" s="1">
        <f t="shared" ca="1" si="316"/>
        <v>45557</v>
      </c>
      <c r="F1707" t="str">
        <f t="shared" ca="1" si="317"/>
        <v>Hypertension</v>
      </c>
      <c r="G1707" t="str">
        <f t="shared" ca="1" si="318"/>
        <v>Medication</v>
      </c>
      <c r="H1707">
        <f t="shared" ca="1" si="319"/>
        <v>5</v>
      </c>
      <c r="I1707" t="str">
        <f t="shared" ca="1" si="320"/>
        <v>No</v>
      </c>
      <c r="J1707">
        <f t="shared" ca="1" si="321"/>
        <v>0</v>
      </c>
      <c r="K1707" t="str">
        <f t="shared" ca="1" si="322"/>
        <v>None</v>
      </c>
      <c r="L1707" t="str">
        <f t="shared" ca="1" si="323"/>
        <v>ER</v>
      </c>
    </row>
    <row r="1708" spans="1:12" x14ac:dyDescent="0.25">
      <c r="A1708">
        <f t="shared" si="312"/>
        <v>1707</v>
      </c>
      <c r="B1708">
        <f t="shared" ca="1" si="313"/>
        <v>74</v>
      </c>
      <c r="C1708" t="str">
        <f t="shared" ca="1" si="314"/>
        <v>Female</v>
      </c>
      <c r="D1708" s="1">
        <f t="shared" ca="1" si="315"/>
        <v>45358</v>
      </c>
      <c r="E1708" s="1">
        <f t="shared" ca="1" si="316"/>
        <v>45372</v>
      </c>
      <c r="F1708" t="str">
        <f t="shared" ca="1" si="317"/>
        <v>Stroke</v>
      </c>
      <c r="G1708" t="str">
        <f t="shared" ca="1" si="318"/>
        <v>Surgery</v>
      </c>
      <c r="H1708">
        <f t="shared" ca="1" si="319"/>
        <v>14</v>
      </c>
      <c r="I1708" t="str">
        <f t="shared" ca="1" si="320"/>
        <v>No</v>
      </c>
      <c r="J1708">
        <f t="shared" ca="1" si="321"/>
        <v>0</v>
      </c>
      <c r="K1708" t="str">
        <f t="shared" ca="1" si="322"/>
        <v>Private</v>
      </c>
      <c r="L1708" t="str">
        <f t="shared" ca="1" si="323"/>
        <v>General</v>
      </c>
    </row>
    <row r="1709" spans="1:12" x14ac:dyDescent="0.25">
      <c r="A1709">
        <f t="shared" si="312"/>
        <v>1708</v>
      </c>
      <c r="B1709">
        <f t="shared" ca="1" si="313"/>
        <v>48</v>
      </c>
      <c r="C1709" t="str">
        <f t="shared" ca="1" si="314"/>
        <v>Male</v>
      </c>
      <c r="D1709" s="1">
        <f t="shared" ca="1" si="315"/>
        <v>45463</v>
      </c>
      <c r="E1709" s="1">
        <f t="shared" ca="1" si="316"/>
        <v>45475</v>
      </c>
      <c r="F1709" t="str">
        <f t="shared" ca="1" si="317"/>
        <v>Diabetes</v>
      </c>
      <c r="G1709" t="str">
        <f t="shared" ca="1" si="318"/>
        <v>Surgery</v>
      </c>
      <c r="H1709">
        <f t="shared" ca="1" si="319"/>
        <v>12</v>
      </c>
      <c r="I1709" t="str">
        <f t="shared" ca="1" si="320"/>
        <v>Yes</v>
      </c>
      <c r="J1709">
        <f t="shared" ca="1" si="321"/>
        <v>2</v>
      </c>
      <c r="K1709" t="str">
        <f t="shared" ca="1" si="322"/>
        <v>Private</v>
      </c>
      <c r="L1709" t="str">
        <f t="shared" ca="1" si="323"/>
        <v>ICU</v>
      </c>
    </row>
    <row r="1710" spans="1:12" x14ac:dyDescent="0.25">
      <c r="A1710">
        <f t="shared" si="312"/>
        <v>1709</v>
      </c>
      <c r="B1710">
        <f t="shared" ca="1" si="313"/>
        <v>65</v>
      </c>
      <c r="C1710" t="str">
        <f t="shared" ca="1" si="314"/>
        <v>Male</v>
      </c>
      <c r="D1710" s="1">
        <f t="shared" ca="1" si="315"/>
        <v>45524</v>
      </c>
      <c r="E1710" s="1">
        <f t="shared" ca="1" si="316"/>
        <v>45527</v>
      </c>
      <c r="F1710" t="str">
        <f t="shared" ca="1" si="317"/>
        <v>Hypertension</v>
      </c>
      <c r="G1710" t="str">
        <f t="shared" ca="1" si="318"/>
        <v>Therapy</v>
      </c>
      <c r="H1710">
        <f t="shared" ca="1" si="319"/>
        <v>3</v>
      </c>
      <c r="I1710" t="str">
        <f t="shared" ca="1" si="320"/>
        <v>Yes</v>
      </c>
      <c r="J1710">
        <f t="shared" ca="1" si="321"/>
        <v>2</v>
      </c>
      <c r="K1710" t="str">
        <f t="shared" ca="1" si="322"/>
        <v>Public</v>
      </c>
      <c r="L1710" t="str">
        <f t="shared" ca="1" si="323"/>
        <v>ER</v>
      </c>
    </row>
    <row r="1711" spans="1:12" x14ac:dyDescent="0.25">
      <c r="A1711">
        <f t="shared" si="312"/>
        <v>1710</v>
      </c>
      <c r="B1711">
        <f t="shared" ca="1" si="313"/>
        <v>21</v>
      </c>
      <c r="C1711" t="str">
        <f t="shared" ca="1" si="314"/>
        <v>Female</v>
      </c>
      <c r="D1711" s="1">
        <f t="shared" ca="1" si="315"/>
        <v>45623</v>
      </c>
      <c r="E1711" s="1">
        <f t="shared" ca="1" si="316"/>
        <v>45638</v>
      </c>
      <c r="F1711" t="str">
        <f t="shared" ca="1" si="317"/>
        <v>Stroke</v>
      </c>
      <c r="G1711" t="str">
        <f t="shared" ca="1" si="318"/>
        <v>Therapy</v>
      </c>
      <c r="H1711">
        <f t="shared" ca="1" si="319"/>
        <v>15</v>
      </c>
      <c r="I1711" t="str">
        <f t="shared" ca="1" si="320"/>
        <v>No</v>
      </c>
      <c r="J1711">
        <f t="shared" ca="1" si="321"/>
        <v>4</v>
      </c>
      <c r="K1711" t="str">
        <f t="shared" ca="1" si="322"/>
        <v>None</v>
      </c>
      <c r="L1711" t="str">
        <f t="shared" ca="1" si="323"/>
        <v>Cardiology</v>
      </c>
    </row>
    <row r="1712" spans="1:12" x14ac:dyDescent="0.25">
      <c r="A1712">
        <f t="shared" si="312"/>
        <v>1711</v>
      </c>
      <c r="B1712">
        <f t="shared" ca="1" si="313"/>
        <v>55</v>
      </c>
      <c r="C1712" t="str">
        <f t="shared" ca="1" si="314"/>
        <v>Male</v>
      </c>
      <c r="D1712" s="1">
        <f t="shared" ca="1" si="315"/>
        <v>45646</v>
      </c>
      <c r="E1712" s="1">
        <f t="shared" ca="1" si="316"/>
        <v>45652</v>
      </c>
      <c r="F1712" t="str">
        <f t="shared" ca="1" si="317"/>
        <v>Heart Failure</v>
      </c>
      <c r="G1712" t="str">
        <f t="shared" ca="1" si="318"/>
        <v>Therapy</v>
      </c>
      <c r="H1712">
        <f t="shared" ca="1" si="319"/>
        <v>6</v>
      </c>
      <c r="I1712" t="str">
        <f t="shared" ca="1" si="320"/>
        <v>No</v>
      </c>
      <c r="J1712">
        <f t="shared" ca="1" si="321"/>
        <v>0</v>
      </c>
      <c r="K1712" t="str">
        <f t="shared" ca="1" si="322"/>
        <v>Private</v>
      </c>
      <c r="L1712" t="str">
        <f t="shared" ca="1" si="323"/>
        <v>Cardiology</v>
      </c>
    </row>
    <row r="1713" spans="1:12" x14ac:dyDescent="0.25">
      <c r="A1713">
        <f t="shared" si="312"/>
        <v>1712</v>
      </c>
      <c r="B1713">
        <f t="shared" ca="1" si="313"/>
        <v>65</v>
      </c>
      <c r="C1713" t="str">
        <f t="shared" ca="1" si="314"/>
        <v>Female</v>
      </c>
      <c r="D1713" s="1">
        <f t="shared" ca="1" si="315"/>
        <v>45630</v>
      </c>
      <c r="E1713" s="1">
        <f t="shared" ca="1" si="316"/>
        <v>45645</v>
      </c>
      <c r="F1713" t="str">
        <f t="shared" ca="1" si="317"/>
        <v>Pneumonia</v>
      </c>
      <c r="G1713" t="str">
        <f t="shared" ca="1" si="318"/>
        <v>Medication</v>
      </c>
      <c r="H1713">
        <f t="shared" ca="1" si="319"/>
        <v>15</v>
      </c>
      <c r="I1713" t="str">
        <f t="shared" ca="1" si="320"/>
        <v>No</v>
      </c>
      <c r="J1713">
        <f t="shared" ca="1" si="321"/>
        <v>2</v>
      </c>
      <c r="K1713" t="str">
        <f t="shared" ca="1" si="322"/>
        <v>Private</v>
      </c>
      <c r="L1713" t="str">
        <f t="shared" ca="1" si="323"/>
        <v>Neurology</v>
      </c>
    </row>
    <row r="1714" spans="1:12" x14ac:dyDescent="0.25">
      <c r="A1714">
        <f t="shared" si="312"/>
        <v>1713</v>
      </c>
      <c r="B1714">
        <f t="shared" ca="1" si="313"/>
        <v>80</v>
      </c>
      <c r="C1714" t="str">
        <f t="shared" ca="1" si="314"/>
        <v>Male</v>
      </c>
      <c r="D1714" s="1">
        <f t="shared" ca="1" si="315"/>
        <v>45365</v>
      </c>
      <c r="E1714" s="1">
        <f t="shared" ca="1" si="316"/>
        <v>45372</v>
      </c>
      <c r="F1714" t="str">
        <f t="shared" ca="1" si="317"/>
        <v>Heart Failure</v>
      </c>
      <c r="G1714" t="str">
        <f t="shared" ca="1" si="318"/>
        <v>Medication</v>
      </c>
      <c r="H1714">
        <f t="shared" ca="1" si="319"/>
        <v>7</v>
      </c>
      <c r="I1714" t="str">
        <f t="shared" ca="1" si="320"/>
        <v>No</v>
      </c>
      <c r="J1714">
        <f t="shared" ca="1" si="321"/>
        <v>0</v>
      </c>
      <c r="K1714" t="str">
        <f t="shared" ca="1" si="322"/>
        <v>None</v>
      </c>
      <c r="L1714" t="str">
        <f t="shared" ca="1" si="323"/>
        <v>Neurology</v>
      </c>
    </row>
    <row r="1715" spans="1:12" x14ac:dyDescent="0.25">
      <c r="A1715">
        <f t="shared" si="312"/>
        <v>1714</v>
      </c>
      <c r="B1715">
        <f t="shared" ca="1" si="313"/>
        <v>62</v>
      </c>
      <c r="C1715" t="str">
        <f t="shared" ca="1" si="314"/>
        <v>Male</v>
      </c>
      <c r="D1715" s="1">
        <f t="shared" ca="1" si="315"/>
        <v>45473</v>
      </c>
      <c r="E1715" s="1">
        <f t="shared" ca="1" si="316"/>
        <v>45484</v>
      </c>
      <c r="F1715" t="str">
        <f t="shared" ca="1" si="317"/>
        <v>Heart Failure</v>
      </c>
      <c r="G1715" t="str">
        <f t="shared" ca="1" si="318"/>
        <v>Medication</v>
      </c>
      <c r="H1715">
        <f t="shared" ca="1" si="319"/>
        <v>11</v>
      </c>
      <c r="I1715" t="str">
        <f t="shared" ca="1" si="320"/>
        <v>Yes</v>
      </c>
      <c r="J1715">
        <f t="shared" ca="1" si="321"/>
        <v>2</v>
      </c>
      <c r="K1715" t="str">
        <f t="shared" ca="1" si="322"/>
        <v>Public</v>
      </c>
      <c r="L1715" t="str">
        <f t="shared" ca="1" si="323"/>
        <v>Cardiology</v>
      </c>
    </row>
    <row r="1716" spans="1:12" x14ac:dyDescent="0.25">
      <c r="A1716">
        <f t="shared" si="312"/>
        <v>1715</v>
      </c>
      <c r="B1716">
        <f t="shared" ca="1" si="313"/>
        <v>57</v>
      </c>
      <c r="C1716" t="str">
        <f t="shared" ca="1" si="314"/>
        <v>Female</v>
      </c>
      <c r="D1716" s="1">
        <f t="shared" ca="1" si="315"/>
        <v>45368</v>
      </c>
      <c r="E1716" s="1">
        <f t="shared" ca="1" si="316"/>
        <v>45369</v>
      </c>
      <c r="F1716" t="str">
        <f t="shared" ca="1" si="317"/>
        <v>Hypertension</v>
      </c>
      <c r="G1716" t="str">
        <f t="shared" ca="1" si="318"/>
        <v>Therapy</v>
      </c>
      <c r="H1716">
        <f t="shared" ca="1" si="319"/>
        <v>1</v>
      </c>
      <c r="I1716" t="str">
        <f t="shared" ca="1" si="320"/>
        <v>No</v>
      </c>
      <c r="J1716">
        <f t="shared" ca="1" si="321"/>
        <v>4</v>
      </c>
      <c r="K1716" t="str">
        <f t="shared" ca="1" si="322"/>
        <v>None</v>
      </c>
      <c r="L1716" t="str">
        <f t="shared" ca="1" si="323"/>
        <v>ER</v>
      </c>
    </row>
    <row r="1717" spans="1:12" x14ac:dyDescent="0.25">
      <c r="A1717">
        <f t="shared" si="312"/>
        <v>1716</v>
      </c>
      <c r="B1717">
        <f t="shared" ca="1" si="313"/>
        <v>75</v>
      </c>
      <c r="C1717" t="str">
        <f t="shared" ca="1" si="314"/>
        <v>Male</v>
      </c>
      <c r="D1717" s="1">
        <f t="shared" ca="1" si="315"/>
        <v>45641</v>
      </c>
      <c r="E1717" s="1">
        <f t="shared" ca="1" si="316"/>
        <v>45654</v>
      </c>
      <c r="F1717" t="str">
        <f t="shared" ca="1" si="317"/>
        <v>Stroke</v>
      </c>
      <c r="G1717" t="str">
        <f t="shared" ca="1" si="318"/>
        <v>Therapy</v>
      </c>
      <c r="H1717">
        <f t="shared" ca="1" si="319"/>
        <v>13</v>
      </c>
      <c r="I1717" t="str">
        <f t="shared" ca="1" si="320"/>
        <v>Yes</v>
      </c>
      <c r="J1717">
        <f t="shared" ca="1" si="321"/>
        <v>4</v>
      </c>
      <c r="K1717" t="str">
        <f t="shared" ca="1" si="322"/>
        <v>Private</v>
      </c>
      <c r="L1717" t="str">
        <f t="shared" ca="1" si="323"/>
        <v>ICU</v>
      </c>
    </row>
    <row r="1718" spans="1:12" x14ac:dyDescent="0.25">
      <c r="A1718">
        <f t="shared" si="312"/>
        <v>1717</v>
      </c>
      <c r="B1718">
        <f t="shared" ca="1" si="313"/>
        <v>20</v>
      </c>
      <c r="C1718" t="str">
        <f t="shared" ca="1" si="314"/>
        <v>Male</v>
      </c>
      <c r="D1718" s="1">
        <f t="shared" ca="1" si="315"/>
        <v>45387</v>
      </c>
      <c r="E1718" s="1">
        <f t="shared" ca="1" si="316"/>
        <v>45388</v>
      </c>
      <c r="F1718" t="str">
        <f t="shared" ca="1" si="317"/>
        <v>Hypertension</v>
      </c>
      <c r="G1718" t="str">
        <f t="shared" ca="1" si="318"/>
        <v>Medication</v>
      </c>
      <c r="H1718">
        <f t="shared" ca="1" si="319"/>
        <v>1</v>
      </c>
      <c r="I1718" t="str">
        <f t="shared" ca="1" si="320"/>
        <v>No</v>
      </c>
      <c r="J1718">
        <f t="shared" ca="1" si="321"/>
        <v>0</v>
      </c>
      <c r="K1718" t="str">
        <f t="shared" ca="1" si="322"/>
        <v>None</v>
      </c>
      <c r="L1718" t="str">
        <f t="shared" ca="1" si="323"/>
        <v>Neurology</v>
      </c>
    </row>
    <row r="1719" spans="1:12" x14ac:dyDescent="0.25">
      <c r="A1719">
        <f t="shared" si="312"/>
        <v>1718</v>
      </c>
      <c r="B1719">
        <f t="shared" ca="1" si="313"/>
        <v>31</v>
      </c>
      <c r="C1719" t="str">
        <f t="shared" ca="1" si="314"/>
        <v>Male</v>
      </c>
      <c r="D1719" s="1">
        <f t="shared" ca="1" si="315"/>
        <v>45436</v>
      </c>
      <c r="E1719" s="1">
        <f t="shared" ca="1" si="316"/>
        <v>45438</v>
      </c>
      <c r="F1719" t="str">
        <f t="shared" ca="1" si="317"/>
        <v>Diabetes</v>
      </c>
      <c r="G1719" t="str">
        <f t="shared" ca="1" si="318"/>
        <v>Therapy</v>
      </c>
      <c r="H1719">
        <f t="shared" ca="1" si="319"/>
        <v>2</v>
      </c>
      <c r="I1719" t="str">
        <f t="shared" ca="1" si="320"/>
        <v>No</v>
      </c>
      <c r="J1719">
        <f t="shared" ca="1" si="321"/>
        <v>2</v>
      </c>
      <c r="K1719" t="str">
        <f t="shared" ca="1" si="322"/>
        <v>None</v>
      </c>
      <c r="L1719" t="str">
        <f t="shared" ca="1" si="323"/>
        <v>ER</v>
      </c>
    </row>
    <row r="1720" spans="1:12" x14ac:dyDescent="0.25">
      <c r="A1720">
        <f t="shared" si="312"/>
        <v>1719</v>
      </c>
      <c r="B1720">
        <f t="shared" ca="1" si="313"/>
        <v>66</v>
      </c>
      <c r="C1720" t="str">
        <f t="shared" ca="1" si="314"/>
        <v>Female</v>
      </c>
      <c r="D1720" s="1">
        <f t="shared" ca="1" si="315"/>
        <v>45303</v>
      </c>
      <c r="E1720" s="1">
        <f t="shared" ca="1" si="316"/>
        <v>45318</v>
      </c>
      <c r="F1720" t="str">
        <f t="shared" ca="1" si="317"/>
        <v>Heart Failure</v>
      </c>
      <c r="G1720" t="str">
        <f t="shared" ca="1" si="318"/>
        <v>Surgery</v>
      </c>
      <c r="H1720">
        <f t="shared" ca="1" si="319"/>
        <v>15</v>
      </c>
      <c r="I1720" t="str">
        <f t="shared" ca="1" si="320"/>
        <v>No</v>
      </c>
      <c r="J1720">
        <f t="shared" ca="1" si="321"/>
        <v>3</v>
      </c>
      <c r="K1720" t="str">
        <f t="shared" ca="1" si="322"/>
        <v>Private</v>
      </c>
      <c r="L1720" t="str">
        <f t="shared" ca="1" si="323"/>
        <v>General</v>
      </c>
    </row>
    <row r="1721" spans="1:12" x14ac:dyDescent="0.25">
      <c r="A1721">
        <f t="shared" si="312"/>
        <v>1720</v>
      </c>
      <c r="B1721">
        <f t="shared" ca="1" si="313"/>
        <v>81</v>
      </c>
      <c r="C1721" t="str">
        <f t="shared" ca="1" si="314"/>
        <v>Male</v>
      </c>
      <c r="D1721" s="1">
        <f t="shared" ca="1" si="315"/>
        <v>45520</v>
      </c>
      <c r="E1721" s="1">
        <f t="shared" ca="1" si="316"/>
        <v>45529</v>
      </c>
      <c r="F1721" t="str">
        <f t="shared" ca="1" si="317"/>
        <v>Diabetes</v>
      </c>
      <c r="G1721" t="str">
        <f t="shared" ca="1" si="318"/>
        <v>Surgery</v>
      </c>
      <c r="H1721">
        <f t="shared" ca="1" si="319"/>
        <v>9</v>
      </c>
      <c r="I1721" t="str">
        <f t="shared" ca="1" si="320"/>
        <v>No</v>
      </c>
      <c r="J1721">
        <f t="shared" ca="1" si="321"/>
        <v>1</v>
      </c>
      <c r="K1721" t="str">
        <f t="shared" ca="1" si="322"/>
        <v>Public</v>
      </c>
      <c r="L1721" t="str">
        <f t="shared" ca="1" si="323"/>
        <v>Neurology</v>
      </c>
    </row>
    <row r="1722" spans="1:12" x14ac:dyDescent="0.25">
      <c r="A1722">
        <f t="shared" si="312"/>
        <v>1721</v>
      </c>
      <c r="B1722">
        <f t="shared" ca="1" si="313"/>
        <v>54</v>
      </c>
      <c r="C1722" t="str">
        <f t="shared" ca="1" si="314"/>
        <v>Male</v>
      </c>
      <c r="D1722" s="1">
        <f t="shared" ca="1" si="315"/>
        <v>45457</v>
      </c>
      <c r="E1722" s="1">
        <f t="shared" ca="1" si="316"/>
        <v>45467</v>
      </c>
      <c r="F1722" t="str">
        <f t="shared" ca="1" si="317"/>
        <v>Pneumonia</v>
      </c>
      <c r="G1722" t="str">
        <f t="shared" ca="1" si="318"/>
        <v>Surgery</v>
      </c>
      <c r="H1722">
        <f t="shared" ca="1" si="319"/>
        <v>10</v>
      </c>
      <c r="I1722" t="str">
        <f t="shared" ca="1" si="320"/>
        <v>No</v>
      </c>
      <c r="J1722">
        <f t="shared" ca="1" si="321"/>
        <v>4</v>
      </c>
      <c r="K1722" t="str">
        <f t="shared" ca="1" si="322"/>
        <v>Private</v>
      </c>
      <c r="L1722" t="str">
        <f t="shared" ca="1" si="323"/>
        <v>ER</v>
      </c>
    </row>
    <row r="1723" spans="1:12" x14ac:dyDescent="0.25">
      <c r="A1723">
        <f t="shared" si="312"/>
        <v>1722</v>
      </c>
      <c r="B1723">
        <f t="shared" ca="1" si="313"/>
        <v>55</v>
      </c>
      <c r="C1723" t="str">
        <f t="shared" ca="1" si="314"/>
        <v>Male</v>
      </c>
      <c r="D1723" s="1">
        <f t="shared" ca="1" si="315"/>
        <v>45621</v>
      </c>
      <c r="E1723" s="1">
        <f t="shared" ca="1" si="316"/>
        <v>45628</v>
      </c>
      <c r="F1723" t="str">
        <f t="shared" ca="1" si="317"/>
        <v>Hypertension</v>
      </c>
      <c r="G1723" t="str">
        <f t="shared" ca="1" si="318"/>
        <v>Surgery</v>
      </c>
      <c r="H1723">
        <f t="shared" ca="1" si="319"/>
        <v>7</v>
      </c>
      <c r="I1723" t="str">
        <f t="shared" ca="1" si="320"/>
        <v>Yes</v>
      </c>
      <c r="J1723">
        <f t="shared" ca="1" si="321"/>
        <v>4</v>
      </c>
      <c r="K1723" t="str">
        <f t="shared" ca="1" si="322"/>
        <v>Public</v>
      </c>
      <c r="L1723" t="str">
        <f t="shared" ca="1" si="323"/>
        <v>ER</v>
      </c>
    </row>
    <row r="1724" spans="1:12" x14ac:dyDescent="0.25">
      <c r="A1724">
        <f t="shared" si="312"/>
        <v>1723</v>
      </c>
      <c r="B1724">
        <f t="shared" ca="1" si="313"/>
        <v>33</v>
      </c>
      <c r="C1724" t="str">
        <f t="shared" ca="1" si="314"/>
        <v>Male</v>
      </c>
      <c r="D1724" s="1">
        <f t="shared" ca="1" si="315"/>
        <v>45636</v>
      </c>
      <c r="E1724" s="1">
        <f t="shared" ca="1" si="316"/>
        <v>45650</v>
      </c>
      <c r="F1724" t="str">
        <f t="shared" ca="1" si="317"/>
        <v>Stroke</v>
      </c>
      <c r="G1724" t="str">
        <f t="shared" ca="1" si="318"/>
        <v>Medication</v>
      </c>
      <c r="H1724">
        <f t="shared" ca="1" si="319"/>
        <v>14</v>
      </c>
      <c r="I1724" t="str">
        <f t="shared" ca="1" si="320"/>
        <v>No</v>
      </c>
      <c r="J1724">
        <f t="shared" ca="1" si="321"/>
        <v>2</v>
      </c>
      <c r="K1724" t="str">
        <f t="shared" ca="1" si="322"/>
        <v>Private</v>
      </c>
      <c r="L1724" t="str">
        <f t="shared" ca="1" si="323"/>
        <v>Cardiology</v>
      </c>
    </row>
    <row r="1725" spans="1:12" x14ac:dyDescent="0.25">
      <c r="A1725">
        <f t="shared" si="312"/>
        <v>1724</v>
      </c>
      <c r="B1725">
        <f t="shared" ca="1" si="313"/>
        <v>57</v>
      </c>
      <c r="C1725" t="str">
        <f t="shared" ca="1" si="314"/>
        <v>Female</v>
      </c>
      <c r="D1725" s="1">
        <f t="shared" ca="1" si="315"/>
        <v>45541</v>
      </c>
      <c r="E1725" s="1">
        <f t="shared" ca="1" si="316"/>
        <v>45554</v>
      </c>
      <c r="F1725" t="str">
        <f t="shared" ca="1" si="317"/>
        <v>Pneumonia</v>
      </c>
      <c r="G1725" t="str">
        <f t="shared" ca="1" si="318"/>
        <v>Therapy</v>
      </c>
      <c r="H1725">
        <f t="shared" ca="1" si="319"/>
        <v>13</v>
      </c>
      <c r="I1725" t="str">
        <f t="shared" ca="1" si="320"/>
        <v>No</v>
      </c>
      <c r="J1725">
        <f t="shared" ca="1" si="321"/>
        <v>2</v>
      </c>
      <c r="K1725" t="str">
        <f t="shared" ca="1" si="322"/>
        <v>Public</v>
      </c>
      <c r="L1725" t="str">
        <f t="shared" ca="1" si="323"/>
        <v>Neurology</v>
      </c>
    </row>
    <row r="1726" spans="1:12" x14ac:dyDescent="0.25">
      <c r="A1726">
        <f t="shared" si="312"/>
        <v>1725</v>
      </c>
      <c r="B1726">
        <f t="shared" ca="1" si="313"/>
        <v>57</v>
      </c>
      <c r="C1726" t="str">
        <f t="shared" ca="1" si="314"/>
        <v>Female</v>
      </c>
      <c r="D1726" s="1">
        <f t="shared" ca="1" si="315"/>
        <v>45378</v>
      </c>
      <c r="E1726" s="1">
        <f t="shared" ca="1" si="316"/>
        <v>45384</v>
      </c>
      <c r="F1726" t="str">
        <f t="shared" ca="1" si="317"/>
        <v>Pneumonia</v>
      </c>
      <c r="G1726" t="str">
        <f t="shared" ca="1" si="318"/>
        <v>Surgery</v>
      </c>
      <c r="H1726">
        <f t="shared" ca="1" si="319"/>
        <v>6</v>
      </c>
      <c r="I1726" t="str">
        <f t="shared" ca="1" si="320"/>
        <v>No</v>
      </c>
      <c r="J1726">
        <f t="shared" ca="1" si="321"/>
        <v>3</v>
      </c>
      <c r="K1726" t="str">
        <f t="shared" ca="1" si="322"/>
        <v>None</v>
      </c>
      <c r="L1726" t="str">
        <f t="shared" ca="1" si="323"/>
        <v>ICU</v>
      </c>
    </row>
    <row r="1727" spans="1:12" x14ac:dyDescent="0.25">
      <c r="A1727">
        <f t="shared" si="312"/>
        <v>1726</v>
      </c>
      <c r="B1727">
        <f t="shared" ca="1" si="313"/>
        <v>28</v>
      </c>
      <c r="C1727" t="str">
        <f t="shared" ca="1" si="314"/>
        <v>Female</v>
      </c>
      <c r="D1727" s="1">
        <f t="shared" ca="1" si="315"/>
        <v>45323</v>
      </c>
      <c r="E1727" s="1">
        <f t="shared" ca="1" si="316"/>
        <v>45335</v>
      </c>
      <c r="F1727" t="str">
        <f t="shared" ca="1" si="317"/>
        <v>Stroke</v>
      </c>
      <c r="G1727" t="str">
        <f t="shared" ca="1" si="318"/>
        <v>Surgery</v>
      </c>
      <c r="H1727">
        <f t="shared" ca="1" si="319"/>
        <v>12</v>
      </c>
      <c r="I1727" t="str">
        <f t="shared" ca="1" si="320"/>
        <v>Yes</v>
      </c>
      <c r="J1727">
        <f t="shared" ca="1" si="321"/>
        <v>4</v>
      </c>
      <c r="K1727" t="str">
        <f t="shared" ca="1" si="322"/>
        <v>None</v>
      </c>
      <c r="L1727" t="str">
        <f t="shared" ca="1" si="323"/>
        <v>General</v>
      </c>
    </row>
    <row r="1728" spans="1:12" x14ac:dyDescent="0.25">
      <c r="A1728">
        <f t="shared" si="312"/>
        <v>1727</v>
      </c>
      <c r="B1728">
        <f t="shared" ca="1" si="313"/>
        <v>73</v>
      </c>
      <c r="C1728" t="str">
        <f t="shared" ca="1" si="314"/>
        <v>Male</v>
      </c>
      <c r="D1728" s="1">
        <f t="shared" ca="1" si="315"/>
        <v>45462</v>
      </c>
      <c r="E1728" s="1">
        <f t="shared" ca="1" si="316"/>
        <v>45466</v>
      </c>
      <c r="F1728" t="str">
        <f t="shared" ca="1" si="317"/>
        <v>Hypertension</v>
      </c>
      <c r="G1728" t="str">
        <f t="shared" ca="1" si="318"/>
        <v>Medication</v>
      </c>
      <c r="H1728">
        <f t="shared" ca="1" si="319"/>
        <v>4</v>
      </c>
      <c r="I1728" t="str">
        <f t="shared" ca="1" si="320"/>
        <v>No</v>
      </c>
      <c r="J1728">
        <f t="shared" ca="1" si="321"/>
        <v>0</v>
      </c>
      <c r="K1728" t="str">
        <f t="shared" ca="1" si="322"/>
        <v>None</v>
      </c>
      <c r="L1728" t="str">
        <f t="shared" ca="1" si="323"/>
        <v>Neurology</v>
      </c>
    </row>
    <row r="1729" spans="1:12" x14ac:dyDescent="0.25">
      <c r="A1729">
        <f t="shared" si="312"/>
        <v>1728</v>
      </c>
      <c r="B1729">
        <f t="shared" ca="1" si="313"/>
        <v>21</v>
      </c>
      <c r="C1729" t="str">
        <f t="shared" ca="1" si="314"/>
        <v>Female</v>
      </c>
      <c r="D1729" s="1">
        <f t="shared" ca="1" si="315"/>
        <v>45363</v>
      </c>
      <c r="E1729" s="1">
        <f t="shared" ca="1" si="316"/>
        <v>45374</v>
      </c>
      <c r="F1729" t="str">
        <f t="shared" ca="1" si="317"/>
        <v>Stroke</v>
      </c>
      <c r="G1729" t="str">
        <f t="shared" ca="1" si="318"/>
        <v>Surgery</v>
      </c>
      <c r="H1729">
        <f t="shared" ca="1" si="319"/>
        <v>11</v>
      </c>
      <c r="I1729" t="str">
        <f t="shared" ca="1" si="320"/>
        <v>No</v>
      </c>
      <c r="J1729">
        <f t="shared" ca="1" si="321"/>
        <v>2</v>
      </c>
      <c r="K1729" t="str">
        <f t="shared" ca="1" si="322"/>
        <v>Public</v>
      </c>
      <c r="L1729" t="str">
        <f t="shared" ca="1" si="323"/>
        <v>Neurology</v>
      </c>
    </row>
    <row r="1730" spans="1:12" x14ac:dyDescent="0.25">
      <c r="A1730">
        <f t="shared" si="312"/>
        <v>1729</v>
      </c>
      <c r="B1730">
        <f t="shared" ca="1" si="313"/>
        <v>44</v>
      </c>
      <c r="C1730" t="str">
        <f t="shared" ca="1" si="314"/>
        <v>Male</v>
      </c>
      <c r="D1730" s="1">
        <f t="shared" ca="1" si="315"/>
        <v>45443</v>
      </c>
      <c r="E1730" s="1">
        <f t="shared" ca="1" si="316"/>
        <v>45452</v>
      </c>
      <c r="F1730" t="str">
        <f t="shared" ca="1" si="317"/>
        <v>Diabetes</v>
      </c>
      <c r="G1730" t="str">
        <f t="shared" ca="1" si="318"/>
        <v>Therapy</v>
      </c>
      <c r="H1730">
        <f t="shared" ca="1" si="319"/>
        <v>9</v>
      </c>
      <c r="I1730" t="str">
        <f t="shared" ca="1" si="320"/>
        <v>No</v>
      </c>
      <c r="J1730">
        <f t="shared" ca="1" si="321"/>
        <v>3</v>
      </c>
      <c r="K1730" t="str">
        <f t="shared" ca="1" si="322"/>
        <v>None</v>
      </c>
      <c r="L1730" t="str">
        <f t="shared" ca="1" si="323"/>
        <v>General</v>
      </c>
    </row>
    <row r="1731" spans="1:12" x14ac:dyDescent="0.25">
      <c r="A1731">
        <f t="shared" ref="A1731:A1794" si="324">ROW() -1</f>
        <v>1730</v>
      </c>
      <c r="B1731">
        <f t="shared" ref="B1731:B1794" ca="1" si="325">RANDBETWEEN(20,90)</f>
        <v>46</v>
      </c>
      <c r="C1731" t="str">
        <f t="shared" ref="C1731:C1794" ca="1" si="326">IF(RAND()&lt;0.5,"Male","Female")</f>
        <v>Male</v>
      </c>
      <c r="D1731" s="1">
        <f t="shared" ref="D1731:D1794" ca="1" si="327">DATE(2024,1,1)+RANDBETWEEN(0,364)</f>
        <v>45417</v>
      </c>
      <c r="E1731" s="1">
        <f t="shared" ref="E1731:E1794" ca="1" si="328">D1731+RANDBETWEEN(1,15)</f>
        <v>45419</v>
      </c>
      <c r="F1731" t="str">
        <f t="shared" ref="F1731:F1794" ca="1" si="329">CHOOSE(RANDBETWEEN(1,5),"Diabetes","Heart Failure","Pneumonia","Stroke","Hypertension")</f>
        <v>Diabetes</v>
      </c>
      <c r="G1731" t="str">
        <f t="shared" ref="G1731:G1794" ca="1" si="330">CHOOSE(RANDBETWEEN(1,3),"Medication","Surgery","Therapy")</f>
        <v>Therapy</v>
      </c>
      <c r="H1731">
        <f t="shared" ref="H1731:H1794" ca="1" si="331">DATEDIF(D1731,E1731,"D")</f>
        <v>2</v>
      </c>
      <c r="I1731" t="str">
        <f t="shared" ref="I1731:I1794" ca="1" si="332">IF(RAND()&lt;0.3,"Yes","No")</f>
        <v>No</v>
      </c>
      <c r="J1731">
        <f t="shared" ref="J1731:J1794" ca="1" si="333">RANDBETWEEN(0,4)</f>
        <v>1</v>
      </c>
      <c r="K1731" t="str">
        <f t="shared" ref="K1731:K1794" ca="1" si="334">CHOOSE(RANDBETWEEN(1,3),"Private","Public","None")</f>
        <v>None</v>
      </c>
      <c r="L1731" t="str">
        <f t="shared" ref="L1731:L1794" ca="1" si="335">CHOOSE(RANDBETWEEN(1,5),"ER","Cardiology","Neurology","General","ICU")</f>
        <v>ER</v>
      </c>
    </row>
    <row r="1732" spans="1:12" x14ac:dyDescent="0.25">
      <c r="A1732">
        <f t="shared" si="324"/>
        <v>1731</v>
      </c>
      <c r="B1732">
        <f t="shared" ca="1" si="325"/>
        <v>77</v>
      </c>
      <c r="C1732" t="str">
        <f t="shared" ca="1" si="326"/>
        <v>Female</v>
      </c>
      <c r="D1732" s="1">
        <f t="shared" ca="1" si="327"/>
        <v>45367</v>
      </c>
      <c r="E1732" s="1">
        <f t="shared" ca="1" si="328"/>
        <v>45376</v>
      </c>
      <c r="F1732" t="str">
        <f t="shared" ca="1" si="329"/>
        <v>Hypertension</v>
      </c>
      <c r="G1732" t="str">
        <f t="shared" ca="1" si="330"/>
        <v>Medication</v>
      </c>
      <c r="H1732">
        <f t="shared" ca="1" si="331"/>
        <v>9</v>
      </c>
      <c r="I1732" t="str">
        <f t="shared" ca="1" si="332"/>
        <v>No</v>
      </c>
      <c r="J1732">
        <f t="shared" ca="1" si="333"/>
        <v>1</v>
      </c>
      <c r="K1732" t="str">
        <f t="shared" ca="1" si="334"/>
        <v>Private</v>
      </c>
      <c r="L1732" t="str">
        <f t="shared" ca="1" si="335"/>
        <v>General</v>
      </c>
    </row>
    <row r="1733" spans="1:12" x14ac:dyDescent="0.25">
      <c r="A1733">
        <f t="shared" si="324"/>
        <v>1732</v>
      </c>
      <c r="B1733">
        <f t="shared" ca="1" si="325"/>
        <v>90</v>
      </c>
      <c r="C1733" t="str">
        <f t="shared" ca="1" si="326"/>
        <v>Male</v>
      </c>
      <c r="D1733" s="1">
        <f t="shared" ca="1" si="327"/>
        <v>45441</v>
      </c>
      <c r="E1733" s="1">
        <f t="shared" ca="1" si="328"/>
        <v>45446</v>
      </c>
      <c r="F1733" t="str">
        <f t="shared" ca="1" si="329"/>
        <v>Heart Failure</v>
      </c>
      <c r="G1733" t="str">
        <f t="shared" ca="1" si="330"/>
        <v>Medication</v>
      </c>
      <c r="H1733">
        <f t="shared" ca="1" si="331"/>
        <v>5</v>
      </c>
      <c r="I1733" t="str">
        <f t="shared" ca="1" si="332"/>
        <v>No</v>
      </c>
      <c r="J1733">
        <f t="shared" ca="1" si="333"/>
        <v>0</v>
      </c>
      <c r="K1733" t="str">
        <f t="shared" ca="1" si="334"/>
        <v>Private</v>
      </c>
      <c r="L1733" t="str">
        <f t="shared" ca="1" si="335"/>
        <v>ER</v>
      </c>
    </row>
    <row r="1734" spans="1:12" x14ac:dyDescent="0.25">
      <c r="A1734">
        <f t="shared" si="324"/>
        <v>1733</v>
      </c>
      <c r="B1734">
        <f t="shared" ca="1" si="325"/>
        <v>54</v>
      </c>
      <c r="C1734" t="str">
        <f t="shared" ca="1" si="326"/>
        <v>Female</v>
      </c>
      <c r="D1734" s="1">
        <f t="shared" ca="1" si="327"/>
        <v>45414</v>
      </c>
      <c r="E1734" s="1">
        <f t="shared" ca="1" si="328"/>
        <v>45426</v>
      </c>
      <c r="F1734" t="str">
        <f t="shared" ca="1" si="329"/>
        <v>Stroke</v>
      </c>
      <c r="G1734" t="str">
        <f t="shared" ca="1" si="330"/>
        <v>Medication</v>
      </c>
      <c r="H1734">
        <f t="shared" ca="1" si="331"/>
        <v>12</v>
      </c>
      <c r="I1734" t="str">
        <f t="shared" ca="1" si="332"/>
        <v>No</v>
      </c>
      <c r="J1734">
        <f t="shared" ca="1" si="333"/>
        <v>2</v>
      </c>
      <c r="K1734" t="str">
        <f t="shared" ca="1" si="334"/>
        <v>Private</v>
      </c>
      <c r="L1734" t="str">
        <f t="shared" ca="1" si="335"/>
        <v>General</v>
      </c>
    </row>
    <row r="1735" spans="1:12" x14ac:dyDescent="0.25">
      <c r="A1735">
        <f t="shared" si="324"/>
        <v>1734</v>
      </c>
      <c r="B1735">
        <f t="shared" ca="1" si="325"/>
        <v>62</v>
      </c>
      <c r="C1735" t="str">
        <f t="shared" ca="1" si="326"/>
        <v>Female</v>
      </c>
      <c r="D1735" s="1">
        <f t="shared" ca="1" si="327"/>
        <v>45601</v>
      </c>
      <c r="E1735" s="1">
        <f t="shared" ca="1" si="328"/>
        <v>45605</v>
      </c>
      <c r="F1735" t="str">
        <f t="shared" ca="1" si="329"/>
        <v>Diabetes</v>
      </c>
      <c r="G1735" t="str">
        <f t="shared" ca="1" si="330"/>
        <v>Therapy</v>
      </c>
      <c r="H1735">
        <f t="shared" ca="1" si="331"/>
        <v>4</v>
      </c>
      <c r="I1735" t="str">
        <f t="shared" ca="1" si="332"/>
        <v>No</v>
      </c>
      <c r="J1735">
        <f t="shared" ca="1" si="333"/>
        <v>4</v>
      </c>
      <c r="K1735" t="str">
        <f t="shared" ca="1" si="334"/>
        <v>Public</v>
      </c>
      <c r="L1735" t="str">
        <f t="shared" ca="1" si="335"/>
        <v>Neurology</v>
      </c>
    </row>
    <row r="1736" spans="1:12" x14ac:dyDescent="0.25">
      <c r="A1736">
        <f t="shared" si="324"/>
        <v>1735</v>
      </c>
      <c r="B1736">
        <f t="shared" ca="1" si="325"/>
        <v>31</v>
      </c>
      <c r="C1736" t="str">
        <f t="shared" ca="1" si="326"/>
        <v>Female</v>
      </c>
      <c r="D1736" s="1">
        <f t="shared" ca="1" si="327"/>
        <v>45654</v>
      </c>
      <c r="E1736" s="1">
        <f t="shared" ca="1" si="328"/>
        <v>45668</v>
      </c>
      <c r="F1736" t="str">
        <f t="shared" ca="1" si="329"/>
        <v>Heart Failure</v>
      </c>
      <c r="G1736" t="str">
        <f t="shared" ca="1" si="330"/>
        <v>Therapy</v>
      </c>
      <c r="H1736">
        <f t="shared" ca="1" si="331"/>
        <v>14</v>
      </c>
      <c r="I1736" t="str">
        <f t="shared" ca="1" si="332"/>
        <v>No</v>
      </c>
      <c r="J1736">
        <f t="shared" ca="1" si="333"/>
        <v>0</v>
      </c>
      <c r="K1736" t="str">
        <f t="shared" ca="1" si="334"/>
        <v>Public</v>
      </c>
      <c r="L1736" t="str">
        <f t="shared" ca="1" si="335"/>
        <v>Cardiology</v>
      </c>
    </row>
    <row r="1737" spans="1:12" x14ac:dyDescent="0.25">
      <c r="A1737">
        <f t="shared" si="324"/>
        <v>1736</v>
      </c>
      <c r="B1737">
        <f t="shared" ca="1" si="325"/>
        <v>21</v>
      </c>
      <c r="C1737" t="str">
        <f t="shared" ca="1" si="326"/>
        <v>Female</v>
      </c>
      <c r="D1737" s="1">
        <f t="shared" ca="1" si="327"/>
        <v>45405</v>
      </c>
      <c r="E1737" s="1">
        <f t="shared" ca="1" si="328"/>
        <v>45410</v>
      </c>
      <c r="F1737" t="str">
        <f t="shared" ca="1" si="329"/>
        <v>Diabetes</v>
      </c>
      <c r="G1737" t="str">
        <f t="shared" ca="1" si="330"/>
        <v>Medication</v>
      </c>
      <c r="H1737">
        <f t="shared" ca="1" si="331"/>
        <v>5</v>
      </c>
      <c r="I1737" t="str">
        <f t="shared" ca="1" si="332"/>
        <v>Yes</v>
      </c>
      <c r="J1737">
        <f t="shared" ca="1" si="333"/>
        <v>1</v>
      </c>
      <c r="K1737" t="str">
        <f t="shared" ca="1" si="334"/>
        <v>Public</v>
      </c>
      <c r="L1737" t="str">
        <f t="shared" ca="1" si="335"/>
        <v>ER</v>
      </c>
    </row>
    <row r="1738" spans="1:12" x14ac:dyDescent="0.25">
      <c r="A1738">
        <f t="shared" si="324"/>
        <v>1737</v>
      </c>
      <c r="B1738">
        <f t="shared" ca="1" si="325"/>
        <v>44</v>
      </c>
      <c r="C1738" t="str">
        <f t="shared" ca="1" si="326"/>
        <v>Female</v>
      </c>
      <c r="D1738" s="1">
        <f t="shared" ca="1" si="327"/>
        <v>45397</v>
      </c>
      <c r="E1738" s="1">
        <f t="shared" ca="1" si="328"/>
        <v>45401</v>
      </c>
      <c r="F1738" t="str">
        <f t="shared" ca="1" si="329"/>
        <v>Heart Failure</v>
      </c>
      <c r="G1738" t="str">
        <f t="shared" ca="1" si="330"/>
        <v>Surgery</v>
      </c>
      <c r="H1738">
        <f t="shared" ca="1" si="331"/>
        <v>4</v>
      </c>
      <c r="I1738" t="str">
        <f t="shared" ca="1" si="332"/>
        <v>Yes</v>
      </c>
      <c r="J1738">
        <f t="shared" ca="1" si="333"/>
        <v>3</v>
      </c>
      <c r="K1738" t="str">
        <f t="shared" ca="1" si="334"/>
        <v>Private</v>
      </c>
      <c r="L1738" t="str">
        <f t="shared" ca="1" si="335"/>
        <v>General</v>
      </c>
    </row>
    <row r="1739" spans="1:12" x14ac:dyDescent="0.25">
      <c r="A1739">
        <f t="shared" si="324"/>
        <v>1738</v>
      </c>
      <c r="B1739">
        <f t="shared" ca="1" si="325"/>
        <v>40</v>
      </c>
      <c r="C1739" t="str">
        <f t="shared" ca="1" si="326"/>
        <v>Male</v>
      </c>
      <c r="D1739" s="1">
        <f t="shared" ca="1" si="327"/>
        <v>45439</v>
      </c>
      <c r="E1739" s="1">
        <f t="shared" ca="1" si="328"/>
        <v>45449</v>
      </c>
      <c r="F1739" t="str">
        <f t="shared" ca="1" si="329"/>
        <v>Heart Failure</v>
      </c>
      <c r="G1739" t="str">
        <f t="shared" ca="1" si="330"/>
        <v>Surgery</v>
      </c>
      <c r="H1739">
        <f t="shared" ca="1" si="331"/>
        <v>10</v>
      </c>
      <c r="I1739" t="str">
        <f t="shared" ca="1" si="332"/>
        <v>No</v>
      </c>
      <c r="J1739">
        <f t="shared" ca="1" si="333"/>
        <v>1</v>
      </c>
      <c r="K1739" t="str">
        <f t="shared" ca="1" si="334"/>
        <v>None</v>
      </c>
      <c r="L1739" t="str">
        <f t="shared" ca="1" si="335"/>
        <v>Cardiology</v>
      </c>
    </row>
    <row r="1740" spans="1:12" x14ac:dyDescent="0.25">
      <c r="A1740">
        <f t="shared" si="324"/>
        <v>1739</v>
      </c>
      <c r="B1740">
        <f t="shared" ca="1" si="325"/>
        <v>34</v>
      </c>
      <c r="C1740" t="str">
        <f t="shared" ca="1" si="326"/>
        <v>Female</v>
      </c>
      <c r="D1740" s="1">
        <f t="shared" ca="1" si="327"/>
        <v>45644</v>
      </c>
      <c r="E1740" s="1">
        <f t="shared" ca="1" si="328"/>
        <v>45658</v>
      </c>
      <c r="F1740" t="str">
        <f t="shared" ca="1" si="329"/>
        <v>Hypertension</v>
      </c>
      <c r="G1740" t="str">
        <f t="shared" ca="1" si="330"/>
        <v>Therapy</v>
      </c>
      <c r="H1740">
        <f t="shared" ca="1" si="331"/>
        <v>14</v>
      </c>
      <c r="I1740" t="str">
        <f t="shared" ca="1" si="332"/>
        <v>No</v>
      </c>
      <c r="J1740">
        <f t="shared" ca="1" si="333"/>
        <v>0</v>
      </c>
      <c r="K1740" t="str">
        <f t="shared" ca="1" si="334"/>
        <v>Private</v>
      </c>
      <c r="L1740" t="str">
        <f t="shared" ca="1" si="335"/>
        <v>Neurology</v>
      </c>
    </row>
    <row r="1741" spans="1:12" x14ac:dyDescent="0.25">
      <c r="A1741">
        <f t="shared" si="324"/>
        <v>1740</v>
      </c>
      <c r="B1741">
        <f t="shared" ca="1" si="325"/>
        <v>21</v>
      </c>
      <c r="C1741" t="str">
        <f t="shared" ca="1" si="326"/>
        <v>Female</v>
      </c>
      <c r="D1741" s="1">
        <f t="shared" ca="1" si="327"/>
        <v>45610</v>
      </c>
      <c r="E1741" s="1">
        <f t="shared" ca="1" si="328"/>
        <v>45621</v>
      </c>
      <c r="F1741" t="str">
        <f t="shared" ca="1" si="329"/>
        <v>Hypertension</v>
      </c>
      <c r="G1741" t="str">
        <f t="shared" ca="1" si="330"/>
        <v>Surgery</v>
      </c>
      <c r="H1741">
        <f t="shared" ca="1" si="331"/>
        <v>11</v>
      </c>
      <c r="I1741" t="str">
        <f t="shared" ca="1" si="332"/>
        <v>No</v>
      </c>
      <c r="J1741">
        <f t="shared" ca="1" si="333"/>
        <v>4</v>
      </c>
      <c r="K1741" t="str">
        <f t="shared" ca="1" si="334"/>
        <v>Public</v>
      </c>
      <c r="L1741" t="str">
        <f t="shared" ca="1" si="335"/>
        <v>ICU</v>
      </c>
    </row>
    <row r="1742" spans="1:12" x14ac:dyDescent="0.25">
      <c r="A1742">
        <f t="shared" si="324"/>
        <v>1741</v>
      </c>
      <c r="B1742">
        <f t="shared" ca="1" si="325"/>
        <v>72</v>
      </c>
      <c r="C1742" t="str">
        <f t="shared" ca="1" si="326"/>
        <v>Female</v>
      </c>
      <c r="D1742" s="1">
        <f t="shared" ca="1" si="327"/>
        <v>45518</v>
      </c>
      <c r="E1742" s="1">
        <f t="shared" ca="1" si="328"/>
        <v>45520</v>
      </c>
      <c r="F1742" t="str">
        <f t="shared" ca="1" si="329"/>
        <v>Heart Failure</v>
      </c>
      <c r="G1742" t="str">
        <f t="shared" ca="1" si="330"/>
        <v>Therapy</v>
      </c>
      <c r="H1742">
        <f t="shared" ca="1" si="331"/>
        <v>2</v>
      </c>
      <c r="I1742" t="str">
        <f t="shared" ca="1" si="332"/>
        <v>No</v>
      </c>
      <c r="J1742">
        <f t="shared" ca="1" si="333"/>
        <v>4</v>
      </c>
      <c r="K1742" t="str">
        <f t="shared" ca="1" si="334"/>
        <v>Private</v>
      </c>
      <c r="L1742" t="str">
        <f t="shared" ca="1" si="335"/>
        <v>General</v>
      </c>
    </row>
    <row r="1743" spans="1:12" x14ac:dyDescent="0.25">
      <c r="A1743">
        <f t="shared" si="324"/>
        <v>1742</v>
      </c>
      <c r="B1743">
        <f t="shared" ca="1" si="325"/>
        <v>21</v>
      </c>
      <c r="C1743" t="str">
        <f t="shared" ca="1" si="326"/>
        <v>Female</v>
      </c>
      <c r="D1743" s="1">
        <f t="shared" ca="1" si="327"/>
        <v>45410</v>
      </c>
      <c r="E1743" s="1">
        <f t="shared" ca="1" si="328"/>
        <v>45424</v>
      </c>
      <c r="F1743" t="str">
        <f t="shared" ca="1" si="329"/>
        <v>Stroke</v>
      </c>
      <c r="G1743" t="str">
        <f t="shared" ca="1" si="330"/>
        <v>Therapy</v>
      </c>
      <c r="H1743">
        <f t="shared" ca="1" si="331"/>
        <v>14</v>
      </c>
      <c r="I1743" t="str">
        <f t="shared" ca="1" si="332"/>
        <v>No</v>
      </c>
      <c r="J1743">
        <f t="shared" ca="1" si="333"/>
        <v>4</v>
      </c>
      <c r="K1743" t="str">
        <f t="shared" ca="1" si="334"/>
        <v>Public</v>
      </c>
      <c r="L1743" t="str">
        <f t="shared" ca="1" si="335"/>
        <v>ICU</v>
      </c>
    </row>
    <row r="1744" spans="1:12" x14ac:dyDescent="0.25">
      <c r="A1744">
        <f t="shared" si="324"/>
        <v>1743</v>
      </c>
      <c r="B1744">
        <f t="shared" ca="1" si="325"/>
        <v>65</v>
      </c>
      <c r="C1744" t="str">
        <f t="shared" ca="1" si="326"/>
        <v>Female</v>
      </c>
      <c r="D1744" s="1">
        <f t="shared" ca="1" si="327"/>
        <v>45557</v>
      </c>
      <c r="E1744" s="1">
        <f t="shared" ca="1" si="328"/>
        <v>45571</v>
      </c>
      <c r="F1744" t="str">
        <f t="shared" ca="1" si="329"/>
        <v>Diabetes</v>
      </c>
      <c r="G1744" t="str">
        <f t="shared" ca="1" si="330"/>
        <v>Therapy</v>
      </c>
      <c r="H1744">
        <f t="shared" ca="1" si="331"/>
        <v>14</v>
      </c>
      <c r="I1744" t="str">
        <f t="shared" ca="1" si="332"/>
        <v>Yes</v>
      </c>
      <c r="J1744">
        <f t="shared" ca="1" si="333"/>
        <v>1</v>
      </c>
      <c r="K1744" t="str">
        <f t="shared" ca="1" si="334"/>
        <v>Public</v>
      </c>
      <c r="L1744" t="str">
        <f t="shared" ca="1" si="335"/>
        <v>Cardiology</v>
      </c>
    </row>
    <row r="1745" spans="1:12" x14ac:dyDescent="0.25">
      <c r="A1745">
        <f t="shared" si="324"/>
        <v>1744</v>
      </c>
      <c r="B1745">
        <f t="shared" ca="1" si="325"/>
        <v>63</v>
      </c>
      <c r="C1745" t="str">
        <f t="shared" ca="1" si="326"/>
        <v>Male</v>
      </c>
      <c r="D1745" s="1">
        <f t="shared" ca="1" si="327"/>
        <v>45559</v>
      </c>
      <c r="E1745" s="1">
        <f t="shared" ca="1" si="328"/>
        <v>45568</v>
      </c>
      <c r="F1745" t="str">
        <f t="shared" ca="1" si="329"/>
        <v>Heart Failure</v>
      </c>
      <c r="G1745" t="str">
        <f t="shared" ca="1" si="330"/>
        <v>Therapy</v>
      </c>
      <c r="H1745">
        <f t="shared" ca="1" si="331"/>
        <v>9</v>
      </c>
      <c r="I1745" t="str">
        <f t="shared" ca="1" si="332"/>
        <v>No</v>
      </c>
      <c r="J1745">
        <f t="shared" ca="1" si="333"/>
        <v>0</v>
      </c>
      <c r="K1745" t="str">
        <f t="shared" ca="1" si="334"/>
        <v>Public</v>
      </c>
      <c r="L1745" t="str">
        <f t="shared" ca="1" si="335"/>
        <v>Cardiology</v>
      </c>
    </row>
    <row r="1746" spans="1:12" x14ac:dyDescent="0.25">
      <c r="A1746">
        <f t="shared" si="324"/>
        <v>1745</v>
      </c>
      <c r="B1746">
        <f t="shared" ca="1" si="325"/>
        <v>23</v>
      </c>
      <c r="C1746" t="str">
        <f t="shared" ca="1" si="326"/>
        <v>Female</v>
      </c>
      <c r="D1746" s="1">
        <f t="shared" ca="1" si="327"/>
        <v>45414</v>
      </c>
      <c r="E1746" s="1">
        <f t="shared" ca="1" si="328"/>
        <v>45427</v>
      </c>
      <c r="F1746" t="str">
        <f t="shared" ca="1" si="329"/>
        <v>Diabetes</v>
      </c>
      <c r="G1746" t="str">
        <f t="shared" ca="1" si="330"/>
        <v>Medication</v>
      </c>
      <c r="H1746">
        <f t="shared" ca="1" si="331"/>
        <v>13</v>
      </c>
      <c r="I1746" t="str">
        <f t="shared" ca="1" si="332"/>
        <v>Yes</v>
      </c>
      <c r="J1746">
        <f t="shared" ca="1" si="333"/>
        <v>1</v>
      </c>
      <c r="K1746" t="str">
        <f t="shared" ca="1" si="334"/>
        <v>Public</v>
      </c>
      <c r="L1746" t="str">
        <f t="shared" ca="1" si="335"/>
        <v>ER</v>
      </c>
    </row>
    <row r="1747" spans="1:12" x14ac:dyDescent="0.25">
      <c r="A1747">
        <f t="shared" si="324"/>
        <v>1746</v>
      </c>
      <c r="B1747">
        <f t="shared" ca="1" si="325"/>
        <v>59</v>
      </c>
      <c r="C1747" t="str">
        <f t="shared" ca="1" si="326"/>
        <v>Female</v>
      </c>
      <c r="D1747" s="1">
        <f t="shared" ca="1" si="327"/>
        <v>45522</v>
      </c>
      <c r="E1747" s="1">
        <f t="shared" ca="1" si="328"/>
        <v>45535</v>
      </c>
      <c r="F1747" t="str">
        <f t="shared" ca="1" si="329"/>
        <v>Heart Failure</v>
      </c>
      <c r="G1747" t="str">
        <f t="shared" ca="1" si="330"/>
        <v>Medication</v>
      </c>
      <c r="H1747">
        <f t="shared" ca="1" si="331"/>
        <v>13</v>
      </c>
      <c r="I1747" t="str">
        <f t="shared" ca="1" si="332"/>
        <v>No</v>
      </c>
      <c r="J1747">
        <f t="shared" ca="1" si="333"/>
        <v>4</v>
      </c>
      <c r="K1747" t="str">
        <f t="shared" ca="1" si="334"/>
        <v>Public</v>
      </c>
      <c r="L1747" t="str">
        <f t="shared" ca="1" si="335"/>
        <v>Cardiology</v>
      </c>
    </row>
    <row r="1748" spans="1:12" x14ac:dyDescent="0.25">
      <c r="A1748">
        <f t="shared" si="324"/>
        <v>1747</v>
      </c>
      <c r="B1748">
        <f t="shared" ca="1" si="325"/>
        <v>38</v>
      </c>
      <c r="C1748" t="str">
        <f t="shared" ca="1" si="326"/>
        <v>Female</v>
      </c>
      <c r="D1748" s="1">
        <f t="shared" ca="1" si="327"/>
        <v>45577</v>
      </c>
      <c r="E1748" s="1">
        <f t="shared" ca="1" si="328"/>
        <v>45578</v>
      </c>
      <c r="F1748" t="str">
        <f t="shared" ca="1" si="329"/>
        <v>Hypertension</v>
      </c>
      <c r="G1748" t="str">
        <f t="shared" ca="1" si="330"/>
        <v>Therapy</v>
      </c>
      <c r="H1748">
        <f t="shared" ca="1" si="331"/>
        <v>1</v>
      </c>
      <c r="I1748" t="str">
        <f t="shared" ca="1" si="332"/>
        <v>No</v>
      </c>
      <c r="J1748">
        <f t="shared" ca="1" si="333"/>
        <v>0</v>
      </c>
      <c r="K1748" t="str">
        <f t="shared" ca="1" si="334"/>
        <v>Public</v>
      </c>
      <c r="L1748" t="str">
        <f t="shared" ca="1" si="335"/>
        <v>ICU</v>
      </c>
    </row>
    <row r="1749" spans="1:12" x14ac:dyDescent="0.25">
      <c r="A1749">
        <f t="shared" si="324"/>
        <v>1748</v>
      </c>
      <c r="B1749">
        <f t="shared" ca="1" si="325"/>
        <v>20</v>
      </c>
      <c r="C1749" t="str">
        <f t="shared" ca="1" si="326"/>
        <v>Female</v>
      </c>
      <c r="D1749" s="1">
        <f t="shared" ca="1" si="327"/>
        <v>45433</v>
      </c>
      <c r="E1749" s="1">
        <f t="shared" ca="1" si="328"/>
        <v>45435</v>
      </c>
      <c r="F1749" t="str">
        <f t="shared" ca="1" si="329"/>
        <v>Pneumonia</v>
      </c>
      <c r="G1749" t="str">
        <f t="shared" ca="1" si="330"/>
        <v>Therapy</v>
      </c>
      <c r="H1749">
        <f t="shared" ca="1" si="331"/>
        <v>2</v>
      </c>
      <c r="I1749" t="str">
        <f t="shared" ca="1" si="332"/>
        <v>No</v>
      </c>
      <c r="J1749">
        <f t="shared" ca="1" si="333"/>
        <v>1</v>
      </c>
      <c r="K1749" t="str">
        <f t="shared" ca="1" si="334"/>
        <v>Private</v>
      </c>
      <c r="L1749" t="str">
        <f t="shared" ca="1" si="335"/>
        <v>General</v>
      </c>
    </row>
    <row r="1750" spans="1:12" x14ac:dyDescent="0.25">
      <c r="A1750">
        <f t="shared" si="324"/>
        <v>1749</v>
      </c>
      <c r="B1750">
        <f t="shared" ca="1" si="325"/>
        <v>86</v>
      </c>
      <c r="C1750" t="str">
        <f t="shared" ca="1" si="326"/>
        <v>Female</v>
      </c>
      <c r="D1750" s="1">
        <f t="shared" ca="1" si="327"/>
        <v>45589</v>
      </c>
      <c r="E1750" s="1">
        <f t="shared" ca="1" si="328"/>
        <v>45598</v>
      </c>
      <c r="F1750" t="str">
        <f t="shared" ca="1" si="329"/>
        <v>Heart Failure</v>
      </c>
      <c r="G1750" t="str">
        <f t="shared" ca="1" si="330"/>
        <v>Medication</v>
      </c>
      <c r="H1750">
        <f t="shared" ca="1" si="331"/>
        <v>9</v>
      </c>
      <c r="I1750" t="str">
        <f t="shared" ca="1" si="332"/>
        <v>No</v>
      </c>
      <c r="J1750">
        <f t="shared" ca="1" si="333"/>
        <v>1</v>
      </c>
      <c r="K1750" t="str">
        <f t="shared" ca="1" si="334"/>
        <v>Public</v>
      </c>
      <c r="L1750" t="str">
        <f t="shared" ca="1" si="335"/>
        <v>ER</v>
      </c>
    </row>
    <row r="1751" spans="1:12" x14ac:dyDescent="0.25">
      <c r="A1751">
        <f t="shared" si="324"/>
        <v>1750</v>
      </c>
      <c r="B1751">
        <f t="shared" ca="1" si="325"/>
        <v>44</v>
      </c>
      <c r="C1751" t="str">
        <f t="shared" ca="1" si="326"/>
        <v>Female</v>
      </c>
      <c r="D1751" s="1">
        <f t="shared" ca="1" si="327"/>
        <v>45529</v>
      </c>
      <c r="E1751" s="1">
        <f t="shared" ca="1" si="328"/>
        <v>45530</v>
      </c>
      <c r="F1751" t="str">
        <f t="shared" ca="1" si="329"/>
        <v>Hypertension</v>
      </c>
      <c r="G1751" t="str">
        <f t="shared" ca="1" si="330"/>
        <v>Therapy</v>
      </c>
      <c r="H1751">
        <f t="shared" ca="1" si="331"/>
        <v>1</v>
      </c>
      <c r="I1751" t="str">
        <f t="shared" ca="1" si="332"/>
        <v>No</v>
      </c>
      <c r="J1751">
        <f t="shared" ca="1" si="333"/>
        <v>0</v>
      </c>
      <c r="K1751" t="str">
        <f t="shared" ca="1" si="334"/>
        <v>None</v>
      </c>
      <c r="L1751" t="str">
        <f t="shared" ca="1" si="335"/>
        <v>General</v>
      </c>
    </row>
    <row r="1752" spans="1:12" x14ac:dyDescent="0.25">
      <c r="A1752">
        <f t="shared" si="324"/>
        <v>1751</v>
      </c>
      <c r="B1752">
        <f t="shared" ca="1" si="325"/>
        <v>90</v>
      </c>
      <c r="C1752" t="str">
        <f t="shared" ca="1" si="326"/>
        <v>Female</v>
      </c>
      <c r="D1752" s="1">
        <f t="shared" ca="1" si="327"/>
        <v>45656</v>
      </c>
      <c r="E1752" s="1">
        <f t="shared" ca="1" si="328"/>
        <v>45670</v>
      </c>
      <c r="F1752" t="str">
        <f t="shared" ca="1" si="329"/>
        <v>Hypertension</v>
      </c>
      <c r="G1752" t="str">
        <f t="shared" ca="1" si="330"/>
        <v>Surgery</v>
      </c>
      <c r="H1752">
        <f t="shared" ca="1" si="331"/>
        <v>14</v>
      </c>
      <c r="I1752" t="str">
        <f t="shared" ca="1" si="332"/>
        <v>Yes</v>
      </c>
      <c r="J1752">
        <f t="shared" ca="1" si="333"/>
        <v>0</v>
      </c>
      <c r="K1752" t="str">
        <f t="shared" ca="1" si="334"/>
        <v>Public</v>
      </c>
      <c r="L1752" t="str">
        <f t="shared" ca="1" si="335"/>
        <v>ER</v>
      </c>
    </row>
    <row r="1753" spans="1:12" x14ac:dyDescent="0.25">
      <c r="A1753">
        <f t="shared" si="324"/>
        <v>1752</v>
      </c>
      <c r="B1753">
        <f t="shared" ca="1" si="325"/>
        <v>37</v>
      </c>
      <c r="C1753" t="str">
        <f t="shared" ca="1" si="326"/>
        <v>Male</v>
      </c>
      <c r="D1753" s="1">
        <f t="shared" ca="1" si="327"/>
        <v>45379</v>
      </c>
      <c r="E1753" s="1">
        <f t="shared" ca="1" si="328"/>
        <v>45389</v>
      </c>
      <c r="F1753" t="str">
        <f t="shared" ca="1" si="329"/>
        <v>Hypertension</v>
      </c>
      <c r="G1753" t="str">
        <f t="shared" ca="1" si="330"/>
        <v>Medication</v>
      </c>
      <c r="H1753">
        <f t="shared" ca="1" si="331"/>
        <v>10</v>
      </c>
      <c r="I1753" t="str">
        <f t="shared" ca="1" si="332"/>
        <v>No</v>
      </c>
      <c r="J1753">
        <f t="shared" ca="1" si="333"/>
        <v>0</v>
      </c>
      <c r="K1753" t="str">
        <f t="shared" ca="1" si="334"/>
        <v>Private</v>
      </c>
      <c r="L1753" t="str">
        <f t="shared" ca="1" si="335"/>
        <v>ER</v>
      </c>
    </row>
    <row r="1754" spans="1:12" x14ac:dyDescent="0.25">
      <c r="A1754">
        <f t="shared" si="324"/>
        <v>1753</v>
      </c>
      <c r="B1754">
        <f t="shared" ca="1" si="325"/>
        <v>25</v>
      </c>
      <c r="C1754" t="str">
        <f t="shared" ca="1" si="326"/>
        <v>Male</v>
      </c>
      <c r="D1754" s="1">
        <f t="shared" ca="1" si="327"/>
        <v>45543</v>
      </c>
      <c r="E1754" s="1">
        <f t="shared" ca="1" si="328"/>
        <v>45549</v>
      </c>
      <c r="F1754" t="str">
        <f t="shared" ca="1" si="329"/>
        <v>Diabetes</v>
      </c>
      <c r="G1754" t="str">
        <f t="shared" ca="1" si="330"/>
        <v>Therapy</v>
      </c>
      <c r="H1754">
        <f t="shared" ca="1" si="331"/>
        <v>6</v>
      </c>
      <c r="I1754" t="str">
        <f t="shared" ca="1" si="332"/>
        <v>Yes</v>
      </c>
      <c r="J1754">
        <f t="shared" ca="1" si="333"/>
        <v>1</v>
      </c>
      <c r="K1754" t="str">
        <f t="shared" ca="1" si="334"/>
        <v>None</v>
      </c>
      <c r="L1754" t="str">
        <f t="shared" ca="1" si="335"/>
        <v>General</v>
      </c>
    </row>
    <row r="1755" spans="1:12" x14ac:dyDescent="0.25">
      <c r="A1755">
        <f t="shared" si="324"/>
        <v>1754</v>
      </c>
      <c r="B1755">
        <f t="shared" ca="1" si="325"/>
        <v>35</v>
      </c>
      <c r="C1755" t="str">
        <f t="shared" ca="1" si="326"/>
        <v>Male</v>
      </c>
      <c r="D1755" s="1">
        <f t="shared" ca="1" si="327"/>
        <v>45523</v>
      </c>
      <c r="E1755" s="1">
        <f t="shared" ca="1" si="328"/>
        <v>45526</v>
      </c>
      <c r="F1755" t="str">
        <f t="shared" ca="1" si="329"/>
        <v>Hypertension</v>
      </c>
      <c r="G1755" t="str">
        <f t="shared" ca="1" si="330"/>
        <v>Medication</v>
      </c>
      <c r="H1755">
        <f t="shared" ca="1" si="331"/>
        <v>3</v>
      </c>
      <c r="I1755" t="str">
        <f t="shared" ca="1" si="332"/>
        <v>Yes</v>
      </c>
      <c r="J1755">
        <f t="shared" ca="1" si="333"/>
        <v>2</v>
      </c>
      <c r="K1755" t="str">
        <f t="shared" ca="1" si="334"/>
        <v>Private</v>
      </c>
      <c r="L1755" t="str">
        <f t="shared" ca="1" si="335"/>
        <v>General</v>
      </c>
    </row>
    <row r="1756" spans="1:12" x14ac:dyDescent="0.25">
      <c r="A1756">
        <f t="shared" si="324"/>
        <v>1755</v>
      </c>
      <c r="B1756">
        <f t="shared" ca="1" si="325"/>
        <v>59</v>
      </c>
      <c r="C1756" t="str">
        <f t="shared" ca="1" si="326"/>
        <v>Female</v>
      </c>
      <c r="D1756" s="1">
        <f t="shared" ca="1" si="327"/>
        <v>45653</v>
      </c>
      <c r="E1756" s="1">
        <f t="shared" ca="1" si="328"/>
        <v>45660</v>
      </c>
      <c r="F1756" t="str">
        <f t="shared" ca="1" si="329"/>
        <v>Heart Failure</v>
      </c>
      <c r="G1756" t="str">
        <f t="shared" ca="1" si="330"/>
        <v>Surgery</v>
      </c>
      <c r="H1756">
        <f t="shared" ca="1" si="331"/>
        <v>7</v>
      </c>
      <c r="I1756" t="str">
        <f t="shared" ca="1" si="332"/>
        <v>No</v>
      </c>
      <c r="J1756">
        <f t="shared" ca="1" si="333"/>
        <v>1</v>
      </c>
      <c r="K1756" t="str">
        <f t="shared" ca="1" si="334"/>
        <v>Public</v>
      </c>
      <c r="L1756" t="str">
        <f t="shared" ca="1" si="335"/>
        <v>ER</v>
      </c>
    </row>
    <row r="1757" spans="1:12" x14ac:dyDescent="0.25">
      <c r="A1757">
        <f t="shared" si="324"/>
        <v>1756</v>
      </c>
      <c r="B1757">
        <f t="shared" ca="1" si="325"/>
        <v>44</v>
      </c>
      <c r="C1757" t="str">
        <f t="shared" ca="1" si="326"/>
        <v>Male</v>
      </c>
      <c r="D1757" s="1">
        <f t="shared" ca="1" si="327"/>
        <v>45548</v>
      </c>
      <c r="E1757" s="1">
        <f t="shared" ca="1" si="328"/>
        <v>45552</v>
      </c>
      <c r="F1757" t="str">
        <f t="shared" ca="1" si="329"/>
        <v>Stroke</v>
      </c>
      <c r="G1757" t="str">
        <f t="shared" ca="1" si="330"/>
        <v>Surgery</v>
      </c>
      <c r="H1757">
        <f t="shared" ca="1" si="331"/>
        <v>4</v>
      </c>
      <c r="I1757" t="str">
        <f t="shared" ca="1" si="332"/>
        <v>No</v>
      </c>
      <c r="J1757">
        <f t="shared" ca="1" si="333"/>
        <v>3</v>
      </c>
      <c r="K1757" t="str">
        <f t="shared" ca="1" si="334"/>
        <v>Public</v>
      </c>
      <c r="L1757" t="str">
        <f t="shared" ca="1" si="335"/>
        <v>ER</v>
      </c>
    </row>
    <row r="1758" spans="1:12" x14ac:dyDescent="0.25">
      <c r="A1758">
        <f t="shared" si="324"/>
        <v>1757</v>
      </c>
      <c r="B1758">
        <f t="shared" ca="1" si="325"/>
        <v>62</v>
      </c>
      <c r="C1758" t="str">
        <f t="shared" ca="1" si="326"/>
        <v>Male</v>
      </c>
      <c r="D1758" s="1">
        <f t="shared" ca="1" si="327"/>
        <v>45542</v>
      </c>
      <c r="E1758" s="1">
        <f t="shared" ca="1" si="328"/>
        <v>45557</v>
      </c>
      <c r="F1758" t="str">
        <f t="shared" ca="1" si="329"/>
        <v>Diabetes</v>
      </c>
      <c r="G1758" t="str">
        <f t="shared" ca="1" si="330"/>
        <v>Therapy</v>
      </c>
      <c r="H1758">
        <f t="shared" ca="1" si="331"/>
        <v>15</v>
      </c>
      <c r="I1758" t="str">
        <f t="shared" ca="1" si="332"/>
        <v>No</v>
      </c>
      <c r="J1758">
        <f t="shared" ca="1" si="333"/>
        <v>1</v>
      </c>
      <c r="K1758" t="str">
        <f t="shared" ca="1" si="334"/>
        <v>Public</v>
      </c>
      <c r="L1758" t="str">
        <f t="shared" ca="1" si="335"/>
        <v>General</v>
      </c>
    </row>
    <row r="1759" spans="1:12" x14ac:dyDescent="0.25">
      <c r="A1759">
        <f t="shared" si="324"/>
        <v>1758</v>
      </c>
      <c r="B1759">
        <f t="shared" ca="1" si="325"/>
        <v>78</v>
      </c>
      <c r="C1759" t="str">
        <f t="shared" ca="1" si="326"/>
        <v>Male</v>
      </c>
      <c r="D1759" s="1">
        <f t="shared" ca="1" si="327"/>
        <v>45449</v>
      </c>
      <c r="E1759" s="1">
        <f t="shared" ca="1" si="328"/>
        <v>45453</v>
      </c>
      <c r="F1759" t="str">
        <f t="shared" ca="1" si="329"/>
        <v>Hypertension</v>
      </c>
      <c r="G1759" t="str">
        <f t="shared" ca="1" si="330"/>
        <v>Surgery</v>
      </c>
      <c r="H1759">
        <f t="shared" ca="1" si="331"/>
        <v>4</v>
      </c>
      <c r="I1759" t="str">
        <f t="shared" ca="1" si="332"/>
        <v>No</v>
      </c>
      <c r="J1759">
        <f t="shared" ca="1" si="333"/>
        <v>3</v>
      </c>
      <c r="K1759" t="str">
        <f t="shared" ca="1" si="334"/>
        <v>None</v>
      </c>
      <c r="L1759" t="str">
        <f t="shared" ca="1" si="335"/>
        <v>ICU</v>
      </c>
    </row>
    <row r="1760" spans="1:12" x14ac:dyDescent="0.25">
      <c r="A1760">
        <f t="shared" si="324"/>
        <v>1759</v>
      </c>
      <c r="B1760">
        <f t="shared" ca="1" si="325"/>
        <v>48</v>
      </c>
      <c r="C1760" t="str">
        <f t="shared" ca="1" si="326"/>
        <v>Male</v>
      </c>
      <c r="D1760" s="1">
        <f t="shared" ca="1" si="327"/>
        <v>45322</v>
      </c>
      <c r="E1760" s="1">
        <f t="shared" ca="1" si="328"/>
        <v>45337</v>
      </c>
      <c r="F1760" t="str">
        <f t="shared" ca="1" si="329"/>
        <v>Pneumonia</v>
      </c>
      <c r="G1760" t="str">
        <f t="shared" ca="1" si="330"/>
        <v>Surgery</v>
      </c>
      <c r="H1760">
        <f t="shared" ca="1" si="331"/>
        <v>15</v>
      </c>
      <c r="I1760" t="str">
        <f t="shared" ca="1" si="332"/>
        <v>No</v>
      </c>
      <c r="J1760">
        <f t="shared" ca="1" si="333"/>
        <v>4</v>
      </c>
      <c r="K1760" t="str">
        <f t="shared" ca="1" si="334"/>
        <v>Public</v>
      </c>
      <c r="L1760" t="str">
        <f t="shared" ca="1" si="335"/>
        <v>Cardiology</v>
      </c>
    </row>
    <row r="1761" spans="1:12" x14ac:dyDescent="0.25">
      <c r="A1761">
        <f t="shared" si="324"/>
        <v>1760</v>
      </c>
      <c r="B1761">
        <f t="shared" ca="1" si="325"/>
        <v>56</v>
      </c>
      <c r="C1761" t="str">
        <f t="shared" ca="1" si="326"/>
        <v>Male</v>
      </c>
      <c r="D1761" s="1">
        <f t="shared" ca="1" si="327"/>
        <v>45296</v>
      </c>
      <c r="E1761" s="1">
        <f t="shared" ca="1" si="328"/>
        <v>45298</v>
      </c>
      <c r="F1761" t="str">
        <f t="shared" ca="1" si="329"/>
        <v>Stroke</v>
      </c>
      <c r="G1761" t="str">
        <f t="shared" ca="1" si="330"/>
        <v>Medication</v>
      </c>
      <c r="H1761">
        <f t="shared" ca="1" si="331"/>
        <v>2</v>
      </c>
      <c r="I1761" t="str">
        <f t="shared" ca="1" si="332"/>
        <v>No</v>
      </c>
      <c r="J1761">
        <f t="shared" ca="1" si="333"/>
        <v>0</v>
      </c>
      <c r="K1761" t="str">
        <f t="shared" ca="1" si="334"/>
        <v>None</v>
      </c>
      <c r="L1761" t="str">
        <f t="shared" ca="1" si="335"/>
        <v>Cardiology</v>
      </c>
    </row>
    <row r="1762" spans="1:12" x14ac:dyDescent="0.25">
      <c r="A1762">
        <f t="shared" si="324"/>
        <v>1761</v>
      </c>
      <c r="B1762">
        <f t="shared" ca="1" si="325"/>
        <v>26</v>
      </c>
      <c r="C1762" t="str">
        <f t="shared" ca="1" si="326"/>
        <v>Male</v>
      </c>
      <c r="D1762" s="1">
        <f t="shared" ca="1" si="327"/>
        <v>45328</v>
      </c>
      <c r="E1762" s="1">
        <f t="shared" ca="1" si="328"/>
        <v>45340</v>
      </c>
      <c r="F1762" t="str">
        <f t="shared" ca="1" si="329"/>
        <v>Hypertension</v>
      </c>
      <c r="G1762" t="str">
        <f t="shared" ca="1" si="330"/>
        <v>Therapy</v>
      </c>
      <c r="H1762">
        <f t="shared" ca="1" si="331"/>
        <v>12</v>
      </c>
      <c r="I1762" t="str">
        <f t="shared" ca="1" si="332"/>
        <v>No</v>
      </c>
      <c r="J1762">
        <f t="shared" ca="1" si="333"/>
        <v>4</v>
      </c>
      <c r="K1762" t="str">
        <f t="shared" ca="1" si="334"/>
        <v>Public</v>
      </c>
      <c r="L1762" t="str">
        <f t="shared" ca="1" si="335"/>
        <v>ER</v>
      </c>
    </row>
    <row r="1763" spans="1:12" x14ac:dyDescent="0.25">
      <c r="A1763">
        <f t="shared" si="324"/>
        <v>1762</v>
      </c>
      <c r="B1763">
        <f t="shared" ca="1" si="325"/>
        <v>68</v>
      </c>
      <c r="C1763" t="str">
        <f t="shared" ca="1" si="326"/>
        <v>Female</v>
      </c>
      <c r="D1763" s="1">
        <f t="shared" ca="1" si="327"/>
        <v>45337</v>
      </c>
      <c r="E1763" s="1">
        <f t="shared" ca="1" si="328"/>
        <v>45341</v>
      </c>
      <c r="F1763" t="str">
        <f t="shared" ca="1" si="329"/>
        <v>Hypertension</v>
      </c>
      <c r="G1763" t="str">
        <f t="shared" ca="1" si="330"/>
        <v>Surgery</v>
      </c>
      <c r="H1763">
        <f t="shared" ca="1" si="331"/>
        <v>4</v>
      </c>
      <c r="I1763" t="str">
        <f t="shared" ca="1" si="332"/>
        <v>Yes</v>
      </c>
      <c r="J1763">
        <f t="shared" ca="1" si="333"/>
        <v>0</v>
      </c>
      <c r="K1763" t="str">
        <f t="shared" ca="1" si="334"/>
        <v>None</v>
      </c>
      <c r="L1763" t="str">
        <f t="shared" ca="1" si="335"/>
        <v>Cardiology</v>
      </c>
    </row>
    <row r="1764" spans="1:12" x14ac:dyDescent="0.25">
      <c r="A1764">
        <f t="shared" si="324"/>
        <v>1763</v>
      </c>
      <c r="B1764">
        <f t="shared" ca="1" si="325"/>
        <v>83</v>
      </c>
      <c r="C1764" t="str">
        <f t="shared" ca="1" si="326"/>
        <v>Male</v>
      </c>
      <c r="D1764" s="1">
        <f t="shared" ca="1" si="327"/>
        <v>45556</v>
      </c>
      <c r="E1764" s="1">
        <f t="shared" ca="1" si="328"/>
        <v>45570</v>
      </c>
      <c r="F1764" t="str">
        <f t="shared" ca="1" si="329"/>
        <v>Pneumonia</v>
      </c>
      <c r="G1764" t="str">
        <f t="shared" ca="1" si="330"/>
        <v>Surgery</v>
      </c>
      <c r="H1764">
        <f t="shared" ca="1" si="331"/>
        <v>14</v>
      </c>
      <c r="I1764" t="str">
        <f t="shared" ca="1" si="332"/>
        <v>No</v>
      </c>
      <c r="J1764">
        <f t="shared" ca="1" si="333"/>
        <v>0</v>
      </c>
      <c r="K1764" t="str">
        <f t="shared" ca="1" si="334"/>
        <v>Public</v>
      </c>
      <c r="L1764" t="str">
        <f t="shared" ca="1" si="335"/>
        <v>Cardiology</v>
      </c>
    </row>
    <row r="1765" spans="1:12" x14ac:dyDescent="0.25">
      <c r="A1765">
        <f t="shared" si="324"/>
        <v>1764</v>
      </c>
      <c r="B1765">
        <f t="shared" ca="1" si="325"/>
        <v>29</v>
      </c>
      <c r="C1765" t="str">
        <f t="shared" ca="1" si="326"/>
        <v>Male</v>
      </c>
      <c r="D1765" s="1">
        <f t="shared" ca="1" si="327"/>
        <v>45605</v>
      </c>
      <c r="E1765" s="1">
        <f t="shared" ca="1" si="328"/>
        <v>45615</v>
      </c>
      <c r="F1765" t="str">
        <f t="shared" ca="1" si="329"/>
        <v>Stroke</v>
      </c>
      <c r="G1765" t="str">
        <f t="shared" ca="1" si="330"/>
        <v>Surgery</v>
      </c>
      <c r="H1765">
        <f t="shared" ca="1" si="331"/>
        <v>10</v>
      </c>
      <c r="I1765" t="str">
        <f t="shared" ca="1" si="332"/>
        <v>No</v>
      </c>
      <c r="J1765">
        <f t="shared" ca="1" si="333"/>
        <v>4</v>
      </c>
      <c r="K1765" t="str">
        <f t="shared" ca="1" si="334"/>
        <v>Private</v>
      </c>
      <c r="L1765" t="str">
        <f t="shared" ca="1" si="335"/>
        <v>ICU</v>
      </c>
    </row>
    <row r="1766" spans="1:12" x14ac:dyDescent="0.25">
      <c r="A1766">
        <f t="shared" si="324"/>
        <v>1765</v>
      </c>
      <c r="B1766">
        <f t="shared" ca="1" si="325"/>
        <v>31</v>
      </c>
      <c r="C1766" t="str">
        <f t="shared" ca="1" si="326"/>
        <v>Female</v>
      </c>
      <c r="D1766" s="1">
        <f t="shared" ca="1" si="327"/>
        <v>45381</v>
      </c>
      <c r="E1766" s="1">
        <f t="shared" ca="1" si="328"/>
        <v>45384</v>
      </c>
      <c r="F1766" t="str">
        <f t="shared" ca="1" si="329"/>
        <v>Stroke</v>
      </c>
      <c r="G1766" t="str">
        <f t="shared" ca="1" si="330"/>
        <v>Surgery</v>
      </c>
      <c r="H1766">
        <f t="shared" ca="1" si="331"/>
        <v>3</v>
      </c>
      <c r="I1766" t="str">
        <f t="shared" ca="1" si="332"/>
        <v>No</v>
      </c>
      <c r="J1766">
        <f t="shared" ca="1" si="333"/>
        <v>4</v>
      </c>
      <c r="K1766" t="str">
        <f t="shared" ca="1" si="334"/>
        <v>None</v>
      </c>
      <c r="L1766" t="str">
        <f t="shared" ca="1" si="335"/>
        <v>ER</v>
      </c>
    </row>
    <row r="1767" spans="1:12" x14ac:dyDescent="0.25">
      <c r="A1767">
        <f t="shared" si="324"/>
        <v>1766</v>
      </c>
      <c r="B1767">
        <f t="shared" ca="1" si="325"/>
        <v>51</v>
      </c>
      <c r="C1767" t="str">
        <f t="shared" ca="1" si="326"/>
        <v>Male</v>
      </c>
      <c r="D1767" s="1">
        <f t="shared" ca="1" si="327"/>
        <v>45370</v>
      </c>
      <c r="E1767" s="1">
        <f t="shared" ca="1" si="328"/>
        <v>45384</v>
      </c>
      <c r="F1767" t="str">
        <f t="shared" ca="1" si="329"/>
        <v>Diabetes</v>
      </c>
      <c r="G1767" t="str">
        <f t="shared" ca="1" si="330"/>
        <v>Surgery</v>
      </c>
      <c r="H1767">
        <f t="shared" ca="1" si="331"/>
        <v>14</v>
      </c>
      <c r="I1767" t="str">
        <f t="shared" ca="1" si="332"/>
        <v>No</v>
      </c>
      <c r="J1767">
        <f t="shared" ca="1" si="333"/>
        <v>1</v>
      </c>
      <c r="K1767" t="str">
        <f t="shared" ca="1" si="334"/>
        <v>Public</v>
      </c>
      <c r="L1767" t="str">
        <f t="shared" ca="1" si="335"/>
        <v>ICU</v>
      </c>
    </row>
    <row r="1768" spans="1:12" x14ac:dyDescent="0.25">
      <c r="A1768">
        <f t="shared" si="324"/>
        <v>1767</v>
      </c>
      <c r="B1768">
        <f t="shared" ca="1" si="325"/>
        <v>85</v>
      </c>
      <c r="C1768" t="str">
        <f t="shared" ca="1" si="326"/>
        <v>Female</v>
      </c>
      <c r="D1768" s="1">
        <f t="shared" ca="1" si="327"/>
        <v>45559</v>
      </c>
      <c r="E1768" s="1">
        <f t="shared" ca="1" si="328"/>
        <v>45572</v>
      </c>
      <c r="F1768" t="str">
        <f t="shared" ca="1" si="329"/>
        <v>Heart Failure</v>
      </c>
      <c r="G1768" t="str">
        <f t="shared" ca="1" si="330"/>
        <v>Medication</v>
      </c>
      <c r="H1768">
        <f t="shared" ca="1" si="331"/>
        <v>13</v>
      </c>
      <c r="I1768" t="str">
        <f t="shared" ca="1" si="332"/>
        <v>No</v>
      </c>
      <c r="J1768">
        <f t="shared" ca="1" si="333"/>
        <v>3</v>
      </c>
      <c r="K1768" t="str">
        <f t="shared" ca="1" si="334"/>
        <v>None</v>
      </c>
      <c r="L1768" t="str">
        <f t="shared" ca="1" si="335"/>
        <v>ICU</v>
      </c>
    </row>
    <row r="1769" spans="1:12" x14ac:dyDescent="0.25">
      <c r="A1769">
        <f t="shared" si="324"/>
        <v>1768</v>
      </c>
      <c r="B1769">
        <f t="shared" ca="1" si="325"/>
        <v>66</v>
      </c>
      <c r="C1769" t="str">
        <f t="shared" ca="1" si="326"/>
        <v>Male</v>
      </c>
      <c r="D1769" s="1">
        <f t="shared" ca="1" si="327"/>
        <v>45403</v>
      </c>
      <c r="E1769" s="1">
        <f t="shared" ca="1" si="328"/>
        <v>45410</v>
      </c>
      <c r="F1769" t="str">
        <f t="shared" ca="1" si="329"/>
        <v>Pneumonia</v>
      </c>
      <c r="G1769" t="str">
        <f t="shared" ca="1" si="330"/>
        <v>Surgery</v>
      </c>
      <c r="H1769">
        <f t="shared" ca="1" si="331"/>
        <v>7</v>
      </c>
      <c r="I1769" t="str">
        <f t="shared" ca="1" si="332"/>
        <v>No</v>
      </c>
      <c r="J1769">
        <f t="shared" ca="1" si="333"/>
        <v>0</v>
      </c>
      <c r="K1769" t="str">
        <f t="shared" ca="1" si="334"/>
        <v>Public</v>
      </c>
      <c r="L1769" t="str">
        <f t="shared" ca="1" si="335"/>
        <v>Neurology</v>
      </c>
    </row>
    <row r="1770" spans="1:12" x14ac:dyDescent="0.25">
      <c r="A1770">
        <f t="shared" si="324"/>
        <v>1769</v>
      </c>
      <c r="B1770">
        <f t="shared" ca="1" si="325"/>
        <v>48</v>
      </c>
      <c r="C1770" t="str">
        <f t="shared" ca="1" si="326"/>
        <v>Female</v>
      </c>
      <c r="D1770" s="1">
        <f t="shared" ca="1" si="327"/>
        <v>45295</v>
      </c>
      <c r="E1770" s="1">
        <f t="shared" ca="1" si="328"/>
        <v>45297</v>
      </c>
      <c r="F1770" t="str">
        <f t="shared" ca="1" si="329"/>
        <v>Diabetes</v>
      </c>
      <c r="G1770" t="str">
        <f t="shared" ca="1" si="330"/>
        <v>Medication</v>
      </c>
      <c r="H1770">
        <f t="shared" ca="1" si="331"/>
        <v>2</v>
      </c>
      <c r="I1770" t="str">
        <f t="shared" ca="1" si="332"/>
        <v>No</v>
      </c>
      <c r="J1770">
        <f t="shared" ca="1" si="333"/>
        <v>0</v>
      </c>
      <c r="K1770" t="str">
        <f t="shared" ca="1" si="334"/>
        <v>Public</v>
      </c>
      <c r="L1770" t="str">
        <f t="shared" ca="1" si="335"/>
        <v>Cardiology</v>
      </c>
    </row>
    <row r="1771" spans="1:12" x14ac:dyDescent="0.25">
      <c r="A1771">
        <f t="shared" si="324"/>
        <v>1770</v>
      </c>
      <c r="B1771">
        <f t="shared" ca="1" si="325"/>
        <v>32</v>
      </c>
      <c r="C1771" t="str">
        <f t="shared" ca="1" si="326"/>
        <v>Female</v>
      </c>
      <c r="D1771" s="1">
        <f t="shared" ca="1" si="327"/>
        <v>45312</v>
      </c>
      <c r="E1771" s="1">
        <f t="shared" ca="1" si="328"/>
        <v>45320</v>
      </c>
      <c r="F1771" t="str">
        <f t="shared" ca="1" si="329"/>
        <v>Diabetes</v>
      </c>
      <c r="G1771" t="str">
        <f t="shared" ca="1" si="330"/>
        <v>Medication</v>
      </c>
      <c r="H1771">
        <f t="shared" ca="1" si="331"/>
        <v>8</v>
      </c>
      <c r="I1771" t="str">
        <f t="shared" ca="1" si="332"/>
        <v>No</v>
      </c>
      <c r="J1771">
        <f t="shared" ca="1" si="333"/>
        <v>0</v>
      </c>
      <c r="K1771" t="str">
        <f t="shared" ca="1" si="334"/>
        <v>None</v>
      </c>
      <c r="L1771" t="str">
        <f t="shared" ca="1" si="335"/>
        <v>General</v>
      </c>
    </row>
    <row r="1772" spans="1:12" x14ac:dyDescent="0.25">
      <c r="A1772">
        <f t="shared" si="324"/>
        <v>1771</v>
      </c>
      <c r="B1772">
        <f t="shared" ca="1" si="325"/>
        <v>64</v>
      </c>
      <c r="C1772" t="str">
        <f t="shared" ca="1" si="326"/>
        <v>Male</v>
      </c>
      <c r="D1772" s="1">
        <f t="shared" ca="1" si="327"/>
        <v>45294</v>
      </c>
      <c r="E1772" s="1">
        <f t="shared" ca="1" si="328"/>
        <v>45295</v>
      </c>
      <c r="F1772" t="str">
        <f t="shared" ca="1" si="329"/>
        <v>Pneumonia</v>
      </c>
      <c r="G1772" t="str">
        <f t="shared" ca="1" si="330"/>
        <v>Therapy</v>
      </c>
      <c r="H1772">
        <f t="shared" ca="1" si="331"/>
        <v>1</v>
      </c>
      <c r="I1772" t="str">
        <f t="shared" ca="1" si="332"/>
        <v>No</v>
      </c>
      <c r="J1772">
        <f t="shared" ca="1" si="333"/>
        <v>0</v>
      </c>
      <c r="K1772" t="str">
        <f t="shared" ca="1" si="334"/>
        <v>Private</v>
      </c>
      <c r="L1772" t="str">
        <f t="shared" ca="1" si="335"/>
        <v>ICU</v>
      </c>
    </row>
    <row r="1773" spans="1:12" x14ac:dyDescent="0.25">
      <c r="A1773">
        <f t="shared" si="324"/>
        <v>1772</v>
      </c>
      <c r="B1773">
        <f t="shared" ca="1" si="325"/>
        <v>35</v>
      </c>
      <c r="C1773" t="str">
        <f t="shared" ca="1" si="326"/>
        <v>Male</v>
      </c>
      <c r="D1773" s="1">
        <f t="shared" ca="1" si="327"/>
        <v>45321</v>
      </c>
      <c r="E1773" s="1">
        <f t="shared" ca="1" si="328"/>
        <v>45324</v>
      </c>
      <c r="F1773" t="str">
        <f t="shared" ca="1" si="329"/>
        <v>Pneumonia</v>
      </c>
      <c r="G1773" t="str">
        <f t="shared" ca="1" si="330"/>
        <v>Surgery</v>
      </c>
      <c r="H1773">
        <f t="shared" ca="1" si="331"/>
        <v>3</v>
      </c>
      <c r="I1773" t="str">
        <f t="shared" ca="1" si="332"/>
        <v>No</v>
      </c>
      <c r="J1773">
        <f t="shared" ca="1" si="333"/>
        <v>2</v>
      </c>
      <c r="K1773" t="str">
        <f t="shared" ca="1" si="334"/>
        <v>Public</v>
      </c>
      <c r="L1773" t="str">
        <f t="shared" ca="1" si="335"/>
        <v>Cardiology</v>
      </c>
    </row>
    <row r="1774" spans="1:12" x14ac:dyDescent="0.25">
      <c r="A1774">
        <f t="shared" si="324"/>
        <v>1773</v>
      </c>
      <c r="B1774">
        <f t="shared" ca="1" si="325"/>
        <v>80</v>
      </c>
      <c r="C1774" t="str">
        <f t="shared" ca="1" si="326"/>
        <v>Male</v>
      </c>
      <c r="D1774" s="1">
        <f t="shared" ca="1" si="327"/>
        <v>45470</v>
      </c>
      <c r="E1774" s="1">
        <f t="shared" ca="1" si="328"/>
        <v>45482</v>
      </c>
      <c r="F1774" t="str">
        <f t="shared" ca="1" si="329"/>
        <v>Stroke</v>
      </c>
      <c r="G1774" t="str">
        <f t="shared" ca="1" si="330"/>
        <v>Medication</v>
      </c>
      <c r="H1774">
        <f t="shared" ca="1" si="331"/>
        <v>12</v>
      </c>
      <c r="I1774" t="str">
        <f t="shared" ca="1" si="332"/>
        <v>No</v>
      </c>
      <c r="J1774">
        <f t="shared" ca="1" si="333"/>
        <v>3</v>
      </c>
      <c r="K1774" t="str">
        <f t="shared" ca="1" si="334"/>
        <v>Public</v>
      </c>
      <c r="L1774" t="str">
        <f t="shared" ca="1" si="335"/>
        <v>ER</v>
      </c>
    </row>
    <row r="1775" spans="1:12" x14ac:dyDescent="0.25">
      <c r="A1775">
        <f t="shared" si="324"/>
        <v>1774</v>
      </c>
      <c r="B1775">
        <f t="shared" ca="1" si="325"/>
        <v>80</v>
      </c>
      <c r="C1775" t="str">
        <f t="shared" ca="1" si="326"/>
        <v>Female</v>
      </c>
      <c r="D1775" s="1">
        <f t="shared" ca="1" si="327"/>
        <v>45415</v>
      </c>
      <c r="E1775" s="1">
        <f t="shared" ca="1" si="328"/>
        <v>45419</v>
      </c>
      <c r="F1775" t="str">
        <f t="shared" ca="1" si="329"/>
        <v>Pneumonia</v>
      </c>
      <c r="G1775" t="str">
        <f t="shared" ca="1" si="330"/>
        <v>Surgery</v>
      </c>
      <c r="H1775">
        <f t="shared" ca="1" si="331"/>
        <v>4</v>
      </c>
      <c r="I1775" t="str">
        <f t="shared" ca="1" si="332"/>
        <v>No</v>
      </c>
      <c r="J1775">
        <f t="shared" ca="1" si="333"/>
        <v>3</v>
      </c>
      <c r="K1775" t="str">
        <f t="shared" ca="1" si="334"/>
        <v>Public</v>
      </c>
      <c r="L1775" t="str">
        <f t="shared" ca="1" si="335"/>
        <v>ICU</v>
      </c>
    </row>
    <row r="1776" spans="1:12" x14ac:dyDescent="0.25">
      <c r="A1776">
        <f t="shared" si="324"/>
        <v>1775</v>
      </c>
      <c r="B1776">
        <f t="shared" ca="1" si="325"/>
        <v>75</v>
      </c>
      <c r="C1776" t="str">
        <f t="shared" ca="1" si="326"/>
        <v>Male</v>
      </c>
      <c r="D1776" s="1">
        <f t="shared" ca="1" si="327"/>
        <v>45571</v>
      </c>
      <c r="E1776" s="1">
        <f t="shared" ca="1" si="328"/>
        <v>45578</v>
      </c>
      <c r="F1776" t="str">
        <f t="shared" ca="1" si="329"/>
        <v>Pneumonia</v>
      </c>
      <c r="G1776" t="str">
        <f t="shared" ca="1" si="330"/>
        <v>Therapy</v>
      </c>
      <c r="H1776">
        <f t="shared" ca="1" si="331"/>
        <v>7</v>
      </c>
      <c r="I1776" t="str">
        <f t="shared" ca="1" si="332"/>
        <v>Yes</v>
      </c>
      <c r="J1776">
        <f t="shared" ca="1" si="333"/>
        <v>3</v>
      </c>
      <c r="K1776" t="str">
        <f t="shared" ca="1" si="334"/>
        <v>Public</v>
      </c>
      <c r="L1776" t="str">
        <f t="shared" ca="1" si="335"/>
        <v>Neurology</v>
      </c>
    </row>
    <row r="1777" spans="1:12" x14ac:dyDescent="0.25">
      <c r="A1777">
        <f t="shared" si="324"/>
        <v>1776</v>
      </c>
      <c r="B1777">
        <f t="shared" ca="1" si="325"/>
        <v>82</v>
      </c>
      <c r="C1777" t="str">
        <f t="shared" ca="1" si="326"/>
        <v>Female</v>
      </c>
      <c r="D1777" s="1">
        <f t="shared" ca="1" si="327"/>
        <v>45449</v>
      </c>
      <c r="E1777" s="1">
        <f t="shared" ca="1" si="328"/>
        <v>45457</v>
      </c>
      <c r="F1777" t="str">
        <f t="shared" ca="1" si="329"/>
        <v>Pneumonia</v>
      </c>
      <c r="G1777" t="str">
        <f t="shared" ca="1" si="330"/>
        <v>Surgery</v>
      </c>
      <c r="H1777">
        <f t="shared" ca="1" si="331"/>
        <v>8</v>
      </c>
      <c r="I1777" t="str">
        <f t="shared" ca="1" si="332"/>
        <v>No</v>
      </c>
      <c r="J1777">
        <f t="shared" ca="1" si="333"/>
        <v>2</v>
      </c>
      <c r="K1777" t="str">
        <f t="shared" ca="1" si="334"/>
        <v>Private</v>
      </c>
      <c r="L1777" t="str">
        <f t="shared" ca="1" si="335"/>
        <v>Cardiology</v>
      </c>
    </row>
    <row r="1778" spans="1:12" x14ac:dyDescent="0.25">
      <c r="A1778">
        <f t="shared" si="324"/>
        <v>1777</v>
      </c>
      <c r="B1778">
        <f t="shared" ca="1" si="325"/>
        <v>87</v>
      </c>
      <c r="C1778" t="str">
        <f t="shared" ca="1" si="326"/>
        <v>Male</v>
      </c>
      <c r="D1778" s="1">
        <f t="shared" ca="1" si="327"/>
        <v>45386</v>
      </c>
      <c r="E1778" s="1">
        <f t="shared" ca="1" si="328"/>
        <v>45395</v>
      </c>
      <c r="F1778" t="str">
        <f t="shared" ca="1" si="329"/>
        <v>Pneumonia</v>
      </c>
      <c r="G1778" t="str">
        <f t="shared" ca="1" si="330"/>
        <v>Therapy</v>
      </c>
      <c r="H1778">
        <f t="shared" ca="1" si="331"/>
        <v>9</v>
      </c>
      <c r="I1778" t="str">
        <f t="shared" ca="1" si="332"/>
        <v>No</v>
      </c>
      <c r="J1778">
        <f t="shared" ca="1" si="333"/>
        <v>3</v>
      </c>
      <c r="K1778" t="str">
        <f t="shared" ca="1" si="334"/>
        <v>Private</v>
      </c>
      <c r="L1778" t="str">
        <f t="shared" ca="1" si="335"/>
        <v>Neurology</v>
      </c>
    </row>
    <row r="1779" spans="1:12" x14ac:dyDescent="0.25">
      <c r="A1779">
        <f t="shared" si="324"/>
        <v>1778</v>
      </c>
      <c r="B1779">
        <f t="shared" ca="1" si="325"/>
        <v>38</v>
      </c>
      <c r="C1779" t="str">
        <f t="shared" ca="1" si="326"/>
        <v>Male</v>
      </c>
      <c r="D1779" s="1">
        <f t="shared" ca="1" si="327"/>
        <v>45332</v>
      </c>
      <c r="E1779" s="1">
        <f t="shared" ca="1" si="328"/>
        <v>45337</v>
      </c>
      <c r="F1779" t="str">
        <f t="shared" ca="1" si="329"/>
        <v>Hypertension</v>
      </c>
      <c r="G1779" t="str">
        <f t="shared" ca="1" si="330"/>
        <v>Surgery</v>
      </c>
      <c r="H1779">
        <f t="shared" ca="1" si="331"/>
        <v>5</v>
      </c>
      <c r="I1779" t="str">
        <f t="shared" ca="1" si="332"/>
        <v>No</v>
      </c>
      <c r="J1779">
        <f t="shared" ca="1" si="333"/>
        <v>4</v>
      </c>
      <c r="K1779" t="str">
        <f t="shared" ca="1" si="334"/>
        <v>None</v>
      </c>
      <c r="L1779" t="str">
        <f t="shared" ca="1" si="335"/>
        <v>Neurology</v>
      </c>
    </row>
    <row r="1780" spans="1:12" x14ac:dyDescent="0.25">
      <c r="A1780">
        <f t="shared" si="324"/>
        <v>1779</v>
      </c>
      <c r="B1780">
        <f t="shared" ca="1" si="325"/>
        <v>49</v>
      </c>
      <c r="C1780" t="str">
        <f t="shared" ca="1" si="326"/>
        <v>Female</v>
      </c>
      <c r="D1780" s="1">
        <f t="shared" ca="1" si="327"/>
        <v>45615</v>
      </c>
      <c r="E1780" s="1">
        <f t="shared" ca="1" si="328"/>
        <v>45629</v>
      </c>
      <c r="F1780" t="str">
        <f t="shared" ca="1" si="329"/>
        <v>Heart Failure</v>
      </c>
      <c r="G1780" t="str">
        <f t="shared" ca="1" si="330"/>
        <v>Therapy</v>
      </c>
      <c r="H1780">
        <f t="shared" ca="1" si="331"/>
        <v>14</v>
      </c>
      <c r="I1780" t="str">
        <f t="shared" ca="1" si="332"/>
        <v>No</v>
      </c>
      <c r="J1780">
        <f t="shared" ca="1" si="333"/>
        <v>3</v>
      </c>
      <c r="K1780" t="str">
        <f t="shared" ca="1" si="334"/>
        <v>Private</v>
      </c>
      <c r="L1780" t="str">
        <f t="shared" ca="1" si="335"/>
        <v>Cardiology</v>
      </c>
    </row>
    <row r="1781" spans="1:12" x14ac:dyDescent="0.25">
      <c r="A1781">
        <f t="shared" si="324"/>
        <v>1780</v>
      </c>
      <c r="B1781">
        <f t="shared" ca="1" si="325"/>
        <v>90</v>
      </c>
      <c r="C1781" t="str">
        <f t="shared" ca="1" si="326"/>
        <v>Male</v>
      </c>
      <c r="D1781" s="1">
        <f t="shared" ca="1" si="327"/>
        <v>45455</v>
      </c>
      <c r="E1781" s="1">
        <f t="shared" ca="1" si="328"/>
        <v>45461</v>
      </c>
      <c r="F1781" t="str">
        <f t="shared" ca="1" si="329"/>
        <v>Diabetes</v>
      </c>
      <c r="G1781" t="str">
        <f t="shared" ca="1" si="330"/>
        <v>Medication</v>
      </c>
      <c r="H1781">
        <f t="shared" ca="1" si="331"/>
        <v>6</v>
      </c>
      <c r="I1781" t="str">
        <f t="shared" ca="1" si="332"/>
        <v>Yes</v>
      </c>
      <c r="J1781">
        <f t="shared" ca="1" si="333"/>
        <v>3</v>
      </c>
      <c r="K1781" t="str">
        <f t="shared" ca="1" si="334"/>
        <v>Private</v>
      </c>
      <c r="L1781" t="str">
        <f t="shared" ca="1" si="335"/>
        <v>Neurology</v>
      </c>
    </row>
    <row r="1782" spans="1:12" x14ac:dyDescent="0.25">
      <c r="A1782">
        <f t="shared" si="324"/>
        <v>1781</v>
      </c>
      <c r="B1782">
        <f t="shared" ca="1" si="325"/>
        <v>47</v>
      </c>
      <c r="C1782" t="str">
        <f t="shared" ca="1" si="326"/>
        <v>Male</v>
      </c>
      <c r="D1782" s="1">
        <f t="shared" ca="1" si="327"/>
        <v>45604</v>
      </c>
      <c r="E1782" s="1">
        <f t="shared" ca="1" si="328"/>
        <v>45617</v>
      </c>
      <c r="F1782" t="str">
        <f t="shared" ca="1" si="329"/>
        <v>Pneumonia</v>
      </c>
      <c r="G1782" t="str">
        <f t="shared" ca="1" si="330"/>
        <v>Surgery</v>
      </c>
      <c r="H1782">
        <f t="shared" ca="1" si="331"/>
        <v>13</v>
      </c>
      <c r="I1782" t="str">
        <f t="shared" ca="1" si="332"/>
        <v>No</v>
      </c>
      <c r="J1782">
        <f t="shared" ca="1" si="333"/>
        <v>0</v>
      </c>
      <c r="K1782" t="str">
        <f t="shared" ca="1" si="334"/>
        <v>None</v>
      </c>
      <c r="L1782" t="str">
        <f t="shared" ca="1" si="335"/>
        <v>Neurology</v>
      </c>
    </row>
    <row r="1783" spans="1:12" x14ac:dyDescent="0.25">
      <c r="A1783">
        <f t="shared" si="324"/>
        <v>1782</v>
      </c>
      <c r="B1783">
        <f t="shared" ca="1" si="325"/>
        <v>73</v>
      </c>
      <c r="C1783" t="str">
        <f t="shared" ca="1" si="326"/>
        <v>Female</v>
      </c>
      <c r="D1783" s="1">
        <f t="shared" ca="1" si="327"/>
        <v>45527</v>
      </c>
      <c r="E1783" s="1">
        <f t="shared" ca="1" si="328"/>
        <v>45530</v>
      </c>
      <c r="F1783" t="str">
        <f t="shared" ca="1" si="329"/>
        <v>Hypertension</v>
      </c>
      <c r="G1783" t="str">
        <f t="shared" ca="1" si="330"/>
        <v>Therapy</v>
      </c>
      <c r="H1783">
        <f t="shared" ca="1" si="331"/>
        <v>3</v>
      </c>
      <c r="I1783" t="str">
        <f t="shared" ca="1" si="332"/>
        <v>Yes</v>
      </c>
      <c r="J1783">
        <f t="shared" ca="1" si="333"/>
        <v>4</v>
      </c>
      <c r="K1783" t="str">
        <f t="shared" ca="1" si="334"/>
        <v>Public</v>
      </c>
      <c r="L1783" t="str">
        <f t="shared" ca="1" si="335"/>
        <v>ICU</v>
      </c>
    </row>
    <row r="1784" spans="1:12" x14ac:dyDescent="0.25">
      <c r="A1784">
        <f t="shared" si="324"/>
        <v>1783</v>
      </c>
      <c r="B1784">
        <f t="shared" ca="1" si="325"/>
        <v>26</v>
      </c>
      <c r="C1784" t="str">
        <f t="shared" ca="1" si="326"/>
        <v>Female</v>
      </c>
      <c r="D1784" s="1">
        <f t="shared" ca="1" si="327"/>
        <v>45622</v>
      </c>
      <c r="E1784" s="1">
        <f t="shared" ca="1" si="328"/>
        <v>45623</v>
      </c>
      <c r="F1784" t="str">
        <f t="shared" ca="1" si="329"/>
        <v>Pneumonia</v>
      </c>
      <c r="G1784" t="str">
        <f t="shared" ca="1" si="330"/>
        <v>Therapy</v>
      </c>
      <c r="H1784">
        <f t="shared" ca="1" si="331"/>
        <v>1</v>
      </c>
      <c r="I1784" t="str">
        <f t="shared" ca="1" si="332"/>
        <v>No</v>
      </c>
      <c r="J1784">
        <f t="shared" ca="1" si="333"/>
        <v>3</v>
      </c>
      <c r="K1784" t="str">
        <f t="shared" ca="1" si="334"/>
        <v>Public</v>
      </c>
      <c r="L1784" t="str">
        <f t="shared" ca="1" si="335"/>
        <v>ICU</v>
      </c>
    </row>
    <row r="1785" spans="1:12" x14ac:dyDescent="0.25">
      <c r="A1785">
        <f t="shared" si="324"/>
        <v>1784</v>
      </c>
      <c r="B1785">
        <f t="shared" ca="1" si="325"/>
        <v>82</v>
      </c>
      <c r="C1785" t="str">
        <f t="shared" ca="1" si="326"/>
        <v>Male</v>
      </c>
      <c r="D1785" s="1">
        <f t="shared" ca="1" si="327"/>
        <v>45508</v>
      </c>
      <c r="E1785" s="1">
        <f t="shared" ca="1" si="328"/>
        <v>45511</v>
      </c>
      <c r="F1785" t="str">
        <f t="shared" ca="1" si="329"/>
        <v>Diabetes</v>
      </c>
      <c r="G1785" t="str">
        <f t="shared" ca="1" si="330"/>
        <v>Medication</v>
      </c>
      <c r="H1785">
        <f t="shared" ca="1" si="331"/>
        <v>3</v>
      </c>
      <c r="I1785" t="str">
        <f t="shared" ca="1" si="332"/>
        <v>No</v>
      </c>
      <c r="J1785">
        <f t="shared" ca="1" si="333"/>
        <v>4</v>
      </c>
      <c r="K1785" t="str">
        <f t="shared" ca="1" si="334"/>
        <v>Private</v>
      </c>
      <c r="L1785" t="str">
        <f t="shared" ca="1" si="335"/>
        <v>ICU</v>
      </c>
    </row>
    <row r="1786" spans="1:12" x14ac:dyDescent="0.25">
      <c r="A1786">
        <f t="shared" si="324"/>
        <v>1785</v>
      </c>
      <c r="B1786">
        <f t="shared" ca="1" si="325"/>
        <v>24</v>
      </c>
      <c r="C1786" t="str">
        <f t="shared" ca="1" si="326"/>
        <v>Female</v>
      </c>
      <c r="D1786" s="1">
        <f t="shared" ca="1" si="327"/>
        <v>45418</v>
      </c>
      <c r="E1786" s="1">
        <f t="shared" ca="1" si="328"/>
        <v>45432</v>
      </c>
      <c r="F1786" t="str">
        <f t="shared" ca="1" si="329"/>
        <v>Hypertension</v>
      </c>
      <c r="G1786" t="str">
        <f t="shared" ca="1" si="330"/>
        <v>Therapy</v>
      </c>
      <c r="H1786">
        <f t="shared" ca="1" si="331"/>
        <v>14</v>
      </c>
      <c r="I1786" t="str">
        <f t="shared" ca="1" si="332"/>
        <v>Yes</v>
      </c>
      <c r="J1786">
        <f t="shared" ca="1" si="333"/>
        <v>1</v>
      </c>
      <c r="K1786" t="str">
        <f t="shared" ca="1" si="334"/>
        <v>None</v>
      </c>
      <c r="L1786" t="str">
        <f t="shared" ca="1" si="335"/>
        <v>ER</v>
      </c>
    </row>
    <row r="1787" spans="1:12" x14ac:dyDescent="0.25">
      <c r="A1787">
        <f t="shared" si="324"/>
        <v>1786</v>
      </c>
      <c r="B1787">
        <f t="shared" ca="1" si="325"/>
        <v>90</v>
      </c>
      <c r="C1787" t="str">
        <f t="shared" ca="1" si="326"/>
        <v>Male</v>
      </c>
      <c r="D1787" s="1">
        <f t="shared" ca="1" si="327"/>
        <v>45527</v>
      </c>
      <c r="E1787" s="1">
        <f t="shared" ca="1" si="328"/>
        <v>45534</v>
      </c>
      <c r="F1787" t="str">
        <f t="shared" ca="1" si="329"/>
        <v>Hypertension</v>
      </c>
      <c r="G1787" t="str">
        <f t="shared" ca="1" si="330"/>
        <v>Therapy</v>
      </c>
      <c r="H1787">
        <f t="shared" ca="1" si="331"/>
        <v>7</v>
      </c>
      <c r="I1787" t="str">
        <f t="shared" ca="1" si="332"/>
        <v>No</v>
      </c>
      <c r="J1787">
        <f t="shared" ca="1" si="333"/>
        <v>0</v>
      </c>
      <c r="K1787" t="str">
        <f t="shared" ca="1" si="334"/>
        <v>Public</v>
      </c>
      <c r="L1787" t="str">
        <f t="shared" ca="1" si="335"/>
        <v>ICU</v>
      </c>
    </row>
    <row r="1788" spans="1:12" x14ac:dyDescent="0.25">
      <c r="A1788">
        <f t="shared" si="324"/>
        <v>1787</v>
      </c>
      <c r="B1788">
        <f t="shared" ca="1" si="325"/>
        <v>67</v>
      </c>
      <c r="C1788" t="str">
        <f t="shared" ca="1" si="326"/>
        <v>Female</v>
      </c>
      <c r="D1788" s="1">
        <f t="shared" ca="1" si="327"/>
        <v>45436</v>
      </c>
      <c r="E1788" s="1">
        <f t="shared" ca="1" si="328"/>
        <v>45439</v>
      </c>
      <c r="F1788" t="str">
        <f t="shared" ca="1" si="329"/>
        <v>Hypertension</v>
      </c>
      <c r="G1788" t="str">
        <f t="shared" ca="1" si="330"/>
        <v>Therapy</v>
      </c>
      <c r="H1788">
        <f t="shared" ca="1" si="331"/>
        <v>3</v>
      </c>
      <c r="I1788" t="str">
        <f t="shared" ca="1" si="332"/>
        <v>Yes</v>
      </c>
      <c r="J1788">
        <f t="shared" ca="1" si="333"/>
        <v>3</v>
      </c>
      <c r="K1788" t="str">
        <f t="shared" ca="1" si="334"/>
        <v>None</v>
      </c>
      <c r="L1788" t="str">
        <f t="shared" ca="1" si="335"/>
        <v>ICU</v>
      </c>
    </row>
    <row r="1789" spans="1:12" x14ac:dyDescent="0.25">
      <c r="A1789">
        <f t="shared" si="324"/>
        <v>1788</v>
      </c>
      <c r="B1789">
        <f t="shared" ca="1" si="325"/>
        <v>26</v>
      </c>
      <c r="C1789" t="str">
        <f t="shared" ca="1" si="326"/>
        <v>Female</v>
      </c>
      <c r="D1789" s="1">
        <f t="shared" ca="1" si="327"/>
        <v>45411</v>
      </c>
      <c r="E1789" s="1">
        <f t="shared" ca="1" si="328"/>
        <v>45425</v>
      </c>
      <c r="F1789" t="str">
        <f t="shared" ca="1" si="329"/>
        <v>Heart Failure</v>
      </c>
      <c r="G1789" t="str">
        <f t="shared" ca="1" si="330"/>
        <v>Therapy</v>
      </c>
      <c r="H1789">
        <f t="shared" ca="1" si="331"/>
        <v>14</v>
      </c>
      <c r="I1789" t="str">
        <f t="shared" ca="1" si="332"/>
        <v>No</v>
      </c>
      <c r="J1789">
        <f t="shared" ca="1" si="333"/>
        <v>2</v>
      </c>
      <c r="K1789" t="str">
        <f t="shared" ca="1" si="334"/>
        <v>Public</v>
      </c>
      <c r="L1789" t="str">
        <f t="shared" ca="1" si="335"/>
        <v>Neurology</v>
      </c>
    </row>
    <row r="1790" spans="1:12" x14ac:dyDescent="0.25">
      <c r="A1790">
        <f t="shared" si="324"/>
        <v>1789</v>
      </c>
      <c r="B1790">
        <f t="shared" ca="1" si="325"/>
        <v>25</v>
      </c>
      <c r="C1790" t="str">
        <f t="shared" ca="1" si="326"/>
        <v>Male</v>
      </c>
      <c r="D1790" s="1">
        <f t="shared" ca="1" si="327"/>
        <v>45398</v>
      </c>
      <c r="E1790" s="1">
        <f t="shared" ca="1" si="328"/>
        <v>45413</v>
      </c>
      <c r="F1790" t="str">
        <f t="shared" ca="1" si="329"/>
        <v>Diabetes</v>
      </c>
      <c r="G1790" t="str">
        <f t="shared" ca="1" si="330"/>
        <v>Therapy</v>
      </c>
      <c r="H1790">
        <f t="shared" ca="1" si="331"/>
        <v>15</v>
      </c>
      <c r="I1790" t="str">
        <f t="shared" ca="1" si="332"/>
        <v>Yes</v>
      </c>
      <c r="J1790">
        <f t="shared" ca="1" si="333"/>
        <v>0</v>
      </c>
      <c r="K1790" t="str">
        <f t="shared" ca="1" si="334"/>
        <v>None</v>
      </c>
      <c r="L1790" t="str">
        <f t="shared" ca="1" si="335"/>
        <v>ICU</v>
      </c>
    </row>
    <row r="1791" spans="1:12" x14ac:dyDescent="0.25">
      <c r="A1791">
        <f t="shared" si="324"/>
        <v>1790</v>
      </c>
      <c r="B1791">
        <f t="shared" ca="1" si="325"/>
        <v>88</v>
      </c>
      <c r="C1791" t="str">
        <f t="shared" ca="1" si="326"/>
        <v>Male</v>
      </c>
      <c r="D1791" s="1">
        <f t="shared" ca="1" si="327"/>
        <v>45346</v>
      </c>
      <c r="E1791" s="1">
        <f t="shared" ca="1" si="328"/>
        <v>45353</v>
      </c>
      <c r="F1791" t="str">
        <f t="shared" ca="1" si="329"/>
        <v>Heart Failure</v>
      </c>
      <c r="G1791" t="str">
        <f t="shared" ca="1" si="330"/>
        <v>Medication</v>
      </c>
      <c r="H1791">
        <f t="shared" ca="1" si="331"/>
        <v>7</v>
      </c>
      <c r="I1791" t="str">
        <f t="shared" ca="1" si="332"/>
        <v>No</v>
      </c>
      <c r="J1791">
        <f t="shared" ca="1" si="333"/>
        <v>0</v>
      </c>
      <c r="K1791" t="str">
        <f t="shared" ca="1" si="334"/>
        <v>Private</v>
      </c>
      <c r="L1791" t="str">
        <f t="shared" ca="1" si="335"/>
        <v>Neurology</v>
      </c>
    </row>
    <row r="1792" spans="1:12" x14ac:dyDescent="0.25">
      <c r="A1792">
        <f t="shared" si="324"/>
        <v>1791</v>
      </c>
      <c r="B1792">
        <f t="shared" ca="1" si="325"/>
        <v>88</v>
      </c>
      <c r="C1792" t="str">
        <f t="shared" ca="1" si="326"/>
        <v>Female</v>
      </c>
      <c r="D1792" s="1">
        <f t="shared" ca="1" si="327"/>
        <v>45491</v>
      </c>
      <c r="E1792" s="1">
        <f t="shared" ca="1" si="328"/>
        <v>45503</v>
      </c>
      <c r="F1792" t="str">
        <f t="shared" ca="1" si="329"/>
        <v>Heart Failure</v>
      </c>
      <c r="G1792" t="str">
        <f t="shared" ca="1" si="330"/>
        <v>Therapy</v>
      </c>
      <c r="H1792">
        <f t="shared" ca="1" si="331"/>
        <v>12</v>
      </c>
      <c r="I1792" t="str">
        <f t="shared" ca="1" si="332"/>
        <v>No</v>
      </c>
      <c r="J1792">
        <f t="shared" ca="1" si="333"/>
        <v>1</v>
      </c>
      <c r="K1792" t="str">
        <f t="shared" ca="1" si="334"/>
        <v>Public</v>
      </c>
      <c r="L1792" t="str">
        <f t="shared" ca="1" si="335"/>
        <v>Neurology</v>
      </c>
    </row>
    <row r="1793" spans="1:12" x14ac:dyDescent="0.25">
      <c r="A1793">
        <f t="shared" si="324"/>
        <v>1792</v>
      </c>
      <c r="B1793">
        <f t="shared" ca="1" si="325"/>
        <v>75</v>
      </c>
      <c r="C1793" t="str">
        <f t="shared" ca="1" si="326"/>
        <v>Female</v>
      </c>
      <c r="D1793" s="1">
        <f t="shared" ca="1" si="327"/>
        <v>45328</v>
      </c>
      <c r="E1793" s="1">
        <f t="shared" ca="1" si="328"/>
        <v>45340</v>
      </c>
      <c r="F1793" t="str">
        <f t="shared" ca="1" si="329"/>
        <v>Diabetes</v>
      </c>
      <c r="G1793" t="str">
        <f t="shared" ca="1" si="330"/>
        <v>Therapy</v>
      </c>
      <c r="H1793">
        <f t="shared" ca="1" si="331"/>
        <v>12</v>
      </c>
      <c r="I1793" t="str">
        <f t="shared" ca="1" si="332"/>
        <v>No</v>
      </c>
      <c r="J1793">
        <f t="shared" ca="1" si="333"/>
        <v>0</v>
      </c>
      <c r="K1793" t="str">
        <f t="shared" ca="1" si="334"/>
        <v>None</v>
      </c>
      <c r="L1793" t="str">
        <f t="shared" ca="1" si="335"/>
        <v>Neurology</v>
      </c>
    </row>
    <row r="1794" spans="1:12" x14ac:dyDescent="0.25">
      <c r="A1794">
        <f t="shared" si="324"/>
        <v>1793</v>
      </c>
      <c r="B1794">
        <f t="shared" ca="1" si="325"/>
        <v>42</v>
      </c>
      <c r="C1794" t="str">
        <f t="shared" ca="1" si="326"/>
        <v>Male</v>
      </c>
      <c r="D1794" s="1">
        <f t="shared" ca="1" si="327"/>
        <v>45399</v>
      </c>
      <c r="E1794" s="1">
        <f t="shared" ca="1" si="328"/>
        <v>45409</v>
      </c>
      <c r="F1794" t="str">
        <f t="shared" ca="1" si="329"/>
        <v>Diabetes</v>
      </c>
      <c r="G1794" t="str">
        <f t="shared" ca="1" si="330"/>
        <v>Surgery</v>
      </c>
      <c r="H1794">
        <f t="shared" ca="1" si="331"/>
        <v>10</v>
      </c>
      <c r="I1794" t="str">
        <f t="shared" ca="1" si="332"/>
        <v>Yes</v>
      </c>
      <c r="J1794">
        <f t="shared" ca="1" si="333"/>
        <v>3</v>
      </c>
      <c r="K1794" t="str">
        <f t="shared" ca="1" si="334"/>
        <v>Private</v>
      </c>
      <c r="L1794" t="str">
        <f t="shared" ca="1" si="335"/>
        <v>General</v>
      </c>
    </row>
    <row r="1795" spans="1:12" x14ac:dyDescent="0.25">
      <c r="A1795">
        <f t="shared" ref="A1795:A1858" si="336">ROW() -1</f>
        <v>1794</v>
      </c>
      <c r="B1795">
        <f t="shared" ref="B1795:B1858" ca="1" si="337">RANDBETWEEN(20,90)</f>
        <v>70</v>
      </c>
      <c r="C1795" t="str">
        <f t="shared" ref="C1795:C1858" ca="1" si="338">IF(RAND()&lt;0.5,"Male","Female")</f>
        <v>Female</v>
      </c>
      <c r="D1795" s="1">
        <f t="shared" ref="D1795:D1858" ca="1" si="339">DATE(2024,1,1)+RANDBETWEEN(0,364)</f>
        <v>45405</v>
      </c>
      <c r="E1795" s="1">
        <f t="shared" ref="E1795:E1858" ca="1" si="340">D1795+RANDBETWEEN(1,15)</f>
        <v>45412</v>
      </c>
      <c r="F1795" t="str">
        <f t="shared" ref="F1795:F1858" ca="1" si="341">CHOOSE(RANDBETWEEN(1,5),"Diabetes","Heart Failure","Pneumonia","Stroke","Hypertension")</f>
        <v>Diabetes</v>
      </c>
      <c r="G1795" t="str">
        <f t="shared" ref="G1795:G1858" ca="1" si="342">CHOOSE(RANDBETWEEN(1,3),"Medication","Surgery","Therapy")</f>
        <v>Therapy</v>
      </c>
      <c r="H1795">
        <f t="shared" ref="H1795:H1858" ca="1" si="343">DATEDIF(D1795,E1795,"D")</f>
        <v>7</v>
      </c>
      <c r="I1795" t="str">
        <f t="shared" ref="I1795:I1858" ca="1" si="344">IF(RAND()&lt;0.3,"Yes","No")</f>
        <v>No</v>
      </c>
      <c r="J1795">
        <f t="shared" ref="J1795:J1858" ca="1" si="345">RANDBETWEEN(0,4)</f>
        <v>0</v>
      </c>
      <c r="K1795" t="str">
        <f t="shared" ref="K1795:K1858" ca="1" si="346">CHOOSE(RANDBETWEEN(1,3),"Private","Public","None")</f>
        <v>Public</v>
      </c>
      <c r="L1795" t="str">
        <f t="shared" ref="L1795:L1858" ca="1" si="347">CHOOSE(RANDBETWEEN(1,5),"ER","Cardiology","Neurology","General","ICU")</f>
        <v>Cardiology</v>
      </c>
    </row>
    <row r="1796" spans="1:12" x14ac:dyDescent="0.25">
      <c r="A1796">
        <f t="shared" si="336"/>
        <v>1795</v>
      </c>
      <c r="B1796">
        <f t="shared" ca="1" si="337"/>
        <v>48</v>
      </c>
      <c r="C1796" t="str">
        <f t="shared" ca="1" si="338"/>
        <v>Female</v>
      </c>
      <c r="D1796" s="1">
        <f t="shared" ca="1" si="339"/>
        <v>45461</v>
      </c>
      <c r="E1796" s="1">
        <f t="shared" ca="1" si="340"/>
        <v>45470</v>
      </c>
      <c r="F1796" t="str">
        <f t="shared" ca="1" si="341"/>
        <v>Hypertension</v>
      </c>
      <c r="G1796" t="str">
        <f t="shared" ca="1" si="342"/>
        <v>Surgery</v>
      </c>
      <c r="H1796">
        <f t="shared" ca="1" si="343"/>
        <v>9</v>
      </c>
      <c r="I1796" t="str">
        <f t="shared" ca="1" si="344"/>
        <v>No</v>
      </c>
      <c r="J1796">
        <f t="shared" ca="1" si="345"/>
        <v>3</v>
      </c>
      <c r="K1796" t="str">
        <f t="shared" ca="1" si="346"/>
        <v>Public</v>
      </c>
      <c r="L1796" t="str">
        <f t="shared" ca="1" si="347"/>
        <v>Neurology</v>
      </c>
    </row>
    <row r="1797" spans="1:12" x14ac:dyDescent="0.25">
      <c r="A1797">
        <f t="shared" si="336"/>
        <v>1796</v>
      </c>
      <c r="B1797">
        <f t="shared" ca="1" si="337"/>
        <v>36</v>
      </c>
      <c r="C1797" t="str">
        <f t="shared" ca="1" si="338"/>
        <v>Female</v>
      </c>
      <c r="D1797" s="1">
        <f t="shared" ca="1" si="339"/>
        <v>45418</v>
      </c>
      <c r="E1797" s="1">
        <f t="shared" ca="1" si="340"/>
        <v>45424</v>
      </c>
      <c r="F1797" t="str">
        <f t="shared" ca="1" si="341"/>
        <v>Diabetes</v>
      </c>
      <c r="G1797" t="str">
        <f t="shared" ca="1" si="342"/>
        <v>Medication</v>
      </c>
      <c r="H1797">
        <f t="shared" ca="1" si="343"/>
        <v>6</v>
      </c>
      <c r="I1797" t="str">
        <f t="shared" ca="1" si="344"/>
        <v>No</v>
      </c>
      <c r="J1797">
        <f t="shared" ca="1" si="345"/>
        <v>2</v>
      </c>
      <c r="K1797" t="str">
        <f t="shared" ca="1" si="346"/>
        <v>None</v>
      </c>
      <c r="L1797" t="str">
        <f t="shared" ca="1" si="347"/>
        <v>ICU</v>
      </c>
    </row>
    <row r="1798" spans="1:12" x14ac:dyDescent="0.25">
      <c r="A1798">
        <f t="shared" si="336"/>
        <v>1797</v>
      </c>
      <c r="B1798">
        <f t="shared" ca="1" si="337"/>
        <v>46</v>
      </c>
      <c r="C1798" t="str">
        <f t="shared" ca="1" si="338"/>
        <v>Male</v>
      </c>
      <c r="D1798" s="1">
        <f t="shared" ca="1" si="339"/>
        <v>45306</v>
      </c>
      <c r="E1798" s="1">
        <f t="shared" ca="1" si="340"/>
        <v>45314</v>
      </c>
      <c r="F1798" t="str">
        <f t="shared" ca="1" si="341"/>
        <v>Pneumonia</v>
      </c>
      <c r="G1798" t="str">
        <f t="shared" ca="1" si="342"/>
        <v>Surgery</v>
      </c>
      <c r="H1798">
        <f t="shared" ca="1" si="343"/>
        <v>8</v>
      </c>
      <c r="I1798" t="str">
        <f t="shared" ca="1" si="344"/>
        <v>No</v>
      </c>
      <c r="J1798">
        <f t="shared" ca="1" si="345"/>
        <v>2</v>
      </c>
      <c r="K1798" t="str">
        <f t="shared" ca="1" si="346"/>
        <v>Private</v>
      </c>
      <c r="L1798" t="str">
        <f t="shared" ca="1" si="347"/>
        <v>Cardiology</v>
      </c>
    </row>
    <row r="1799" spans="1:12" x14ac:dyDescent="0.25">
      <c r="A1799">
        <f t="shared" si="336"/>
        <v>1798</v>
      </c>
      <c r="B1799">
        <f t="shared" ca="1" si="337"/>
        <v>52</v>
      </c>
      <c r="C1799" t="str">
        <f t="shared" ca="1" si="338"/>
        <v>Female</v>
      </c>
      <c r="D1799" s="1">
        <f t="shared" ca="1" si="339"/>
        <v>45305</v>
      </c>
      <c r="E1799" s="1">
        <f t="shared" ca="1" si="340"/>
        <v>45309</v>
      </c>
      <c r="F1799" t="str">
        <f t="shared" ca="1" si="341"/>
        <v>Stroke</v>
      </c>
      <c r="G1799" t="str">
        <f t="shared" ca="1" si="342"/>
        <v>Therapy</v>
      </c>
      <c r="H1799">
        <f t="shared" ca="1" si="343"/>
        <v>4</v>
      </c>
      <c r="I1799" t="str">
        <f t="shared" ca="1" si="344"/>
        <v>No</v>
      </c>
      <c r="J1799">
        <f t="shared" ca="1" si="345"/>
        <v>2</v>
      </c>
      <c r="K1799" t="str">
        <f t="shared" ca="1" si="346"/>
        <v>None</v>
      </c>
      <c r="L1799" t="str">
        <f t="shared" ca="1" si="347"/>
        <v>ER</v>
      </c>
    </row>
    <row r="1800" spans="1:12" x14ac:dyDescent="0.25">
      <c r="A1800">
        <f t="shared" si="336"/>
        <v>1799</v>
      </c>
      <c r="B1800">
        <f t="shared" ca="1" si="337"/>
        <v>69</v>
      </c>
      <c r="C1800" t="str">
        <f t="shared" ca="1" si="338"/>
        <v>Female</v>
      </c>
      <c r="D1800" s="1">
        <f t="shared" ca="1" si="339"/>
        <v>45538</v>
      </c>
      <c r="E1800" s="1">
        <f t="shared" ca="1" si="340"/>
        <v>45543</v>
      </c>
      <c r="F1800" t="str">
        <f t="shared" ca="1" si="341"/>
        <v>Diabetes</v>
      </c>
      <c r="G1800" t="str">
        <f t="shared" ca="1" si="342"/>
        <v>Surgery</v>
      </c>
      <c r="H1800">
        <f t="shared" ca="1" si="343"/>
        <v>5</v>
      </c>
      <c r="I1800" t="str">
        <f t="shared" ca="1" si="344"/>
        <v>No</v>
      </c>
      <c r="J1800">
        <f t="shared" ca="1" si="345"/>
        <v>3</v>
      </c>
      <c r="K1800" t="str">
        <f t="shared" ca="1" si="346"/>
        <v>Private</v>
      </c>
      <c r="L1800" t="str">
        <f t="shared" ca="1" si="347"/>
        <v>Neurology</v>
      </c>
    </row>
    <row r="1801" spans="1:12" x14ac:dyDescent="0.25">
      <c r="A1801">
        <f t="shared" si="336"/>
        <v>1800</v>
      </c>
      <c r="B1801">
        <f t="shared" ca="1" si="337"/>
        <v>39</v>
      </c>
      <c r="C1801" t="str">
        <f t="shared" ca="1" si="338"/>
        <v>Female</v>
      </c>
      <c r="D1801" s="1">
        <f t="shared" ca="1" si="339"/>
        <v>45562</v>
      </c>
      <c r="E1801" s="1">
        <f t="shared" ca="1" si="340"/>
        <v>45572</v>
      </c>
      <c r="F1801" t="str">
        <f t="shared" ca="1" si="341"/>
        <v>Pneumonia</v>
      </c>
      <c r="G1801" t="str">
        <f t="shared" ca="1" si="342"/>
        <v>Surgery</v>
      </c>
      <c r="H1801">
        <f t="shared" ca="1" si="343"/>
        <v>10</v>
      </c>
      <c r="I1801" t="str">
        <f t="shared" ca="1" si="344"/>
        <v>No</v>
      </c>
      <c r="J1801">
        <f t="shared" ca="1" si="345"/>
        <v>3</v>
      </c>
      <c r="K1801" t="str">
        <f t="shared" ca="1" si="346"/>
        <v>None</v>
      </c>
      <c r="L1801" t="str">
        <f t="shared" ca="1" si="347"/>
        <v>Cardiology</v>
      </c>
    </row>
    <row r="1802" spans="1:12" x14ac:dyDescent="0.25">
      <c r="A1802">
        <f t="shared" si="336"/>
        <v>1801</v>
      </c>
      <c r="B1802">
        <f t="shared" ca="1" si="337"/>
        <v>83</v>
      </c>
      <c r="C1802" t="str">
        <f t="shared" ca="1" si="338"/>
        <v>Female</v>
      </c>
      <c r="D1802" s="1">
        <f t="shared" ca="1" si="339"/>
        <v>45406</v>
      </c>
      <c r="E1802" s="1">
        <f t="shared" ca="1" si="340"/>
        <v>45411</v>
      </c>
      <c r="F1802" t="str">
        <f t="shared" ca="1" si="341"/>
        <v>Heart Failure</v>
      </c>
      <c r="G1802" t="str">
        <f t="shared" ca="1" si="342"/>
        <v>Medication</v>
      </c>
      <c r="H1802">
        <f t="shared" ca="1" si="343"/>
        <v>5</v>
      </c>
      <c r="I1802" t="str">
        <f t="shared" ca="1" si="344"/>
        <v>No</v>
      </c>
      <c r="J1802">
        <f t="shared" ca="1" si="345"/>
        <v>3</v>
      </c>
      <c r="K1802" t="str">
        <f t="shared" ca="1" si="346"/>
        <v>Private</v>
      </c>
      <c r="L1802" t="str">
        <f t="shared" ca="1" si="347"/>
        <v>ER</v>
      </c>
    </row>
    <row r="1803" spans="1:12" x14ac:dyDescent="0.25">
      <c r="A1803">
        <f t="shared" si="336"/>
        <v>1802</v>
      </c>
      <c r="B1803">
        <f t="shared" ca="1" si="337"/>
        <v>77</v>
      </c>
      <c r="C1803" t="str">
        <f t="shared" ca="1" si="338"/>
        <v>Male</v>
      </c>
      <c r="D1803" s="1">
        <f t="shared" ca="1" si="339"/>
        <v>45455</v>
      </c>
      <c r="E1803" s="1">
        <f t="shared" ca="1" si="340"/>
        <v>45462</v>
      </c>
      <c r="F1803" t="str">
        <f t="shared" ca="1" si="341"/>
        <v>Stroke</v>
      </c>
      <c r="G1803" t="str">
        <f t="shared" ca="1" si="342"/>
        <v>Surgery</v>
      </c>
      <c r="H1803">
        <f t="shared" ca="1" si="343"/>
        <v>7</v>
      </c>
      <c r="I1803" t="str">
        <f t="shared" ca="1" si="344"/>
        <v>No</v>
      </c>
      <c r="J1803">
        <f t="shared" ca="1" si="345"/>
        <v>0</v>
      </c>
      <c r="K1803" t="str">
        <f t="shared" ca="1" si="346"/>
        <v>Public</v>
      </c>
      <c r="L1803" t="str">
        <f t="shared" ca="1" si="347"/>
        <v>Cardiology</v>
      </c>
    </row>
    <row r="1804" spans="1:12" x14ac:dyDescent="0.25">
      <c r="A1804">
        <f t="shared" si="336"/>
        <v>1803</v>
      </c>
      <c r="B1804">
        <f t="shared" ca="1" si="337"/>
        <v>78</v>
      </c>
      <c r="C1804" t="str">
        <f t="shared" ca="1" si="338"/>
        <v>Male</v>
      </c>
      <c r="D1804" s="1">
        <f t="shared" ca="1" si="339"/>
        <v>45628</v>
      </c>
      <c r="E1804" s="1">
        <f t="shared" ca="1" si="340"/>
        <v>45641</v>
      </c>
      <c r="F1804" t="str">
        <f t="shared" ca="1" si="341"/>
        <v>Diabetes</v>
      </c>
      <c r="G1804" t="str">
        <f t="shared" ca="1" si="342"/>
        <v>Surgery</v>
      </c>
      <c r="H1804">
        <f t="shared" ca="1" si="343"/>
        <v>13</v>
      </c>
      <c r="I1804" t="str">
        <f t="shared" ca="1" si="344"/>
        <v>No</v>
      </c>
      <c r="J1804">
        <f t="shared" ca="1" si="345"/>
        <v>0</v>
      </c>
      <c r="K1804" t="str">
        <f t="shared" ca="1" si="346"/>
        <v>Public</v>
      </c>
      <c r="L1804" t="str">
        <f t="shared" ca="1" si="347"/>
        <v>Neurology</v>
      </c>
    </row>
    <row r="1805" spans="1:12" x14ac:dyDescent="0.25">
      <c r="A1805">
        <f t="shared" si="336"/>
        <v>1804</v>
      </c>
      <c r="B1805">
        <f t="shared" ca="1" si="337"/>
        <v>83</v>
      </c>
      <c r="C1805" t="str">
        <f t="shared" ca="1" si="338"/>
        <v>Female</v>
      </c>
      <c r="D1805" s="1">
        <f t="shared" ca="1" si="339"/>
        <v>45429</v>
      </c>
      <c r="E1805" s="1">
        <f t="shared" ca="1" si="340"/>
        <v>45435</v>
      </c>
      <c r="F1805" t="str">
        <f t="shared" ca="1" si="341"/>
        <v>Stroke</v>
      </c>
      <c r="G1805" t="str">
        <f t="shared" ca="1" si="342"/>
        <v>Surgery</v>
      </c>
      <c r="H1805">
        <f t="shared" ca="1" si="343"/>
        <v>6</v>
      </c>
      <c r="I1805" t="str">
        <f t="shared" ca="1" si="344"/>
        <v>No</v>
      </c>
      <c r="J1805">
        <f t="shared" ca="1" si="345"/>
        <v>4</v>
      </c>
      <c r="K1805" t="str">
        <f t="shared" ca="1" si="346"/>
        <v>Private</v>
      </c>
      <c r="L1805" t="str">
        <f t="shared" ca="1" si="347"/>
        <v>ICU</v>
      </c>
    </row>
    <row r="1806" spans="1:12" x14ac:dyDescent="0.25">
      <c r="A1806">
        <f t="shared" si="336"/>
        <v>1805</v>
      </c>
      <c r="B1806">
        <f t="shared" ca="1" si="337"/>
        <v>75</v>
      </c>
      <c r="C1806" t="str">
        <f t="shared" ca="1" si="338"/>
        <v>Female</v>
      </c>
      <c r="D1806" s="1">
        <f t="shared" ca="1" si="339"/>
        <v>45448</v>
      </c>
      <c r="E1806" s="1">
        <f t="shared" ca="1" si="340"/>
        <v>45461</v>
      </c>
      <c r="F1806" t="str">
        <f t="shared" ca="1" si="341"/>
        <v>Heart Failure</v>
      </c>
      <c r="G1806" t="str">
        <f t="shared" ca="1" si="342"/>
        <v>Medication</v>
      </c>
      <c r="H1806">
        <f t="shared" ca="1" si="343"/>
        <v>13</v>
      </c>
      <c r="I1806" t="str">
        <f t="shared" ca="1" si="344"/>
        <v>No</v>
      </c>
      <c r="J1806">
        <f t="shared" ca="1" si="345"/>
        <v>0</v>
      </c>
      <c r="K1806" t="str">
        <f t="shared" ca="1" si="346"/>
        <v>None</v>
      </c>
      <c r="L1806" t="str">
        <f t="shared" ca="1" si="347"/>
        <v>ICU</v>
      </c>
    </row>
    <row r="1807" spans="1:12" x14ac:dyDescent="0.25">
      <c r="A1807">
        <f t="shared" si="336"/>
        <v>1806</v>
      </c>
      <c r="B1807">
        <f t="shared" ca="1" si="337"/>
        <v>20</v>
      </c>
      <c r="C1807" t="str">
        <f t="shared" ca="1" si="338"/>
        <v>Female</v>
      </c>
      <c r="D1807" s="1">
        <f t="shared" ca="1" si="339"/>
        <v>45472</v>
      </c>
      <c r="E1807" s="1">
        <f t="shared" ca="1" si="340"/>
        <v>45487</v>
      </c>
      <c r="F1807" t="str">
        <f t="shared" ca="1" si="341"/>
        <v>Diabetes</v>
      </c>
      <c r="G1807" t="str">
        <f t="shared" ca="1" si="342"/>
        <v>Therapy</v>
      </c>
      <c r="H1807">
        <f t="shared" ca="1" si="343"/>
        <v>15</v>
      </c>
      <c r="I1807" t="str">
        <f t="shared" ca="1" si="344"/>
        <v>No</v>
      </c>
      <c r="J1807">
        <f t="shared" ca="1" si="345"/>
        <v>4</v>
      </c>
      <c r="K1807" t="str">
        <f t="shared" ca="1" si="346"/>
        <v>Public</v>
      </c>
      <c r="L1807" t="str">
        <f t="shared" ca="1" si="347"/>
        <v>ICU</v>
      </c>
    </row>
    <row r="1808" spans="1:12" x14ac:dyDescent="0.25">
      <c r="A1808">
        <f t="shared" si="336"/>
        <v>1807</v>
      </c>
      <c r="B1808">
        <f t="shared" ca="1" si="337"/>
        <v>44</v>
      </c>
      <c r="C1808" t="str">
        <f t="shared" ca="1" si="338"/>
        <v>Male</v>
      </c>
      <c r="D1808" s="1">
        <f t="shared" ca="1" si="339"/>
        <v>45434</v>
      </c>
      <c r="E1808" s="1">
        <f t="shared" ca="1" si="340"/>
        <v>45437</v>
      </c>
      <c r="F1808" t="str">
        <f t="shared" ca="1" si="341"/>
        <v>Heart Failure</v>
      </c>
      <c r="G1808" t="str">
        <f t="shared" ca="1" si="342"/>
        <v>Surgery</v>
      </c>
      <c r="H1808">
        <f t="shared" ca="1" si="343"/>
        <v>3</v>
      </c>
      <c r="I1808" t="str">
        <f t="shared" ca="1" si="344"/>
        <v>No</v>
      </c>
      <c r="J1808">
        <f t="shared" ca="1" si="345"/>
        <v>0</v>
      </c>
      <c r="K1808" t="str">
        <f t="shared" ca="1" si="346"/>
        <v>Public</v>
      </c>
      <c r="L1808" t="str">
        <f t="shared" ca="1" si="347"/>
        <v>Cardiology</v>
      </c>
    </row>
    <row r="1809" spans="1:12" x14ac:dyDescent="0.25">
      <c r="A1809">
        <f t="shared" si="336"/>
        <v>1808</v>
      </c>
      <c r="B1809">
        <f t="shared" ca="1" si="337"/>
        <v>72</v>
      </c>
      <c r="C1809" t="str">
        <f t="shared" ca="1" si="338"/>
        <v>Male</v>
      </c>
      <c r="D1809" s="1">
        <f t="shared" ca="1" si="339"/>
        <v>45574</v>
      </c>
      <c r="E1809" s="1">
        <f t="shared" ca="1" si="340"/>
        <v>45576</v>
      </c>
      <c r="F1809" t="str">
        <f t="shared" ca="1" si="341"/>
        <v>Pneumonia</v>
      </c>
      <c r="G1809" t="str">
        <f t="shared" ca="1" si="342"/>
        <v>Surgery</v>
      </c>
      <c r="H1809">
        <f t="shared" ca="1" si="343"/>
        <v>2</v>
      </c>
      <c r="I1809" t="str">
        <f t="shared" ca="1" si="344"/>
        <v>Yes</v>
      </c>
      <c r="J1809">
        <f t="shared" ca="1" si="345"/>
        <v>2</v>
      </c>
      <c r="K1809" t="str">
        <f t="shared" ca="1" si="346"/>
        <v>Public</v>
      </c>
      <c r="L1809" t="str">
        <f t="shared" ca="1" si="347"/>
        <v>Neurology</v>
      </c>
    </row>
    <row r="1810" spans="1:12" x14ac:dyDescent="0.25">
      <c r="A1810">
        <f t="shared" si="336"/>
        <v>1809</v>
      </c>
      <c r="B1810">
        <f t="shared" ca="1" si="337"/>
        <v>56</v>
      </c>
      <c r="C1810" t="str">
        <f t="shared" ca="1" si="338"/>
        <v>Female</v>
      </c>
      <c r="D1810" s="1">
        <f t="shared" ca="1" si="339"/>
        <v>45607</v>
      </c>
      <c r="E1810" s="1">
        <f t="shared" ca="1" si="340"/>
        <v>45621</v>
      </c>
      <c r="F1810" t="str">
        <f t="shared" ca="1" si="341"/>
        <v>Stroke</v>
      </c>
      <c r="G1810" t="str">
        <f t="shared" ca="1" si="342"/>
        <v>Medication</v>
      </c>
      <c r="H1810">
        <f t="shared" ca="1" si="343"/>
        <v>14</v>
      </c>
      <c r="I1810" t="str">
        <f t="shared" ca="1" si="344"/>
        <v>No</v>
      </c>
      <c r="J1810">
        <f t="shared" ca="1" si="345"/>
        <v>4</v>
      </c>
      <c r="K1810" t="str">
        <f t="shared" ca="1" si="346"/>
        <v>Private</v>
      </c>
      <c r="L1810" t="str">
        <f t="shared" ca="1" si="347"/>
        <v>ER</v>
      </c>
    </row>
    <row r="1811" spans="1:12" x14ac:dyDescent="0.25">
      <c r="A1811">
        <f t="shared" si="336"/>
        <v>1810</v>
      </c>
      <c r="B1811">
        <f t="shared" ca="1" si="337"/>
        <v>29</v>
      </c>
      <c r="C1811" t="str">
        <f t="shared" ca="1" si="338"/>
        <v>Male</v>
      </c>
      <c r="D1811" s="1">
        <f t="shared" ca="1" si="339"/>
        <v>45403</v>
      </c>
      <c r="E1811" s="1">
        <f t="shared" ca="1" si="340"/>
        <v>45404</v>
      </c>
      <c r="F1811" t="str">
        <f t="shared" ca="1" si="341"/>
        <v>Diabetes</v>
      </c>
      <c r="G1811" t="str">
        <f t="shared" ca="1" si="342"/>
        <v>Therapy</v>
      </c>
      <c r="H1811">
        <f t="shared" ca="1" si="343"/>
        <v>1</v>
      </c>
      <c r="I1811" t="str">
        <f t="shared" ca="1" si="344"/>
        <v>No</v>
      </c>
      <c r="J1811">
        <f t="shared" ca="1" si="345"/>
        <v>1</v>
      </c>
      <c r="K1811" t="str">
        <f t="shared" ca="1" si="346"/>
        <v>None</v>
      </c>
      <c r="L1811" t="str">
        <f t="shared" ca="1" si="347"/>
        <v>ER</v>
      </c>
    </row>
    <row r="1812" spans="1:12" x14ac:dyDescent="0.25">
      <c r="A1812">
        <f t="shared" si="336"/>
        <v>1811</v>
      </c>
      <c r="B1812">
        <f t="shared" ca="1" si="337"/>
        <v>29</v>
      </c>
      <c r="C1812" t="str">
        <f t="shared" ca="1" si="338"/>
        <v>Female</v>
      </c>
      <c r="D1812" s="1">
        <f t="shared" ca="1" si="339"/>
        <v>45391</v>
      </c>
      <c r="E1812" s="1">
        <f t="shared" ca="1" si="340"/>
        <v>45393</v>
      </c>
      <c r="F1812" t="str">
        <f t="shared" ca="1" si="341"/>
        <v>Hypertension</v>
      </c>
      <c r="G1812" t="str">
        <f t="shared" ca="1" si="342"/>
        <v>Surgery</v>
      </c>
      <c r="H1812">
        <f t="shared" ca="1" si="343"/>
        <v>2</v>
      </c>
      <c r="I1812" t="str">
        <f t="shared" ca="1" si="344"/>
        <v>No</v>
      </c>
      <c r="J1812">
        <f t="shared" ca="1" si="345"/>
        <v>3</v>
      </c>
      <c r="K1812" t="str">
        <f t="shared" ca="1" si="346"/>
        <v>Private</v>
      </c>
      <c r="L1812" t="str">
        <f t="shared" ca="1" si="347"/>
        <v>Neurology</v>
      </c>
    </row>
    <row r="1813" spans="1:12" x14ac:dyDescent="0.25">
      <c r="A1813">
        <f t="shared" si="336"/>
        <v>1812</v>
      </c>
      <c r="B1813">
        <f t="shared" ca="1" si="337"/>
        <v>87</v>
      </c>
      <c r="C1813" t="str">
        <f t="shared" ca="1" si="338"/>
        <v>Male</v>
      </c>
      <c r="D1813" s="1">
        <f t="shared" ca="1" si="339"/>
        <v>45603</v>
      </c>
      <c r="E1813" s="1">
        <f t="shared" ca="1" si="340"/>
        <v>45613</v>
      </c>
      <c r="F1813" t="str">
        <f t="shared" ca="1" si="341"/>
        <v>Pneumonia</v>
      </c>
      <c r="G1813" t="str">
        <f t="shared" ca="1" si="342"/>
        <v>Surgery</v>
      </c>
      <c r="H1813">
        <f t="shared" ca="1" si="343"/>
        <v>10</v>
      </c>
      <c r="I1813" t="str">
        <f t="shared" ca="1" si="344"/>
        <v>Yes</v>
      </c>
      <c r="J1813">
        <f t="shared" ca="1" si="345"/>
        <v>0</v>
      </c>
      <c r="K1813" t="str">
        <f t="shared" ca="1" si="346"/>
        <v>Public</v>
      </c>
      <c r="L1813" t="str">
        <f t="shared" ca="1" si="347"/>
        <v>ER</v>
      </c>
    </row>
    <row r="1814" spans="1:12" x14ac:dyDescent="0.25">
      <c r="A1814">
        <f t="shared" si="336"/>
        <v>1813</v>
      </c>
      <c r="B1814">
        <f t="shared" ca="1" si="337"/>
        <v>24</v>
      </c>
      <c r="C1814" t="str">
        <f t="shared" ca="1" si="338"/>
        <v>Male</v>
      </c>
      <c r="D1814" s="1">
        <f t="shared" ca="1" si="339"/>
        <v>45508</v>
      </c>
      <c r="E1814" s="1">
        <f t="shared" ca="1" si="340"/>
        <v>45510</v>
      </c>
      <c r="F1814" t="str">
        <f t="shared" ca="1" si="341"/>
        <v>Diabetes</v>
      </c>
      <c r="G1814" t="str">
        <f t="shared" ca="1" si="342"/>
        <v>Surgery</v>
      </c>
      <c r="H1814">
        <f t="shared" ca="1" si="343"/>
        <v>2</v>
      </c>
      <c r="I1814" t="str">
        <f t="shared" ca="1" si="344"/>
        <v>No</v>
      </c>
      <c r="J1814">
        <f t="shared" ca="1" si="345"/>
        <v>3</v>
      </c>
      <c r="K1814" t="str">
        <f t="shared" ca="1" si="346"/>
        <v>Public</v>
      </c>
      <c r="L1814" t="str">
        <f t="shared" ca="1" si="347"/>
        <v>ER</v>
      </c>
    </row>
    <row r="1815" spans="1:12" x14ac:dyDescent="0.25">
      <c r="A1815">
        <f t="shared" si="336"/>
        <v>1814</v>
      </c>
      <c r="B1815">
        <f t="shared" ca="1" si="337"/>
        <v>62</v>
      </c>
      <c r="C1815" t="str">
        <f t="shared" ca="1" si="338"/>
        <v>Female</v>
      </c>
      <c r="D1815" s="1">
        <f t="shared" ca="1" si="339"/>
        <v>45654</v>
      </c>
      <c r="E1815" s="1">
        <f t="shared" ca="1" si="340"/>
        <v>45662</v>
      </c>
      <c r="F1815" t="str">
        <f t="shared" ca="1" si="341"/>
        <v>Diabetes</v>
      </c>
      <c r="G1815" t="str">
        <f t="shared" ca="1" si="342"/>
        <v>Surgery</v>
      </c>
      <c r="H1815">
        <f t="shared" ca="1" si="343"/>
        <v>8</v>
      </c>
      <c r="I1815" t="str">
        <f t="shared" ca="1" si="344"/>
        <v>No</v>
      </c>
      <c r="J1815">
        <f t="shared" ca="1" si="345"/>
        <v>3</v>
      </c>
      <c r="K1815" t="str">
        <f t="shared" ca="1" si="346"/>
        <v>Public</v>
      </c>
      <c r="L1815" t="str">
        <f t="shared" ca="1" si="347"/>
        <v>General</v>
      </c>
    </row>
    <row r="1816" spans="1:12" x14ac:dyDescent="0.25">
      <c r="A1816">
        <f t="shared" si="336"/>
        <v>1815</v>
      </c>
      <c r="B1816">
        <f t="shared" ca="1" si="337"/>
        <v>70</v>
      </c>
      <c r="C1816" t="str">
        <f t="shared" ca="1" si="338"/>
        <v>Female</v>
      </c>
      <c r="D1816" s="1">
        <f t="shared" ca="1" si="339"/>
        <v>45431</v>
      </c>
      <c r="E1816" s="1">
        <f t="shared" ca="1" si="340"/>
        <v>45437</v>
      </c>
      <c r="F1816" t="str">
        <f t="shared" ca="1" si="341"/>
        <v>Stroke</v>
      </c>
      <c r="G1816" t="str">
        <f t="shared" ca="1" si="342"/>
        <v>Medication</v>
      </c>
      <c r="H1816">
        <f t="shared" ca="1" si="343"/>
        <v>6</v>
      </c>
      <c r="I1816" t="str">
        <f t="shared" ca="1" si="344"/>
        <v>No</v>
      </c>
      <c r="J1816">
        <f t="shared" ca="1" si="345"/>
        <v>3</v>
      </c>
      <c r="K1816" t="str">
        <f t="shared" ca="1" si="346"/>
        <v>None</v>
      </c>
      <c r="L1816" t="str">
        <f t="shared" ca="1" si="347"/>
        <v>ER</v>
      </c>
    </row>
    <row r="1817" spans="1:12" x14ac:dyDescent="0.25">
      <c r="A1817">
        <f t="shared" si="336"/>
        <v>1816</v>
      </c>
      <c r="B1817">
        <f t="shared" ca="1" si="337"/>
        <v>50</v>
      </c>
      <c r="C1817" t="str">
        <f t="shared" ca="1" si="338"/>
        <v>Female</v>
      </c>
      <c r="D1817" s="1">
        <f t="shared" ca="1" si="339"/>
        <v>45425</v>
      </c>
      <c r="E1817" s="1">
        <f t="shared" ca="1" si="340"/>
        <v>45427</v>
      </c>
      <c r="F1817" t="str">
        <f t="shared" ca="1" si="341"/>
        <v>Stroke</v>
      </c>
      <c r="G1817" t="str">
        <f t="shared" ca="1" si="342"/>
        <v>Therapy</v>
      </c>
      <c r="H1817">
        <f t="shared" ca="1" si="343"/>
        <v>2</v>
      </c>
      <c r="I1817" t="str">
        <f t="shared" ca="1" si="344"/>
        <v>Yes</v>
      </c>
      <c r="J1817">
        <f t="shared" ca="1" si="345"/>
        <v>2</v>
      </c>
      <c r="K1817" t="str">
        <f t="shared" ca="1" si="346"/>
        <v>Private</v>
      </c>
      <c r="L1817" t="str">
        <f t="shared" ca="1" si="347"/>
        <v>ER</v>
      </c>
    </row>
    <row r="1818" spans="1:12" x14ac:dyDescent="0.25">
      <c r="A1818">
        <f t="shared" si="336"/>
        <v>1817</v>
      </c>
      <c r="B1818">
        <f t="shared" ca="1" si="337"/>
        <v>81</v>
      </c>
      <c r="C1818" t="str">
        <f t="shared" ca="1" si="338"/>
        <v>Male</v>
      </c>
      <c r="D1818" s="1">
        <f t="shared" ca="1" si="339"/>
        <v>45334</v>
      </c>
      <c r="E1818" s="1">
        <f t="shared" ca="1" si="340"/>
        <v>45339</v>
      </c>
      <c r="F1818" t="str">
        <f t="shared" ca="1" si="341"/>
        <v>Hypertension</v>
      </c>
      <c r="G1818" t="str">
        <f t="shared" ca="1" si="342"/>
        <v>Medication</v>
      </c>
      <c r="H1818">
        <f t="shared" ca="1" si="343"/>
        <v>5</v>
      </c>
      <c r="I1818" t="str">
        <f t="shared" ca="1" si="344"/>
        <v>No</v>
      </c>
      <c r="J1818">
        <f t="shared" ca="1" si="345"/>
        <v>2</v>
      </c>
      <c r="K1818" t="str">
        <f t="shared" ca="1" si="346"/>
        <v>None</v>
      </c>
      <c r="L1818" t="str">
        <f t="shared" ca="1" si="347"/>
        <v>ER</v>
      </c>
    </row>
    <row r="1819" spans="1:12" x14ac:dyDescent="0.25">
      <c r="A1819">
        <f t="shared" si="336"/>
        <v>1818</v>
      </c>
      <c r="B1819">
        <f t="shared" ca="1" si="337"/>
        <v>46</v>
      </c>
      <c r="C1819" t="str">
        <f t="shared" ca="1" si="338"/>
        <v>Female</v>
      </c>
      <c r="D1819" s="1">
        <f t="shared" ca="1" si="339"/>
        <v>45628</v>
      </c>
      <c r="E1819" s="1">
        <f t="shared" ca="1" si="340"/>
        <v>45633</v>
      </c>
      <c r="F1819" t="str">
        <f t="shared" ca="1" si="341"/>
        <v>Pneumonia</v>
      </c>
      <c r="G1819" t="str">
        <f t="shared" ca="1" si="342"/>
        <v>Therapy</v>
      </c>
      <c r="H1819">
        <f t="shared" ca="1" si="343"/>
        <v>5</v>
      </c>
      <c r="I1819" t="str">
        <f t="shared" ca="1" si="344"/>
        <v>Yes</v>
      </c>
      <c r="J1819">
        <f t="shared" ca="1" si="345"/>
        <v>1</v>
      </c>
      <c r="K1819" t="str">
        <f t="shared" ca="1" si="346"/>
        <v>None</v>
      </c>
      <c r="L1819" t="str">
        <f t="shared" ca="1" si="347"/>
        <v>General</v>
      </c>
    </row>
    <row r="1820" spans="1:12" x14ac:dyDescent="0.25">
      <c r="A1820">
        <f t="shared" si="336"/>
        <v>1819</v>
      </c>
      <c r="B1820">
        <f t="shared" ca="1" si="337"/>
        <v>62</v>
      </c>
      <c r="C1820" t="str">
        <f t="shared" ca="1" si="338"/>
        <v>Female</v>
      </c>
      <c r="D1820" s="1">
        <f t="shared" ca="1" si="339"/>
        <v>45395</v>
      </c>
      <c r="E1820" s="1">
        <f t="shared" ca="1" si="340"/>
        <v>45399</v>
      </c>
      <c r="F1820" t="str">
        <f t="shared" ca="1" si="341"/>
        <v>Hypertension</v>
      </c>
      <c r="G1820" t="str">
        <f t="shared" ca="1" si="342"/>
        <v>Therapy</v>
      </c>
      <c r="H1820">
        <f t="shared" ca="1" si="343"/>
        <v>4</v>
      </c>
      <c r="I1820" t="str">
        <f t="shared" ca="1" si="344"/>
        <v>Yes</v>
      </c>
      <c r="J1820">
        <f t="shared" ca="1" si="345"/>
        <v>2</v>
      </c>
      <c r="K1820" t="str">
        <f t="shared" ca="1" si="346"/>
        <v>Private</v>
      </c>
      <c r="L1820" t="str">
        <f t="shared" ca="1" si="347"/>
        <v>General</v>
      </c>
    </row>
    <row r="1821" spans="1:12" x14ac:dyDescent="0.25">
      <c r="A1821">
        <f t="shared" si="336"/>
        <v>1820</v>
      </c>
      <c r="B1821">
        <f t="shared" ca="1" si="337"/>
        <v>44</v>
      </c>
      <c r="C1821" t="str">
        <f t="shared" ca="1" si="338"/>
        <v>Female</v>
      </c>
      <c r="D1821" s="1">
        <f t="shared" ca="1" si="339"/>
        <v>45346</v>
      </c>
      <c r="E1821" s="1">
        <f t="shared" ca="1" si="340"/>
        <v>45351</v>
      </c>
      <c r="F1821" t="str">
        <f t="shared" ca="1" si="341"/>
        <v>Heart Failure</v>
      </c>
      <c r="G1821" t="str">
        <f t="shared" ca="1" si="342"/>
        <v>Medication</v>
      </c>
      <c r="H1821">
        <f t="shared" ca="1" si="343"/>
        <v>5</v>
      </c>
      <c r="I1821" t="str">
        <f t="shared" ca="1" si="344"/>
        <v>No</v>
      </c>
      <c r="J1821">
        <f t="shared" ca="1" si="345"/>
        <v>0</v>
      </c>
      <c r="K1821" t="str">
        <f t="shared" ca="1" si="346"/>
        <v>Public</v>
      </c>
      <c r="L1821" t="str">
        <f t="shared" ca="1" si="347"/>
        <v>General</v>
      </c>
    </row>
    <row r="1822" spans="1:12" x14ac:dyDescent="0.25">
      <c r="A1822">
        <f t="shared" si="336"/>
        <v>1821</v>
      </c>
      <c r="B1822">
        <f t="shared" ca="1" si="337"/>
        <v>39</v>
      </c>
      <c r="C1822" t="str">
        <f t="shared" ca="1" si="338"/>
        <v>Female</v>
      </c>
      <c r="D1822" s="1">
        <f t="shared" ca="1" si="339"/>
        <v>45588</v>
      </c>
      <c r="E1822" s="1">
        <f t="shared" ca="1" si="340"/>
        <v>45600</v>
      </c>
      <c r="F1822" t="str">
        <f t="shared" ca="1" si="341"/>
        <v>Heart Failure</v>
      </c>
      <c r="G1822" t="str">
        <f t="shared" ca="1" si="342"/>
        <v>Therapy</v>
      </c>
      <c r="H1822">
        <f t="shared" ca="1" si="343"/>
        <v>12</v>
      </c>
      <c r="I1822" t="str">
        <f t="shared" ca="1" si="344"/>
        <v>No</v>
      </c>
      <c r="J1822">
        <f t="shared" ca="1" si="345"/>
        <v>1</v>
      </c>
      <c r="K1822" t="str">
        <f t="shared" ca="1" si="346"/>
        <v>Public</v>
      </c>
      <c r="L1822" t="str">
        <f t="shared" ca="1" si="347"/>
        <v>Neurology</v>
      </c>
    </row>
    <row r="1823" spans="1:12" x14ac:dyDescent="0.25">
      <c r="A1823">
        <f t="shared" si="336"/>
        <v>1822</v>
      </c>
      <c r="B1823">
        <f t="shared" ca="1" si="337"/>
        <v>56</v>
      </c>
      <c r="C1823" t="str">
        <f t="shared" ca="1" si="338"/>
        <v>Male</v>
      </c>
      <c r="D1823" s="1">
        <f t="shared" ca="1" si="339"/>
        <v>45619</v>
      </c>
      <c r="E1823" s="1">
        <f t="shared" ca="1" si="340"/>
        <v>45625</v>
      </c>
      <c r="F1823" t="str">
        <f t="shared" ca="1" si="341"/>
        <v>Heart Failure</v>
      </c>
      <c r="G1823" t="str">
        <f t="shared" ca="1" si="342"/>
        <v>Medication</v>
      </c>
      <c r="H1823">
        <f t="shared" ca="1" si="343"/>
        <v>6</v>
      </c>
      <c r="I1823" t="str">
        <f t="shared" ca="1" si="344"/>
        <v>No</v>
      </c>
      <c r="J1823">
        <f t="shared" ca="1" si="345"/>
        <v>3</v>
      </c>
      <c r="K1823" t="str">
        <f t="shared" ca="1" si="346"/>
        <v>None</v>
      </c>
      <c r="L1823" t="str">
        <f t="shared" ca="1" si="347"/>
        <v>Neurology</v>
      </c>
    </row>
    <row r="1824" spans="1:12" x14ac:dyDescent="0.25">
      <c r="A1824">
        <f t="shared" si="336"/>
        <v>1823</v>
      </c>
      <c r="B1824">
        <f t="shared" ca="1" si="337"/>
        <v>34</v>
      </c>
      <c r="C1824" t="str">
        <f t="shared" ca="1" si="338"/>
        <v>Male</v>
      </c>
      <c r="D1824" s="1">
        <f t="shared" ca="1" si="339"/>
        <v>45409</v>
      </c>
      <c r="E1824" s="1">
        <f t="shared" ca="1" si="340"/>
        <v>45420</v>
      </c>
      <c r="F1824" t="str">
        <f t="shared" ca="1" si="341"/>
        <v>Diabetes</v>
      </c>
      <c r="G1824" t="str">
        <f t="shared" ca="1" si="342"/>
        <v>Medication</v>
      </c>
      <c r="H1824">
        <f t="shared" ca="1" si="343"/>
        <v>11</v>
      </c>
      <c r="I1824" t="str">
        <f t="shared" ca="1" si="344"/>
        <v>Yes</v>
      </c>
      <c r="J1824">
        <f t="shared" ca="1" si="345"/>
        <v>0</v>
      </c>
      <c r="K1824" t="str">
        <f t="shared" ca="1" si="346"/>
        <v>None</v>
      </c>
      <c r="L1824" t="str">
        <f t="shared" ca="1" si="347"/>
        <v>General</v>
      </c>
    </row>
    <row r="1825" spans="1:12" x14ac:dyDescent="0.25">
      <c r="A1825">
        <f t="shared" si="336"/>
        <v>1824</v>
      </c>
      <c r="B1825">
        <f t="shared" ca="1" si="337"/>
        <v>36</v>
      </c>
      <c r="C1825" t="str">
        <f t="shared" ca="1" si="338"/>
        <v>Male</v>
      </c>
      <c r="D1825" s="1">
        <f t="shared" ca="1" si="339"/>
        <v>45411</v>
      </c>
      <c r="E1825" s="1">
        <f t="shared" ca="1" si="340"/>
        <v>45412</v>
      </c>
      <c r="F1825" t="str">
        <f t="shared" ca="1" si="341"/>
        <v>Diabetes</v>
      </c>
      <c r="G1825" t="str">
        <f t="shared" ca="1" si="342"/>
        <v>Medication</v>
      </c>
      <c r="H1825">
        <f t="shared" ca="1" si="343"/>
        <v>1</v>
      </c>
      <c r="I1825" t="str">
        <f t="shared" ca="1" si="344"/>
        <v>Yes</v>
      </c>
      <c r="J1825">
        <f t="shared" ca="1" si="345"/>
        <v>4</v>
      </c>
      <c r="K1825" t="str">
        <f t="shared" ca="1" si="346"/>
        <v>None</v>
      </c>
      <c r="L1825" t="str">
        <f t="shared" ca="1" si="347"/>
        <v>General</v>
      </c>
    </row>
    <row r="1826" spans="1:12" x14ac:dyDescent="0.25">
      <c r="A1826">
        <f t="shared" si="336"/>
        <v>1825</v>
      </c>
      <c r="B1826">
        <f t="shared" ca="1" si="337"/>
        <v>38</v>
      </c>
      <c r="C1826" t="str">
        <f t="shared" ca="1" si="338"/>
        <v>Female</v>
      </c>
      <c r="D1826" s="1">
        <f t="shared" ca="1" si="339"/>
        <v>45384</v>
      </c>
      <c r="E1826" s="1">
        <f t="shared" ca="1" si="340"/>
        <v>45395</v>
      </c>
      <c r="F1826" t="str">
        <f t="shared" ca="1" si="341"/>
        <v>Diabetes</v>
      </c>
      <c r="G1826" t="str">
        <f t="shared" ca="1" si="342"/>
        <v>Therapy</v>
      </c>
      <c r="H1826">
        <f t="shared" ca="1" si="343"/>
        <v>11</v>
      </c>
      <c r="I1826" t="str">
        <f t="shared" ca="1" si="344"/>
        <v>No</v>
      </c>
      <c r="J1826">
        <f t="shared" ca="1" si="345"/>
        <v>1</v>
      </c>
      <c r="K1826" t="str">
        <f t="shared" ca="1" si="346"/>
        <v>None</v>
      </c>
      <c r="L1826" t="str">
        <f t="shared" ca="1" si="347"/>
        <v>ER</v>
      </c>
    </row>
    <row r="1827" spans="1:12" x14ac:dyDescent="0.25">
      <c r="A1827">
        <f t="shared" si="336"/>
        <v>1826</v>
      </c>
      <c r="B1827">
        <f t="shared" ca="1" si="337"/>
        <v>84</v>
      </c>
      <c r="C1827" t="str">
        <f t="shared" ca="1" si="338"/>
        <v>Male</v>
      </c>
      <c r="D1827" s="1">
        <f t="shared" ca="1" si="339"/>
        <v>45419</v>
      </c>
      <c r="E1827" s="1">
        <f t="shared" ca="1" si="340"/>
        <v>45430</v>
      </c>
      <c r="F1827" t="str">
        <f t="shared" ca="1" si="341"/>
        <v>Pneumonia</v>
      </c>
      <c r="G1827" t="str">
        <f t="shared" ca="1" si="342"/>
        <v>Surgery</v>
      </c>
      <c r="H1827">
        <f t="shared" ca="1" si="343"/>
        <v>11</v>
      </c>
      <c r="I1827" t="str">
        <f t="shared" ca="1" si="344"/>
        <v>No</v>
      </c>
      <c r="J1827">
        <f t="shared" ca="1" si="345"/>
        <v>0</v>
      </c>
      <c r="K1827" t="str">
        <f t="shared" ca="1" si="346"/>
        <v>Public</v>
      </c>
      <c r="L1827" t="str">
        <f t="shared" ca="1" si="347"/>
        <v>ER</v>
      </c>
    </row>
    <row r="1828" spans="1:12" x14ac:dyDescent="0.25">
      <c r="A1828">
        <f t="shared" si="336"/>
        <v>1827</v>
      </c>
      <c r="B1828">
        <f t="shared" ca="1" si="337"/>
        <v>51</v>
      </c>
      <c r="C1828" t="str">
        <f t="shared" ca="1" si="338"/>
        <v>Female</v>
      </c>
      <c r="D1828" s="1">
        <f t="shared" ca="1" si="339"/>
        <v>45547</v>
      </c>
      <c r="E1828" s="1">
        <f t="shared" ca="1" si="340"/>
        <v>45549</v>
      </c>
      <c r="F1828" t="str">
        <f t="shared" ca="1" si="341"/>
        <v>Diabetes</v>
      </c>
      <c r="G1828" t="str">
        <f t="shared" ca="1" si="342"/>
        <v>Medication</v>
      </c>
      <c r="H1828">
        <f t="shared" ca="1" si="343"/>
        <v>2</v>
      </c>
      <c r="I1828" t="str">
        <f t="shared" ca="1" si="344"/>
        <v>No</v>
      </c>
      <c r="J1828">
        <f t="shared" ca="1" si="345"/>
        <v>3</v>
      </c>
      <c r="K1828" t="str">
        <f t="shared" ca="1" si="346"/>
        <v>Private</v>
      </c>
      <c r="L1828" t="str">
        <f t="shared" ca="1" si="347"/>
        <v>Neurology</v>
      </c>
    </row>
    <row r="1829" spans="1:12" x14ac:dyDescent="0.25">
      <c r="A1829">
        <f t="shared" si="336"/>
        <v>1828</v>
      </c>
      <c r="B1829">
        <f t="shared" ca="1" si="337"/>
        <v>81</v>
      </c>
      <c r="C1829" t="str">
        <f t="shared" ca="1" si="338"/>
        <v>Male</v>
      </c>
      <c r="D1829" s="1">
        <f t="shared" ca="1" si="339"/>
        <v>45444</v>
      </c>
      <c r="E1829" s="1">
        <f t="shared" ca="1" si="340"/>
        <v>45450</v>
      </c>
      <c r="F1829" t="str">
        <f t="shared" ca="1" si="341"/>
        <v>Diabetes</v>
      </c>
      <c r="G1829" t="str">
        <f t="shared" ca="1" si="342"/>
        <v>Surgery</v>
      </c>
      <c r="H1829">
        <f t="shared" ca="1" si="343"/>
        <v>6</v>
      </c>
      <c r="I1829" t="str">
        <f t="shared" ca="1" si="344"/>
        <v>No</v>
      </c>
      <c r="J1829">
        <f t="shared" ca="1" si="345"/>
        <v>2</v>
      </c>
      <c r="K1829" t="str">
        <f t="shared" ca="1" si="346"/>
        <v>Public</v>
      </c>
      <c r="L1829" t="str">
        <f t="shared" ca="1" si="347"/>
        <v>Neurology</v>
      </c>
    </row>
    <row r="1830" spans="1:12" x14ac:dyDescent="0.25">
      <c r="A1830">
        <f t="shared" si="336"/>
        <v>1829</v>
      </c>
      <c r="B1830">
        <f t="shared" ca="1" si="337"/>
        <v>75</v>
      </c>
      <c r="C1830" t="str">
        <f t="shared" ca="1" si="338"/>
        <v>Male</v>
      </c>
      <c r="D1830" s="1">
        <f t="shared" ca="1" si="339"/>
        <v>45564</v>
      </c>
      <c r="E1830" s="1">
        <f t="shared" ca="1" si="340"/>
        <v>45576</v>
      </c>
      <c r="F1830" t="str">
        <f t="shared" ca="1" si="341"/>
        <v>Diabetes</v>
      </c>
      <c r="G1830" t="str">
        <f t="shared" ca="1" si="342"/>
        <v>Therapy</v>
      </c>
      <c r="H1830">
        <f t="shared" ca="1" si="343"/>
        <v>12</v>
      </c>
      <c r="I1830" t="str">
        <f t="shared" ca="1" si="344"/>
        <v>Yes</v>
      </c>
      <c r="J1830">
        <f t="shared" ca="1" si="345"/>
        <v>1</v>
      </c>
      <c r="K1830" t="str">
        <f t="shared" ca="1" si="346"/>
        <v>Public</v>
      </c>
      <c r="L1830" t="str">
        <f t="shared" ca="1" si="347"/>
        <v>Neurology</v>
      </c>
    </row>
    <row r="1831" spans="1:12" x14ac:dyDescent="0.25">
      <c r="A1831">
        <f t="shared" si="336"/>
        <v>1830</v>
      </c>
      <c r="B1831">
        <f t="shared" ca="1" si="337"/>
        <v>85</v>
      </c>
      <c r="C1831" t="str">
        <f t="shared" ca="1" si="338"/>
        <v>Female</v>
      </c>
      <c r="D1831" s="1">
        <f t="shared" ca="1" si="339"/>
        <v>45482</v>
      </c>
      <c r="E1831" s="1">
        <f t="shared" ca="1" si="340"/>
        <v>45483</v>
      </c>
      <c r="F1831" t="str">
        <f t="shared" ca="1" si="341"/>
        <v>Stroke</v>
      </c>
      <c r="G1831" t="str">
        <f t="shared" ca="1" si="342"/>
        <v>Medication</v>
      </c>
      <c r="H1831">
        <f t="shared" ca="1" si="343"/>
        <v>1</v>
      </c>
      <c r="I1831" t="str">
        <f t="shared" ca="1" si="344"/>
        <v>Yes</v>
      </c>
      <c r="J1831">
        <f t="shared" ca="1" si="345"/>
        <v>1</v>
      </c>
      <c r="K1831" t="str">
        <f t="shared" ca="1" si="346"/>
        <v>None</v>
      </c>
      <c r="L1831" t="str">
        <f t="shared" ca="1" si="347"/>
        <v>General</v>
      </c>
    </row>
    <row r="1832" spans="1:12" x14ac:dyDescent="0.25">
      <c r="A1832">
        <f t="shared" si="336"/>
        <v>1831</v>
      </c>
      <c r="B1832">
        <f t="shared" ca="1" si="337"/>
        <v>55</v>
      </c>
      <c r="C1832" t="str">
        <f t="shared" ca="1" si="338"/>
        <v>Male</v>
      </c>
      <c r="D1832" s="1">
        <f t="shared" ca="1" si="339"/>
        <v>45535</v>
      </c>
      <c r="E1832" s="1">
        <f t="shared" ca="1" si="340"/>
        <v>45537</v>
      </c>
      <c r="F1832" t="str">
        <f t="shared" ca="1" si="341"/>
        <v>Stroke</v>
      </c>
      <c r="G1832" t="str">
        <f t="shared" ca="1" si="342"/>
        <v>Surgery</v>
      </c>
      <c r="H1832">
        <f t="shared" ca="1" si="343"/>
        <v>2</v>
      </c>
      <c r="I1832" t="str">
        <f t="shared" ca="1" si="344"/>
        <v>Yes</v>
      </c>
      <c r="J1832">
        <f t="shared" ca="1" si="345"/>
        <v>0</v>
      </c>
      <c r="K1832" t="str">
        <f t="shared" ca="1" si="346"/>
        <v>Public</v>
      </c>
      <c r="L1832" t="str">
        <f t="shared" ca="1" si="347"/>
        <v>ICU</v>
      </c>
    </row>
    <row r="1833" spans="1:12" x14ac:dyDescent="0.25">
      <c r="A1833">
        <f t="shared" si="336"/>
        <v>1832</v>
      </c>
      <c r="B1833">
        <f t="shared" ca="1" si="337"/>
        <v>69</v>
      </c>
      <c r="C1833" t="str">
        <f t="shared" ca="1" si="338"/>
        <v>Female</v>
      </c>
      <c r="D1833" s="1">
        <f t="shared" ca="1" si="339"/>
        <v>45387</v>
      </c>
      <c r="E1833" s="1">
        <f t="shared" ca="1" si="340"/>
        <v>45395</v>
      </c>
      <c r="F1833" t="str">
        <f t="shared" ca="1" si="341"/>
        <v>Stroke</v>
      </c>
      <c r="G1833" t="str">
        <f t="shared" ca="1" si="342"/>
        <v>Surgery</v>
      </c>
      <c r="H1833">
        <f t="shared" ca="1" si="343"/>
        <v>8</v>
      </c>
      <c r="I1833" t="str">
        <f t="shared" ca="1" si="344"/>
        <v>No</v>
      </c>
      <c r="J1833">
        <f t="shared" ca="1" si="345"/>
        <v>0</v>
      </c>
      <c r="K1833" t="str">
        <f t="shared" ca="1" si="346"/>
        <v>None</v>
      </c>
      <c r="L1833" t="str">
        <f t="shared" ca="1" si="347"/>
        <v>ICU</v>
      </c>
    </row>
    <row r="1834" spans="1:12" x14ac:dyDescent="0.25">
      <c r="A1834">
        <f t="shared" si="336"/>
        <v>1833</v>
      </c>
      <c r="B1834">
        <f t="shared" ca="1" si="337"/>
        <v>67</v>
      </c>
      <c r="C1834" t="str">
        <f t="shared" ca="1" si="338"/>
        <v>Male</v>
      </c>
      <c r="D1834" s="1">
        <f t="shared" ca="1" si="339"/>
        <v>45401</v>
      </c>
      <c r="E1834" s="1">
        <f t="shared" ca="1" si="340"/>
        <v>45402</v>
      </c>
      <c r="F1834" t="str">
        <f t="shared" ca="1" si="341"/>
        <v>Pneumonia</v>
      </c>
      <c r="G1834" t="str">
        <f t="shared" ca="1" si="342"/>
        <v>Medication</v>
      </c>
      <c r="H1834">
        <f t="shared" ca="1" si="343"/>
        <v>1</v>
      </c>
      <c r="I1834" t="str">
        <f t="shared" ca="1" si="344"/>
        <v>No</v>
      </c>
      <c r="J1834">
        <f t="shared" ca="1" si="345"/>
        <v>2</v>
      </c>
      <c r="K1834" t="str">
        <f t="shared" ca="1" si="346"/>
        <v>Public</v>
      </c>
      <c r="L1834" t="str">
        <f t="shared" ca="1" si="347"/>
        <v>Cardiology</v>
      </c>
    </row>
    <row r="1835" spans="1:12" x14ac:dyDescent="0.25">
      <c r="A1835">
        <f t="shared" si="336"/>
        <v>1834</v>
      </c>
      <c r="B1835">
        <f t="shared" ca="1" si="337"/>
        <v>36</v>
      </c>
      <c r="C1835" t="str">
        <f t="shared" ca="1" si="338"/>
        <v>Male</v>
      </c>
      <c r="D1835" s="1">
        <f t="shared" ca="1" si="339"/>
        <v>45333</v>
      </c>
      <c r="E1835" s="1">
        <f t="shared" ca="1" si="340"/>
        <v>45345</v>
      </c>
      <c r="F1835" t="str">
        <f t="shared" ca="1" si="341"/>
        <v>Hypertension</v>
      </c>
      <c r="G1835" t="str">
        <f t="shared" ca="1" si="342"/>
        <v>Surgery</v>
      </c>
      <c r="H1835">
        <f t="shared" ca="1" si="343"/>
        <v>12</v>
      </c>
      <c r="I1835" t="str">
        <f t="shared" ca="1" si="344"/>
        <v>Yes</v>
      </c>
      <c r="J1835">
        <f t="shared" ca="1" si="345"/>
        <v>3</v>
      </c>
      <c r="K1835" t="str">
        <f t="shared" ca="1" si="346"/>
        <v>Public</v>
      </c>
      <c r="L1835" t="str">
        <f t="shared" ca="1" si="347"/>
        <v>Neurology</v>
      </c>
    </row>
    <row r="1836" spans="1:12" x14ac:dyDescent="0.25">
      <c r="A1836">
        <f t="shared" si="336"/>
        <v>1835</v>
      </c>
      <c r="B1836">
        <f t="shared" ca="1" si="337"/>
        <v>62</v>
      </c>
      <c r="C1836" t="str">
        <f t="shared" ca="1" si="338"/>
        <v>Male</v>
      </c>
      <c r="D1836" s="1">
        <f t="shared" ca="1" si="339"/>
        <v>45491</v>
      </c>
      <c r="E1836" s="1">
        <f t="shared" ca="1" si="340"/>
        <v>45499</v>
      </c>
      <c r="F1836" t="str">
        <f t="shared" ca="1" si="341"/>
        <v>Pneumonia</v>
      </c>
      <c r="G1836" t="str">
        <f t="shared" ca="1" si="342"/>
        <v>Surgery</v>
      </c>
      <c r="H1836">
        <f t="shared" ca="1" si="343"/>
        <v>8</v>
      </c>
      <c r="I1836" t="str">
        <f t="shared" ca="1" si="344"/>
        <v>No</v>
      </c>
      <c r="J1836">
        <f t="shared" ca="1" si="345"/>
        <v>1</v>
      </c>
      <c r="K1836" t="str">
        <f t="shared" ca="1" si="346"/>
        <v>Public</v>
      </c>
      <c r="L1836" t="str">
        <f t="shared" ca="1" si="347"/>
        <v>Neurology</v>
      </c>
    </row>
    <row r="1837" spans="1:12" x14ac:dyDescent="0.25">
      <c r="A1837">
        <f t="shared" si="336"/>
        <v>1836</v>
      </c>
      <c r="B1837">
        <f t="shared" ca="1" si="337"/>
        <v>37</v>
      </c>
      <c r="C1837" t="str">
        <f t="shared" ca="1" si="338"/>
        <v>Male</v>
      </c>
      <c r="D1837" s="1">
        <f t="shared" ca="1" si="339"/>
        <v>45326</v>
      </c>
      <c r="E1837" s="1">
        <f t="shared" ca="1" si="340"/>
        <v>45341</v>
      </c>
      <c r="F1837" t="str">
        <f t="shared" ca="1" si="341"/>
        <v>Pneumonia</v>
      </c>
      <c r="G1837" t="str">
        <f t="shared" ca="1" si="342"/>
        <v>Medication</v>
      </c>
      <c r="H1837">
        <f t="shared" ca="1" si="343"/>
        <v>15</v>
      </c>
      <c r="I1837" t="str">
        <f t="shared" ca="1" si="344"/>
        <v>No</v>
      </c>
      <c r="J1837">
        <f t="shared" ca="1" si="345"/>
        <v>0</v>
      </c>
      <c r="K1837" t="str">
        <f t="shared" ca="1" si="346"/>
        <v>Private</v>
      </c>
      <c r="L1837" t="str">
        <f t="shared" ca="1" si="347"/>
        <v>ICU</v>
      </c>
    </row>
    <row r="1838" spans="1:12" x14ac:dyDescent="0.25">
      <c r="A1838">
        <f t="shared" si="336"/>
        <v>1837</v>
      </c>
      <c r="B1838">
        <f t="shared" ca="1" si="337"/>
        <v>71</v>
      </c>
      <c r="C1838" t="str">
        <f t="shared" ca="1" si="338"/>
        <v>Female</v>
      </c>
      <c r="D1838" s="1">
        <f t="shared" ca="1" si="339"/>
        <v>45551</v>
      </c>
      <c r="E1838" s="1">
        <f t="shared" ca="1" si="340"/>
        <v>45557</v>
      </c>
      <c r="F1838" t="str">
        <f t="shared" ca="1" si="341"/>
        <v>Stroke</v>
      </c>
      <c r="G1838" t="str">
        <f t="shared" ca="1" si="342"/>
        <v>Surgery</v>
      </c>
      <c r="H1838">
        <f t="shared" ca="1" si="343"/>
        <v>6</v>
      </c>
      <c r="I1838" t="str">
        <f t="shared" ca="1" si="344"/>
        <v>No</v>
      </c>
      <c r="J1838">
        <f t="shared" ca="1" si="345"/>
        <v>1</v>
      </c>
      <c r="K1838" t="str">
        <f t="shared" ca="1" si="346"/>
        <v>Public</v>
      </c>
      <c r="L1838" t="str">
        <f t="shared" ca="1" si="347"/>
        <v>ER</v>
      </c>
    </row>
    <row r="1839" spans="1:12" x14ac:dyDescent="0.25">
      <c r="A1839">
        <f t="shared" si="336"/>
        <v>1838</v>
      </c>
      <c r="B1839">
        <f t="shared" ca="1" si="337"/>
        <v>25</v>
      </c>
      <c r="C1839" t="str">
        <f t="shared" ca="1" si="338"/>
        <v>Male</v>
      </c>
      <c r="D1839" s="1">
        <f t="shared" ca="1" si="339"/>
        <v>45450</v>
      </c>
      <c r="E1839" s="1">
        <f t="shared" ca="1" si="340"/>
        <v>45454</v>
      </c>
      <c r="F1839" t="str">
        <f t="shared" ca="1" si="341"/>
        <v>Diabetes</v>
      </c>
      <c r="G1839" t="str">
        <f t="shared" ca="1" si="342"/>
        <v>Surgery</v>
      </c>
      <c r="H1839">
        <f t="shared" ca="1" si="343"/>
        <v>4</v>
      </c>
      <c r="I1839" t="str">
        <f t="shared" ca="1" si="344"/>
        <v>No</v>
      </c>
      <c r="J1839">
        <f t="shared" ca="1" si="345"/>
        <v>3</v>
      </c>
      <c r="K1839" t="str">
        <f t="shared" ca="1" si="346"/>
        <v>Public</v>
      </c>
      <c r="L1839" t="str">
        <f t="shared" ca="1" si="347"/>
        <v>Cardiology</v>
      </c>
    </row>
    <row r="1840" spans="1:12" x14ac:dyDescent="0.25">
      <c r="A1840">
        <f t="shared" si="336"/>
        <v>1839</v>
      </c>
      <c r="B1840">
        <f t="shared" ca="1" si="337"/>
        <v>53</v>
      </c>
      <c r="C1840" t="str">
        <f t="shared" ca="1" si="338"/>
        <v>Female</v>
      </c>
      <c r="D1840" s="1">
        <f t="shared" ca="1" si="339"/>
        <v>45387</v>
      </c>
      <c r="E1840" s="1">
        <f t="shared" ca="1" si="340"/>
        <v>45398</v>
      </c>
      <c r="F1840" t="str">
        <f t="shared" ca="1" si="341"/>
        <v>Hypertension</v>
      </c>
      <c r="G1840" t="str">
        <f t="shared" ca="1" si="342"/>
        <v>Therapy</v>
      </c>
      <c r="H1840">
        <f t="shared" ca="1" si="343"/>
        <v>11</v>
      </c>
      <c r="I1840" t="str">
        <f t="shared" ca="1" si="344"/>
        <v>No</v>
      </c>
      <c r="J1840">
        <f t="shared" ca="1" si="345"/>
        <v>4</v>
      </c>
      <c r="K1840" t="str">
        <f t="shared" ca="1" si="346"/>
        <v>Private</v>
      </c>
      <c r="L1840" t="str">
        <f t="shared" ca="1" si="347"/>
        <v>Cardiology</v>
      </c>
    </row>
    <row r="1841" spans="1:12" x14ac:dyDescent="0.25">
      <c r="A1841">
        <f t="shared" si="336"/>
        <v>1840</v>
      </c>
      <c r="B1841">
        <f t="shared" ca="1" si="337"/>
        <v>87</v>
      </c>
      <c r="C1841" t="str">
        <f t="shared" ca="1" si="338"/>
        <v>Male</v>
      </c>
      <c r="D1841" s="1">
        <f t="shared" ca="1" si="339"/>
        <v>45477</v>
      </c>
      <c r="E1841" s="1">
        <f t="shared" ca="1" si="340"/>
        <v>45479</v>
      </c>
      <c r="F1841" t="str">
        <f t="shared" ca="1" si="341"/>
        <v>Diabetes</v>
      </c>
      <c r="G1841" t="str">
        <f t="shared" ca="1" si="342"/>
        <v>Therapy</v>
      </c>
      <c r="H1841">
        <f t="shared" ca="1" si="343"/>
        <v>2</v>
      </c>
      <c r="I1841" t="str">
        <f t="shared" ca="1" si="344"/>
        <v>No</v>
      </c>
      <c r="J1841">
        <f t="shared" ca="1" si="345"/>
        <v>2</v>
      </c>
      <c r="K1841" t="str">
        <f t="shared" ca="1" si="346"/>
        <v>None</v>
      </c>
      <c r="L1841" t="str">
        <f t="shared" ca="1" si="347"/>
        <v>ER</v>
      </c>
    </row>
    <row r="1842" spans="1:12" x14ac:dyDescent="0.25">
      <c r="A1842">
        <f t="shared" si="336"/>
        <v>1841</v>
      </c>
      <c r="B1842">
        <f t="shared" ca="1" si="337"/>
        <v>59</v>
      </c>
      <c r="C1842" t="str">
        <f t="shared" ca="1" si="338"/>
        <v>Male</v>
      </c>
      <c r="D1842" s="1">
        <f t="shared" ca="1" si="339"/>
        <v>45574</v>
      </c>
      <c r="E1842" s="1">
        <f t="shared" ca="1" si="340"/>
        <v>45584</v>
      </c>
      <c r="F1842" t="str">
        <f t="shared" ca="1" si="341"/>
        <v>Pneumonia</v>
      </c>
      <c r="G1842" t="str">
        <f t="shared" ca="1" si="342"/>
        <v>Surgery</v>
      </c>
      <c r="H1842">
        <f t="shared" ca="1" si="343"/>
        <v>10</v>
      </c>
      <c r="I1842" t="str">
        <f t="shared" ca="1" si="344"/>
        <v>No</v>
      </c>
      <c r="J1842">
        <f t="shared" ca="1" si="345"/>
        <v>2</v>
      </c>
      <c r="K1842" t="str">
        <f t="shared" ca="1" si="346"/>
        <v>Private</v>
      </c>
      <c r="L1842" t="str">
        <f t="shared" ca="1" si="347"/>
        <v>Cardiology</v>
      </c>
    </row>
    <row r="1843" spans="1:12" x14ac:dyDescent="0.25">
      <c r="A1843">
        <f t="shared" si="336"/>
        <v>1842</v>
      </c>
      <c r="B1843">
        <f t="shared" ca="1" si="337"/>
        <v>68</v>
      </c>
      <c r="C1843" t="str">
        <f t="shared" ca="1" si="338"/>
        <v>Female</v>
      </c>
      <c r="D1843" s="1">
        <f t="shared" ca="1" si="339"/>
        <v>45637</v>
      </c>
      <c r="E1843" s="1">
        <f t="shared" ca="1" si="340"/>
        <v>45652</v>
      </c>
      <c r="F1843" t="str">
        <f t="shared" ca="1" si="341"/>
        <v>Diabetes</v>
      </c>
      <c r="G1843" t="str">
        <f t="shared" ca="1" si="342"/>
        <v>Therapy</v>
      </c>
      <c r="H1843">
        <f t="shared" ca="1" si="343"/>
        <v>15</v>
      </c>
      <c r="I1843" t="str">
        <f t="shared" ca="1" si="344"/>
        <v>No</v>
      </c>
      <c r="J1843">
        <f t="shared" ca="1" si="345"/>
        <v>3</v>
      </c>
      <c r="K1843" t="str">
        <f t="shared" ca="1" si="346"/>
        <v>Public</v>
      </c>
      <c r="L1843" t="str">
        <f t="shared" ca="1" si="347"/>
        <v>General</v>
      </c>
    </row>
    <row r="1844" spans="1:12" x14ac:dyDescent="0.25">
      <c r="A1844">
        <f t="shared" si="336"/>
        <v>1843</v>
      </c>
      <c r="B1844">
        <f t="shared" ca="1" si="337"/>
        <v>36</v>
      </c>
      <c r="C1844" t="str">
        <f t="shared" ca="1" si="338"/>
        <v>Male</v>
      </c>
      <c r="D1844" s="1">
        <f t="shared" ca="1" si="339"/>
        <v>45497</v>
      </c>
      <c r="E1844" s="1">
        <f t="shared" ca="1" si="340"/>
        <v>45501</v>
      </c>
      <c r="F1844" t="str">
        <f t="shared" ca="1" si="341"/>
        <v>Stroke</v>
      </c>
      <c r="G1844" t="str">
        <f t="shared" ca="1" si="342"/>
        <v>Medication</v>
      </c>
      <c r="H1844">
        <f t="shared" ca="1" si="343"/>
        <v>4</v>
      </c>
      <c r="I1844" t="str">
        <f t="shared" ca="1" si="344"/>
        <v>No</v>
      </c>
      <c r="J1844">
        <f t="shared" ca="1" si="345"/>
        <v>1</v>
      </c>
      <c r="K1844" t="str">
        <f t="shared" ca="1" si="346"/>
        <v>None</v>
      </c>
      <c r="L1844" t="str">
        <f t="shared" ca="1" si="347"/>
        <v>Cardiology</v>
      </c>
    </row>
    <row r="1845" spans="1:12" x14ac:dyDescent="0.25">
      <c r="A1845">
        <f t="shared" si="336"/>
        <v>1844</v>
      </c>
      <c r="B1845">
        <f t="shared" ca="1" si="337"/>
        <v>36</v>
      </c>
      <c r="C1845" t="str">
        <f t="shared" ca="1" si="338"/>
        <v>Male</v>
      </c>
      <c r="D1845" s="1">
        <f t="shared" ca="1" si="339"/>
        <v>45415</v>
      </c>
      <c r="E1845" s="1">
        <f t="shared" ca="1" si="340"/>
        <v>45428</v>
      </c>
      <c r="F1845" t="str">
        <f t="shared" ca="1" si="341"/>
        <v>Pneumonia</v>
      </c>
      <c r="G1845" t="str">
        <f t="shared" ca="1" si="342"/>
        <v>Medication</v>
      </c>
      <c r="H1845">
        <f t="shared" ca="1" si="343"/>
        <v>13</v>
      </c>
      <c r="I1845" t="str">
        <f t="shared" ca="1" si="344"/>
        <v>No</v>
      </c>
      <c r="J1845">
        <f t="shared" ca="1" si="345"/>
        <v>0</v>
      </c>
      <c r="K1845" t="str">
        <f t="shared" ca="1" si="346"/>
        <v>Private</v>
      </c>
      <c r="L1845" t="str">
        <f t="shared" ca="1" si="347"/>
        <v>ICU</v>
      </c>
    </row>
    <row r="1846" spans="1:12" x14ac:dyDescent="0.25">
      <c r="A1846">
        <f t="shared" si="336"/>
        <v>1845</v>
      </c>
      <c r="B1846">
        <f t="shared" ca="1" si="337"/>
        <v>62</v>
      </c>
      <c r="C1846" t="str">
        <f t="shared" ca="1" si="338"/>
        <v>Female</v>
      </c>
      <c r="D1846" s="1">
        <f t="shared" ca="1" si="339"/>
        <v>45477</v>
      </c>
      <c r="E1846" s="1">
        <f t="shared" ca="1" si="340"/>
        <v>45488</v>
      </c>
      <c r="F1846" t="str">
        <f t="shared" ca="1" si="341"/>
        <v>Hypertension</v>
      </c>
      <c r="G1846" t="str">
        <f t="shared" ca="1" si="342"/>
        <v>Medication</v>
      </c>
      <c r="H1846">
        <f t="shared" ca="1" si="343"/>
        <v>11</v>
      </c>
      <c r="I1846" t="str">
        <f t="shared" ca="1" si="344"/>
        <v>No</v>
      </c>
      <c r="J1846">
        <f t="shared" ca="1" si="345"/>
        <v>0</v>
      </c>
      <c r="K1846" t="str">
        <f t="shared" ca="1" si="346"/>
        <v>Private</v>
      </c>
      <c r="L1846" t="str">
        <f t="shared" ca="1" si="347"/>
        <v>Neurology</v>
      </c>
    </row>
    <row r="1847" spans="1:12" x14ac:dyDescent="0.25">
      <c r="A1847">
        <f t="shared" si="336"/>
        <v>1846</v>
      </c>
      <c r="B1847">
        <f t="shared" ca="1" si="337"/>
        <v>56</v>
      </c>
      <c r="C1847" t="str">
        <f t="shared" ca="1" si="338"/>
        <v>Male</v>
      </c>
      <c r="D1847" s="1">
        <f t="shared" ca="1" si="339"/>
        <v>45313</v>
      </c>
      <c r="E1847" s="1">
        <f t="shared" ca="1" si="340"/>
        <v>45320</v>
      </c>
      <c r="F1847" t="str">
        <f t="shared" ca="1" si="341"/>
        <v>Stroke</v>
      </c>
      <c r="G1847" t="str">
        <f t="shared" ca="1" si="342"/>
        <v>Medication</v>
      </c>
      <c r="H1847">
        <f t="shared" ca="1" si="343"/>
        <v>7</v>
      </c>
      <c r="I1847" t="str">
        <f t="shared" ca="1" si="344"/>
        <v>No</v>
      </c>
      <c r="J1847">
        <f t="shared" ca="1" si="345"/>
        <v>3</v>
      </c>
      <c r="K1847" t="str">
        <f t="shared" ca="1" si="346"/>
        <v>Private</v>
      </c>
      <c r="L1847" t="str">
        <f t="shared" ca="1" si="347"/>
        <v>ICU</v>
      </c>
    </row>
    <row r="1848" spans="1:12" x14ac:dyDescent="0.25">
      <c r="A1848">
        <f t="shared" si="336"/>
        <v>1847</v>
      </c>
      <c r="B1848">
        <f t="shared" ca="1" si="337"/>
        <v>81</v>
      </c>
      <c r="C1848" t="str">
        <f t="shared" ca="1" si="338"/>
        <v>Female</v>
      </c>
      <c r="D1848" s="1">
        <f t="shared" ca="1" si="339"/>
        <v>45311</v>
      </c>
      <c r="E1848" s="1">
        <f t="shared" ca="1" si="340"/>
        <v>45317</v>
      </c>
      <c r="F1848" t="str">
        <f t="shared" ca="1" si="341"/>
        <v>Hypertension</v>
      </c>
      <c r="G1848" t="str">
        <f t="shared" ca="1" si="342"/>
        <v>Surgery</v>
      </c>
      <c r="H1848">
        <f t="shared" ca="1" si="343"/>
        <v>6</v>
      </c>
      <c r="I1848" t="str">
        <f t="shared" ca="1" si="344"/>
        <v>No</v>
      </c>
      <c r="J1848">
        <f t="shared" ca="1" si="345"/>
        <v>3</v>
      </c>
      <c r="K1848" t="str">
        <f t="shared" ca="1" si="346"/>
        <v>None</v>
      </c>
      <c r="L1848" t="str">
        <f t="shared" ca="1" si="347"/>
        <v>ICU</v>
      </c>
    </row>
    <row r="1849" spans="1:12" x14ac:dyDescent="0.25">
      <c r="A1849">
        <f t="shared" si="336"/>
        <v>1848</v>
      </c>
      <c r="B1849">
        <f t="shared" ca="1" si="337"/>
        <v>49</v>
      </c>
      <c r="C1849" t="str">
        <f t="shared" ca="1" si="338"/>
        <v>Female</v>
      </c>
      <c r="D1849" s="1">
        <f t="shared" ca="1" si="339"/>
        <v>45556</v>
      </c>
      <c r="E1849" s="1">
        <f t="shared" ca="1" si="340"/>
        <v>45570</v>
      </c>
      <c r="F1849" t="str">
        <f t="shared" ca="1" si="341"/>
        <v>Heart Failure</v>
      </c>
      <c r="G1849" t="str">
        <f t="shared" ca="1" si="342"/>
        <v>Medication</v>
      </c>
      <c r="H1849">
        <f t="shared" ca="1" si="343"/>
        <v>14</v>
      </c>
      <c r="I1849" t="str">
        <f t="shared" ca="1" si="344"/>
        <v>No</v>
      </c>
      <c r="J1849">
        <f t="shared" ca="1" si="345"/>
        <v>3</v>
      </c>
      <c r="K1849" t="str">
        <f t="shared" ca="1" si="346"/>
        <v>Public</v>
      </c>
      <c r="L1849" t="str">
        <f t="shared" ca="1" si="347"/>
        <v>ER</v>
      </c>
    </row>
    <row r="1850" spans="1:12" x14ac:dyDescent="0.25">
      <c r="A1850">
        <f t="shared" si="336"/>
        <v>1849</v>
      </c>
      <c r="B1850">
        <f t="shared" ca="1" si="337"/>
        <v>79</v>
      </c>
      <c r="C1850" t="str">
        <f t="shared" ca="1" si="338"/>
        <v>Female</v>
      </c>
      <c r="D1850" s="1">
        <f t="shared" ca="1" si="339"/>
        <v>45356</v>
      </c>
      <c r="E1850" s="1">
        <f t="shared" ca="1" si="340"/>
        <v>45370</v>
      </c>
      <c r="F1850" t="str">
        <f t="shared" ca="1" si="341"/>
        <v>Pneumonia</v>
      </c>
      <c r="G1850" t="str">
        <f t="shared" ca="1" si="342"/>
        <v>Surgery</v>
      </c>
      <c r="H1850">
        <f t="shared" ca="1" si="343"/>
        <v>14</v>
      </c>
      <c r="I1850" t="str">
        <f t="shared" ca="1" si="344"/>
        <v>No</v>
      </c>
      <c r="J1850">
        <f t="shared" ca="1" si="345"/>
        <v>3</v>
      </c>
      <c r="K1850" t="str">
        <f t="shared" ca="1" si="346"/>
        <v>Private</v>
      </c>
      <c r="L1850" t="str">
        <f t="shared" ca="1" si="347"/>
        <v>General</v>
      </c>
    </row>
    <row r="1851" spans="1:12" x14ac:dyDescent="0.25">
      <c r="A1851">
        <f t="shared" si="336"/>
        <v>1850</v>
      </c>
      <c r="B1851">
        <f t="shared" ca="1" si="337"/>
        <v>65</v>
      </c>
      <c r="C1851" t="str">
        <f t="shared" ca="1" si="338"/>
        <v>Female</v>
      </c>
      <c r="D1851" s="1">
        <f t="shared" ca="1" si="339"/>
        <v>45585</v>
      </c>
      <c r="E1851" s="1">
        <f t="shared" ca="1" si="340"/>
        <v>45595</v>
      </c>
      <c r="F1851" t="str">
        <f t="shared" ca="1" si="341"/>
        <v>Pneumonia</v>
      </c>
      <c r="G1851" t="str">
        <f t="shared" ca="1" si="342"/>
        <v>Medication</v>
      </c>
      <c r="H1851">
        <f t="shared" ca="1" si="343"/>
        <v>10</v>
      </c>
      <c r="I1851" t="str">
        <f t="shared" ca="1" si="344"/>
        <v>No</v>
      </c>
      <c r="J1851">
        <f t="shared" ca="1" si="345"/>
        <v>1</v>
      </c>
      <c r="K1851" t="str">
        <f t="shared" ca="1" si="346"/>
        <v>Private</v>
      </c>
      <c r="L1851" t="str">
        <f t="shared" ca="1" si="347"/>
        <v>ICU</v>
      </c>
    </row>
    <row r="1852" spans="1:12" x14ac:dyDescent="0.25">
      <c r="A1852">
        <f t="shared" si="336"/>
        <v>1851</v>
      </c>
      <c r="B1852">
        <f t="shared" ca="1" si="337"/>
        <v>66</v>
      </c>
      <c r="C1852" t="str">
        <f t="shared" ca="1" si="338"/>
        <v>Male</v>
      </c>
      <c r="D1852" s="1">
        <f t="shared" ca="1" si="339"/>
        <v>45351</v>
      </c>
      <c r="E1852" s="1">
        <f t="shared" ca="1" si="340"/>
        <v>45357</v>
      </c>
      <c r="F1852" t="str">
        <f t="shared" ca="1" si="341"/>
        <v>Diabetes</v>
      </c>
      <c r="G1852" t="str">
        <f t="shared" ca="1" si="342"/>
        <v>Surgery</v>
      </c>
      <c r="H1852">
        <f t="shared" ca="1" si="343"/>
        <v>6</v>
      </c>
      <c r="I1852" t="str">
        <f t="shared" ca="1" si="344"/>
        <v>No</v>
      </c>
      <c r="J1852">
        <f t="shared" ca="1" si="345"/>
        <v>4</v>
      </c>
      <c r="K1852" t="str">
        <f t="shared" ca="1" si="346"/>
        <v>Private</v>
      </c>
      <c r="L1852" t="str">
        <f t="shared" ca="1" si="347"/>
        <v>Neurology</v>
      </c>
    </row>
    <row r="1853" spans="1:12" x14ac:dyDescent="0.25">
      <c r="A1853">
        <f t="shared" si="336"/>
        <v>1852</v>
      </c>
      <c r="B1853">
        <f t="shared" ca="1" si="337"/>
        <v>23</v>
      </c>
      <c r="C1853" t="str">
        <f t="shared" ca="1" si="338"/>
        <v>Male</v>
      </c>
      <c r="D1853" s="1">
        <f t="shared" ca="1" si="339"/>
        <v>45381</v>
      </c>
      <c r="E1853" s="1">
        <f t="shared" ca="1" si="340"/>
        <v>45396</v>
      </c>
      <c r="F1853" t="str">
        <f t="shared" ca="1" si="341"/>
        <v>Stroke</v>
      </c>
      <c r="G1853" t="str">
        <f t="shared" ca="1" si="342"/>
        <v>Therapy</v>
      </c>
      <c r="H1853">
        <f t="shared" ca="1" si="343"/>
        <v>15</v>
      </c>
      <c r="I1853" t="str">
        <f t="shared" ca="1" si="344"/>
        <v>No</v>
      </c>
      <c r="J1853">
        <f t="shared" ca="1" si="345"/>
        <v>4</v>
      </c>
      <c r="K1853" t="str">
        <f t="shared" ca="1" si="346"/>
        <v>None</v>
      </c>
      <c r="L1853" t="str">
        <f t="shared" ca="1" si="347"/>
        <v>Cardiology</v>
      </c>
    </row>
    <row r="1854" spans="1:12" x14ac:dyDescent="0.25">
      <c r="A1854">
        <f t="shared" si="336"/>
        <v>1853</v>
      </c>
      <c r="B1854">
        <f t="shared" ca="1" si="337"/>
        <v>65</v>
      </c>
      <c r="C1854" t="str">
        <f t="shared" ca="1" si="338"/>
        <v>Female</v>
      </c>
      <c r="D1854" s="1">
        <f t="shared" ca="1" si="339"/>
        <v>45292</v>
      </c>
      <c r="E1854" s="1">
        <f t="shared" ca="1" si="340"/>
        <v>45294</v>
      </c>
      <c r="F1854" t="str">
        <f t="shared" ca="1" si="341"/>
        <v>Hypertension</v>
      </c>
      <c r="G1854" t="str">
        <f t="shared" ca="1" si="342"/>
        <v>Surgery</v>
      </c>
      <c r="H1854">
        <f t="shared" ca="1" si="343"/>
        <v>2</v>
      </c>
      <c r="I1854" t="str">
        <f t="shared" ca="1" si="344"/>
        <v>Yes</v>
      </c>
      <c r="J1854">
        <f t="shared" ca="1" si="345"/>
        <v>4</v>
      </c>
      <c r="K1854" t="str">
        <f t="shared" ca="1" si="346"/>
        <v>Public</v>
      </c>
      <c r="L1854" t="str">
        <f t="shared" ca="1" si="347"/>
        <v>General</v>
      </c>
    </row>
    <row r="1855" spans="1:12" x14ac:dyDescent="0.25">
      <c r="A1855">
        <f t="shared" si="336"/>
        <v>1854</v>
      </c>
      <c r="B1855">
        <f t="shared" ca="1" si="337"/>
        <v>76</v>
      </c>
      <c r="C1855" t="str">
        <f t="shared" ca="1" si="338"/>
        <v>Male</v>
      </c>
      <c r="D1855" s="1">
        <f t="shared" ca="1" si="339"/>
        <v>45293</v>
      </c>
      <c r="E1855" s="1">
        <f t="shared" ca="1" si="340"/>
        <v>45302</v>
      </c>
      <c r="F1855" t="str">
        <f t="shared" ca="1" si="341"/>
        <v>Hypertension</v>
      </c>
      <c r="G1855" t="str">
        <f t="shared" ca="1" si="342"/>
        <v>Surgery</v>
      </c>
      <c r="H1855">
        <f t="shared" ca="1" si="343"/>
        <v>9</v>
      </c>
      <c r="I1855" t="str">
        <f t="shared" ca="1" si="344"/>
        <v>No</v>
      </c>
      <c r="J1855">
        <f t="shared" ca="1" si="345"/>
        <v>1</v>
      </c>
      <c r="K1855" t="str">
        <f t="shared" ca="1" si="346"/>
        <v>Private</v>
      </c>
      <c r="L1855" t="str">
        <f t="shared" ca="1" si="347"/>
        <v>ICU</v>
      </c>
    </row>
    <row r="1856" spans="1:12" x14ac:dyDescent="0.25">
      <c r="A1856">
        <f t="shared" si="336"/>
        <v>1855</v>
      </c>
      <c r="B1856">
        <f t="shared" ca="1" si="337"/>
        <v>33</v>
      </c>
      <c r="C1856" t="str">
        <f t="shared" ca="1" si="338"/>
        <v>Female</v>
      </c>
      <c r="D1856" s="1">
        <f t="shared" ca="1" si="339"/>
        <v>45645</v>
      </c>
      <c r="E1856" s="1">
        <f t="shared" ca="1" si="340"/>
        <v>45660</v>
      </c>
      <c r="F1856" t="str">
        <f t="shared" ca="1" si="341"/>
        <v>Heart Failure</v>
      </c>
      <c r="G1856" t="str">
        <f t="shared" ca="1" si="342"/>
        <v>Therapy</v>
      </c>
      <c r="H1856">
        <f t="shared" ca="1" si="343"/>
        <v>15</v>
      </c>
      <c r="I1856" t="str">
        <f t="shared" ca="1" si="344"/>
        <v>No</v>
      </c>
      <c r="J1856">
        <f t="shared" ca="1" si="345"/>
        <v>1</v>
      </c>
      <c r="K1856" t="str">
        <f t="shared" ca="1" si="346"/>
        <v>Private</v>
      </c>
      <c r="L1856" t="str">
        <f t="shared" ca="1" si="347"/>
        <v>Cardiology</v>
      </c>
    </row>
    <row r="1857" spans="1:12" x14ac:dyDescent="0.25">
      <c r="A1857">
        <f t="shared" si="336"/>
        <v>1856</v>
      </c>
      <c r="B1857">
        <f t="shared" ca="1" si="337"/>
        <v>31</v>
      </c>
      <c r="C1857" t="str">
        <f t="shared" ca="1" si="338"/>
        <v>Male</v>
      </c>
      <c r="D1857" s="1">
        <f t="shared" ca="1" si="339"/>
        <v>45383</v>
      </c>
      <c r="E1857" s="1">
        <f t="shared" ca="1" si="340"/>
        <v>45388</v>
      </c>
      <c r="F1857" t="str">
        <f t="shared" ca="1" si="341"/>
        <v>Stroke</v>
      </c>
      <c r="G1857" t="str">
        <f t="shared" ca="1" si="342"/>
        <v>Therapy</v>
      </c>
      <c r="H1857">
        <f t="shared" ca="1" si="343"/>
        <v>5</v>
      </c>
      <c r="I1857" t="str">
        <f t="shared" ca="1" si="344"/>
        <v>No</v>
      </c>
      <c r="J1857">
        <f t="shared" ca="1" si="345"/>
        <v>3</v>
      </c>
      <c r="K1857" t="str">
        <f t="shared" ca="1" si="346"/>
        <v>Public</v>
      </c>
      <c r="L1857" t="str">
        <f t="shared" ca="1" si="347"/>
        <v>Neurology</v>
      </c>
    </row>
    <row r="1858" spans="1:12" x14ac:dyDescent="0.25">
      <c r="A1858">
        <f t="shared" si="336"/>
        <v>1857</v>
      </c>
      <c r="B1858">
        <f t="shared" ca="1" si="337"/>
        <v>36</v>
      </c>
      <c r="C1858" t="str">
        <f t="shared" ca="1" si="338"/>
        <v>Female</v>
      </c>
      <c r="D1858" s="1">
        <f t="shared" ca="1" si="339"/>
        <v>45300</v>
      </c>
      <c r="E1858" s="1">
        <f t="shared" ca="1" si="340"/>
        <v>45306</v>
      </c>
      <c r="F1858" t="str">
        <f t="shared" ca="1" si="341"/>
        <v>Heart Failure</v>
      </c>
      <c r="G1858" t="str">
        <f t="shared" ca="1" si="342"/>
        <v>Medication</v>
      </c>
      <c r="H1858">
        <f t="shared" ca="1" si="343"/>
        <v>6</v>
      </c>
      <c r="I1858" t="str">
        <f t="shared" ca="1" si="344"/>
        <v>No</v>
      </c>
      <c r="J1858">
        <f t="shared" ca="1" si="345"/>
        <v>3</v>
      </c>
      <c r="K1858" t="str">
        <f t="shared" ca="1" si="346"/>
        <v>Public</v>
      </c>
      <c r="L1858" t="str">
        <f t="shared" ca="1" si="347"/>
        <v>ICU</v>
      </c>
    </row>
    <row r="1859" spans="1:12" x14ac:dyDescent="0.25">
      <c r="A1859">
        <f t="shared" ref="A1859:A1922" si="348">ROW() -1</f>
        <v>1858</v>
      </c>
      <c r="B1859">
        <f t="shared" ref="B1859:B1922" ca="1" si="349">RANDBETWEEN(20,90)</f>
        <v>53</v>
      </c>
      <c r="C1859" t="str">
        <f t="shared" ref="C1859:C1922" ca="1" si="350">IF(RAND()&lt;0.5,"Male","Female")</f>
        <v>Female</v>
      </c>
      <c r="D1859" s="1">
        <f t="shared" ref="D1859:D1922" ca="1" si="351">DATE(2024,1,1)+RANDBETWEEN(0,364)</f>
        <v>45354</v>
      </c>
      <c r="E1859" s="1">
        <f t="shared" ref="E1859:E1922" ca="1" si="352">D1859+RANDBETWEEN(1,15)</f>
        <v>45361</v>
      </c>
      <c r="F1859" t="str">
        <f t="shared" ref="F1859:F1922" ca="1" si="353">CHOOSE(RANDBETWEEN(1,5),"Diabetes","Heart Failure","Pneumonia","Stroke","Hypertension")</f>
        <v>Pneumonia</v>
      </c>
      <c r="G1859" t="str">
        <f t="shared" ref="G1859:G1922" ca="1" si="354">CHOOSE(RANDBETWEEN(1,3),"Medication","Surgery","Therapy")</f>
        <v>Medication</v>
      </c>
      <c r="H1859">
        <f t="shared" ref="H1859:H1922" ca="1" si="355">DATEDIF(D1859,E1859,"D")</f>
        <v>7</v>
      </c>
      <c r="I1859" t="str">
        <f t="shared" ref="I1859:I1922" ca="1" si="356">IF(RAND()&lt;0.3,"Yes","No")</f>
        <v>No</v>
      </c>
      <c r="J1859">
        <f t="shared" ref="J1859:J1922" ca="1" si="357">RANDBETWEEN(0,4)</f>
        <v>0</v>
      </c>
      <c r="K1859" t="str">
        <f t="shared" ref="K1859:K1922" ca="1" si="358">CHOOSE(RANDBETWEEN(1,3),"Private","Public","None")</f>
        <v>Public</v>
      </c>
      <c r="L1859" t="str">
        <f t="shared" ref="L1859:L1922" ca="1" si="359">CHOOSE(RANDBETWEEN(1,5),"ER","Cardiology","Neurology","General","ICU")</f>
        <v>Cardiology</v>
      </c>
    </row>
    <row r="1860" spans="1:12" x14ac:dyDescent="0.25">
      <c r="A1860">
        <f t="shared" si="348"/>
        <v>1859</v>
      </c>
      <c r="B1860">
        <f t="shared" ca="1" si="349"/>
        <v>45</v>
      </c>
      <c r="C1860" t="str">
        <f t="shared" ca="1" si="350"/>
        <v>Female</v>
      </c>
      <c r="D1860" s="1">
        <f t="shared" ca="1" si="351"/>
        <v>45313</v>
      </c>
      <c r="E1860" s="1">
        <f t="shared" ca="1" si="352"/>
        <v>45314</v>
      </c>
      <c r="F1860" t="str">
        <f t="shared" ca="1" si="353"/>
        <v>Stroke</v>
      </c>
      <c r="G1860" t="str">
        <f t="shared" ca="1" si="354"/>
        <v>Therapy</v>
      </c>
      <c r="H1860">
        <f t="shared" ca="1" si="355"/>
        <v>1</v>
      </c>
      <c r="I1860" t="str">
        <f t="shared" ca="1" si="356"/>
        <v>No</v>
      </c>
      <c r="J1860">
        <f t="shared" ca="1" si="357"/>
        <v>0</v>
      </c>
      <c r="K1860" t="str">
        <f t="shared" ca="1" si="358"/>
        <v>Private</v>
      </c>
      <c r="L1860" t="str">
        <f t="shared" ca="1" si="359"/>
        <v>Cardiology</v>
      </c>
    </row>
    <row r="1861" spans="1:12" x14ac:dyDescent="0.25">
      <c r="A1861">
        <f t="shared" si="348"/>
        <v>1860</v>
      </c>
      <c r="B1861">
        <f t="shared" ca="1" si="349"/>
        <v>20</v>
      </c>
      <c r="C1861" t="str">
        <f t="shared" ca="1" si="350"/>
        <v>Female</v>
      </c>
      <c r="D1861" s="1">
        <f t="shared" ca="1" si="351"/>
        <v>45575</v>
      </c>
      <c r="E1861" s="1">
        <f t="shared" ca="1" si="352"/>
        <v>45580</v>
      </c>
      <c r="F1861" t="str">
        <f t="shared" ca="1" si="353"/>
        <v>Hypertension</v>
      </c>
      <c r="G1861" t="str">
        <f t="shared" ca="1" si="354"/>
        <v>Surgery</v>
      </c>
      <c r="H1861">
        <f t="shared" ca="1" si="355"/>
        <v>5</v>
      </c>
      <c r="I1861" t="str">
        <f t="shared" ca="1" si="356"/>
        <v>No</v>
      </c>
      <c r="J1861">
        <f t="shared" ca="1" si="357"/>
        <v>2</v>
      </c>
      <c r="K1861" t="str">
        <f t="shared" ca="1" si="358"/>
        <v>None</v>
      </c>
      <c r="L1861" t="str">
        <f t="shared" ca="1" si="359"/>
        <v>Neurology</v>
      </c>
    </row>
    <row r="1862" spans="1:12" x14ac:dyDescent="0.25">
      <c r="A1862">
        <f t="shared" si="348"/>
        <v>1861</v>
      </c>
      <c r="B1862">
        <f t="shared" ca="1" si="349"/>
        <v>45</v>
      </c>
      <c r="C1862" t="str">
        <f t="shared" ca="1" si="350"/>
        <v>Female</v>
      </c>
      <c r="D1862" s="1">
        <f t="shared" ca="1" si="351"/>
        <v>45562</v>
      </c>
      <c r="E1862" s="1">
        <f t="shared" ca="1" si="352"/>
        <v>45567</v>
      </c>
      <c r="F1862" t="str">
        <f t="shared" ca="1" si="353"/>
        <v>Heart Failure</v>
      </c>
      <c r="G1862" t="str">
        <f t="shared" ca="1" si="354"/>
        <v>Therapy</v>
      </c>
      <c r="H1862">
        <f t="shared" ca="1" si="355"/>
        <v>5</v>
      </c>
      <c r="I1862" t="str">
        <f t="shared" ca="1" si="356"/>
        <v>Yes</v>
      </c>
      <c r="J1862">
        <f t="shared" ca="1" si="357"/>
        <v>2</v>
      </c>
      <c r="K1862" t="str">
        <f t="shared" ca="1" si="358"/>
        <v>Private</v>
      </c>
      <c r="L1862" t="str">
        <f t="shared" ca="1" si="359"/>
        <v>ICU</v>
      </c>
    </row>
    <row r="1863" spans="1:12" x14ac:dyDescent="0.25">
      <c r="A1863">
        <f t="shared" si="348"/>
        <v>1862</v>
      </c>
      <c r="B1863">
        <f t="shared" ca="1" si="349"/>
        <v>35</v>
      </c>
      <c r="C1863" t="str">
        <f t="shared" ca="1" si="350"/>
        <v>Male</v>
      </c>
      <c r="D1863" s="1">
        <f t="shared" ca="1" si="351"/>
        <v>45510</v>
      </c>
      <c r="E1863" s="1">
        <f t="shared" ca="1" si="352"/>
        <v>45517</v>
      </c>
      <c r="F1863" t="str">
        <f t="shared" ca="1" si="353"/>
        <v>Stroke</v>
      </c>
      <c r="G1863" t="str">
        <f t="shared" ca="1" si="354"/>
        <v>Therapy</v>
      </c>
      <c r="H1863">
        <f t="shared" ca="1" si="355"/>
        <v>7</v>
      </c>
      <c r="I1863" t="str">
        <f t="shared" ca="1" si="356"/>
        <v>No</v>
      </c>
      <c r="J1863">
        <f t="shared" ca="1" si="357"/>
        <v>3</v>
      </c>
      <c r="K1863" t="str">
        <f t="shared" ca="1" si="358"/>
        <v>None</v>
      </c>
      <c r="L1863" t="str">
        <f t="shared" ca="1" si="359"/>
        <v>General</v>
      </c>
    </row>
    <row r="1864" spans="1:12" x14ac:dyDescent="0.25">
      <c r="A1864">
        <f t="shared" si="348"/>
        <v>1863</v>
      </c>
      <c r="B1864">
        <f t="shared" ca="1" si="349"/>
        <v>58</v>
      </c>
      <c r="C1864" t="str">
        <f t="shared" ca="1" si="350"/>
        <v>Male</v>
      </c>
      <c r="D1864" s="1">
        <f t="shared" ca="1" si="351"/>
        <v>45547</v>
      </c>
      <c r="E1864" s="1">
        <f t="shared" ca="1" si="352"/>
        <v>45558</v>
      </c>
      <c r="F1864" t="str">
        <f t="shared" ca="1" si="353"/>
        <v>Hypertension</v>
      </c>
      <c r="G1864" t="str">
        <f t="shared" ca="1" si="354"/>
        <v>Surgery</v>
      </c>
      <c r="H1864">
        <f t="shared" ca="1" si="355"/>
        <v>11</v>
      </c>
      <c r="I1864" t="str">
        <f t="shared" ca="1" si="356"/>
        <v>No</v>
      </c>
      <c r="J1864">
        <f t="shared" ca="1" si="357"/>
        <v>3</v>
      </c>
      <c r="K1864" t="str">
        <f t="shared" ca="1" si="358"/>
        <v>Private</v>
      </c>
      <c r="L1864" t="str">
        <f t="shared" ca="1" si="359"/>
        <v>ICU</v>
      </c>
    </row>
    <row r="1865" spans="1:12" x14ac:dyDescent="0.25">
      <c r="A1865">
        <f t="shared" si="348"/>
        <v>1864</v>
      </c>
      <c r="B1865">
        <f t="shared" ca="1" si="349"/>
        <v>35</v>
      </c>
      <c r="C1865" t="str">
        <f t="shared" ca="1" si="350"/>
        <v>Male</v>
      </c>
      <c r="D1865" s="1">
        <f t="shared" ca="1" si="351"/>
        <v>45584</v>
      </c>
      <c r="E1865" s="1">
        <f t="shared" ca="1" si="352"/>
        <v>45585</v>
      </c>
      <c r="F1865" t="str">
        <f t="shared" ca="1" si="353"/>
        <v>Diabetes</v>
      </c>
      <c r="G1865" t="str">
        <f t="shared" ca="1" si="354"/>
        <v>Surgery</v>
      </c>
      <c r="H1865">
        <f t="shared" ca="1" si="355"/>
        <v>1</v>
      </c>
      <c r="I1865" t="str">
        <f t="shared" ca="1" si="356"/>
        <v>No</v>
      </c>
      <c r="J1865">
        <f t="shared" ca="1" si="357"/>
        <v>3</v>
      </c>
      <c r="K1865" t="str">
        <f t="shared" ca="1" si="358"/>
        <v>None</v>
      </c>
      <c r="L1865" t="str">
        <f t="shared" ca="1" si="359"/>
        <v>Neurology</v>
      </c>
    </row>
    <row r="1866" spans="1:12" x14ac:dyDescent="0.25">
      <c r="A1866">
        <f t="shared" si="348"/>
        <v>1865</v>
      </c>
      <c r="B1866">
        <f t="shared" ca="1" si="349"/>
        <v>55</v>
      </c>
      <c r="C1866" t="str">
        <f t="shared" ca="1" si="350"/>
        <v>Male</v>
      </c>
      <c r="D1866" s="1">
        <f t="shared" ca="1" si="351"/>
        <v>45370</v>
      </c>
      <c r="E1866" s="1">
        <f t="shared" ca="1" si="352"/>
        <v>45379</v>
      </c>
      <c r="F1866" t="str">
        <f t="shared" ca="1" si="353"/>
        <v>Heart Failure</v>
      </c>
      <c r="G1866" t="str">
        <f t="shared" ca="1" si="354"/>
        <v>Therapy</v>
      </c>
      <c r="H1866">
        <f t="shared" ca="1" si="355"/>
        <v>9</v>
      </c>
      <c r="I1866" t="str">
        <f t="shared" ca="1" si="356"/>
        <v>No</v>
      </c>
      <c r="J1866">
        <f t="shared" ca="1" si="357"/>
        <v>4</v>
      </c>
      <c r="K1866" t="str">
        <f t="shared" ca="1" si="358"/>
        <v>None</v>
      </c>
      <c r="L1866" t="str">
        <f t="shared" ca="1" si="359"/>
        <v>General</v>
      </c>
    </row>
    <row r="1867" spans="1:12" x14ac:dyDescent="0.25">
      <c r="A1867">
        <f t="shared" si="348"/>
        <v>1866</v>
      </c>
      <c r="B1867">
        <f t="shared" ca="1" si="349"/>
        <v>29</v>
      </c>
      <c r="C1867" t="str">
        <f t="shared" ca="1" si="350"/>
        <v>Female</v>
      </c>
      <c r="D1867" s="1">
        <f t="shared" ca="1" si="351"/>
        <v>45558</v>
      </c>
      <c r="E1867" s="1">
        <f t="shared" ca="1" si="352"/>
        <v>45572</v>
      </c>
      <c r="F1867" t="str">
        <f t="shared" ca="1" si="353"/>
        <v>Hypertension</v>
      </c>
      <c r="G1867" t="str">
        <f t="shared" ca="1" si="354"/>
        <v>Medication</v>
      </c>
      <c r="H1867">
        <f t="shared" ca="1" si="355"/>
        <v>14</v>
      </c>
      <c r="I1867" t="str">
        <f t="shared" ca="1" si="356"/>
        <v>No</v>
      </c>
      <c r="J1867">
        <f t="shared" ca="1" si="357"/>
        <v>1</v>
      </c>
      <c r="K1867" t="str">
        <f t="shared" ca="1" si="358"/>
        <v>Private</v>
      </c>
      <c r="L1867" t="str">
        <f t="shared" ca="1" si="359"/>
        <v>ER</v>
      </c>
    </row>
    <row r="1868" spans="1:12" x14ac:dyDescent="0.25">
      <c r="A1868">
        <f t="shared" si="348"/>
        <v>1867</v>
      </c>
      <c r="B1868">
        <f t="shared" ca="1" si="349"/>
        <v>25</v>
      </c>
      <c r="C1868" t="str">
        <f t="shared" ca="1" si="350"/>
        <v>Male</v>
      </c>
      <c r="D1868" s="1">
        <f t="shared" ca="1" si="351"/>
        <v>45558</v>
      </c>
      <c r="E1868" s="1">
        <f t="shared" ca="1" si="352"/>
        <v>45563</v>
      </c>
      <c r="F1868" t="str">
        <f t="shared" ca="1" si="353"/>
        <v>Hypertension</v>
      </c>
      <c r="G1868" t="str">
        <f t="shared" ca="1" si="354"/>
        <v>Therapy</v>
      </c>
      <c r="H1868">
        <f t="shared" ca="1" si="355"/>
        <v>5</v>
      </c>
      <c r="I1868" t="str">
        <f t="shared" ca="1" si="356"/>
        <v>Yes</v>
      </c>
      <c r="J1868">
        <f t="shared" ca="1" si="357"/>
        <v>4</v>
      </c>
      <c r="K1868" t="str">
        <f t="shared" ca="1" si="358"/>
        <v>Public</v>
      </c>
      <c r="L1868" t="str">
        <f t="shared" ca="1" si="359"/>
        <v>ER</v>
      </c>
    </row>
    <row r="1869" spans="1:12" x14ac:dyDescent="0.25">
      <c r="A1869">
        <f t="shared" si="348"/>
        <v>1868</v>
      </c>
      <c r="B1869">
        <f t="shared" ca="1" si="349"/>
        <v>31</v>
      </c>
      <c r="C1869" t="str">
        <f t="shared" ca="1" si="350"/>
        <v>Female</v>
      </c>
      <c r="D1869" s="1">
        <f t="shared" ca="1" si="351"/>
        <v>45454</v>
      </c>
      <c r="E1869" s="1">
        <f t="shared" ca="1" si="352"/>
        <v>45456</v>
      </c>
      <c r="F1869" t="str">
        <f t="shared" ca="1" si="353"/>
        <v>Pneumonia</v>
      </c>
      <c r="G1869" t="str">
        <f t="shared" ca="1" si="354"/>
        <v>Medication</v>
      </c>
      <c r="H1869">
        <f t="shared" ca="1" si="355"/>
        <v>2</v>
      </c>
      <c r="I1869" t="str">
        <f t="shared" ca="1" si="356"/>
        <v>No</v>
      </c>
      <c r="J1869">
        <f t="shared" ca="1" si="357"/>
        <v>3</v>
      </c>
      <c r="K1869" t="str">
        <f t="shared" ca="1" si="358"/>
        <v>Private</v>
      </c>
      <c r="L1869" t="str">
        <f t="shared" ca="1" si="359"/>
        <v>ER</v>
      </c>
    </row>
    <row r="1870" spans="1:12" x14ac:dyDescent="0.25">
      <c r="A1870">
        <f t="shared" si="348"/>
        <v>1869</v>
      </c>
      <c r="B1870">
        <f t="shared" ca="1" si="349"/>
        <v>58</v>
      </c>
      <c r="C1870" t="str">
        <f t="shared" ca="1" si="350"/>
        <v>Female</v>
      </c>
      <c r="D1870" s="1">
        <f t="shared" ca="1" si="351"/>
        <v>45454</v>
      </c>
      <c r="E1870" s="1">
        <f t="shared" ca="1" si="352"/>
        <v>45463</v>
      </c>
      <c r="F1870" t="str">
        <f t="shared" ca="1" si="353"/>
        <v>Hypertension</v>
      </c>
      <c r="G1870" t="str">
        <f t="shared" ca="1" si="354"/>
        <v>Surgery</v>
      </c>
      <c r="H1870">
        <f t="shared" ca="1" si="355"/>
        <v>9</v>
      </c>
      <c r="I1870" t="str">
        <f t="shared" ca="1" si="356"/>
        <v>Yes</v>
      </c>
      <c r="J1870">
        <f t="shared" ca="1" si="357"/>
        <v>3</v>
      </c>
      <c r="K1870" t="str">
        <f t="shared" ca="1" si="358"/>
        <v>Private</v>
      </c>
      <c r="L1870" t="str">
        <f t="shared" ca="1" si="359"/>
        <v>Cardiology</v>
      </c>
    </row>
    <row r="1871" spans="1:12" x14ac:dyDescent="0.25">
      <c r="A1871">
        <f t="shared" si="348"/>
        <v>1870</v>
      </c>
      <c r="B1871">
        <f t="shared" ca="1" si="349"/>
        <v>63</v>
      </c>
      <c r="C1871" t="str">
        <f t="shared" ca="1" si="350"/>
        <v>Female</v>
      </c>
      <c r="D1871" s="1">
        <f t="shared" ca="1" si="351"/>
        <v>45400</v>
      </c>
      <c r="E1871" s="1">
        <f t="shared" ca="1" si="352"/>
        <v>45407</v>
      </c>
      <c r="F1871" t="str">
        <f t="shared" ca="1" si="353"/>
        <v>Heart Failure</v>
      </c>
      <c r="G1871" t="str">
        <f t="shared" ca="1" si="354"/>
        <v>Medication</v>
      </c>
      <c r="H1871">
        <f t="shared" ca="1" si="355"/>
        <v>7</v>
      </c>
      <c r="I1871" t="str">
        <f t="shared" ca="1" si="356"/>
        <v>No</v>
      </c>
      <c r="J1871">
        <f t="shared" ca="1" si="357"/>
        <v>0</v>
      </c>
      <c r="K1871" t="str">
        <f t="shared" ca="1" si="358"/>
        <v>Public</v>
      </c>
      <c r="L1871" t="str">
        <f t="shared" ca="1" si="359"/>
        <v>ER</v>
      </c>
    </row>
    <row r="1872" spans="1:12" x14ac:dyDescent="0.25">
      <c r="A1872">
        <f t="shared" si="348"/>
        <v>1871</v>
      </c>
      <c r="B1872">
        <f t="shared" ca="1" si="349"/>
        <v>83</v>
      </c>
      <c r="C1872" t="str">
        <f t="shared" ca="1" si="350"/>
        <v>Female</v>
      </c>
      <c r="D1872" s="1">
        <f t="shared" ca="1" si="351"/>
        <v>45439</v>
      </c>
      <c r="E1872" s="1">
        <f t="shared" ca="1" si="352"/>
        <v>45442</v>
      </c>
      <c r="F1872" t="str">
        <f t="shared" ca="1" si="353"/>
        <v>Heart Failure</v>
      </c>
      <c r="G1872" t="str">
        <f t="shared" ca="1" si="354"/>
        <v>Surgery</v>
      </c>
      <c r="H1872">
        <f t="shared" ca="1" si="355"/>
        <v>3</v>
      </c>
      <c r="I1872" t="str">
        <f t="shared" ca="1" si="356"/>
        <v>No</v>
      </c>
      <c r="J1872">
        <f t="shared" ca="1" si="357"/>
        <v>1</v>
      </c>
      <c r="K1872" t="str">
        <f t="shared" ca="1" si="358"/>
        <v>Public</v>
      </c>
      <c r="L1872" t="str">
        <f t="shared" ca="1" si="359"/>
        <v>ICU</v>
      </c>
    </row>
    <row r="1873" spans="1:12" x14ac:dyDescent="0.25">
      <c r="A1873">
        <f t="shared" si="348"/>
        <v>1872</v>
      </c>
      <c r="B1873">
        <f t="shared" ca="1" si="349"/>
        <v>21</v>
      </c>
      <c r="C1873" t="str">
        <f t="shared" ca="1" si="350"/>
        <v>Female</v>
      </c>
      <c r="D1873" s="1">
        <f t="shared" ca="1" si="351"/>
        <v>45428</v>
      </c>
      <c r="E1873" s="1">
        <f t="shared" ca="1" si="352"/>
        <v>45439</v>
      </c>
      <c r="F1873" t="str">
        <f t="shared" ca="1" si="353"/>
        <v>Heart Failure</v>
      </c>
      <c r="G1873" t="str">
        <f t="shared" ca="1" si="354"/>
        <v>Surgery</v>
      </c>
      <c r="H1873">
        <f t="shared" ca="1" si="355"/>
        <v>11</v>
      </c>
      <c r="I1873" t="str">
        <f t="shared" ca="1" si="356"/>
        <v>No</v>
      </c>
      <c r="J1873">
        <f t="shared" ca="1" si="357"/>
        <v>0</v>
      </c>
      <c r="K1873" t="str">
        <f t="shared" ca="1" si="358"/>
        <v>Public</v>
      </c>
      <c r="L1873" t="str">
        <f t="shared" ca="1" si="359"/>
        <v>ER</v>
      </c>
    </row>
    <row r="1874" spans="1:12" x14ac:dyDescent="0.25">
      <c r="A1874">
        <f t="shared" si="348"/>
        <v>1873</v>
      </c>
      <c r="B1874">
        <f t="shared" ca="1" si="349"/>
        <v>31</v>
      </c>
      <c r="C1874" t="str">
        <f t="shared" ca="1" si="350"/>
        <v>Male</v>
      </c>
      <c r="D1874" s="1">
        <f t="shared" ca="1" si="351"/>
        <v>45334</v>
      </c>
      <c r="E1874" s="1">
        <f t="shared" ca="1" si="352"/>
        <v>45338</v>
      </c>
      <c r="F1874" t="str">
        <f t="shared" ca="1" si="353"/>
        <v>Hypertension</v>
      </c>
      <c r="G1874" t="str">
        <f t="shared" ca="1" si="354"/>
        <v>Surgery</v>
      </c>
      <c r="H1874">
        <f t="shared" ca="1" si="355"/>
        <v>4</v>
      </c>
      <c r="I1874" t="str">
        <f t="shared" ca="1" si="356"/>
        <v>Yes</v>
      </c>
      <c r="J1874">
        <f t="shared" ca="1" si="357"/>
        <v>4</v>
      </c>
      <c r="K1874" t="str">
        <f t="shared" ca="1" si="358"/>
        <v>Private</v>
      </c>
      <c r="L1874" t="str">
        <f t="shared" ca="1" si="359"/>
        <v>ER</v>
      </c>
    </row>
    <row r="1875" spans="1:12" x14ac:dyDescent="0.25">
      <c r="A1875">
        <f t="shared" si="348"/>
        <v>1874</v>
      </c>
      <c r="B1875">
        <f t="shared" ca="1" si="349"/>
        <v>31</v>
      </c>
      <c r="C1875" t="str">
        <f t="shared" ca="1" si="350"/>
        <v>Male</v>
      </c>
      <c r="D1875" s="1">
        <f t="shared" ca="1" si="351"/>
        <v>45331</v>
      </c>
      <c r="E1875" s="1">
        <f t="shared" ca="1" si="352"/>
        <v>45343</v>
      </c>
      <c r="F1875" t="str">
        <f t="shared" ca="1" si="353"/>
        <v>Diabetes</v>
      </c>
      <c r="G1875" t="str">
        <f t="shared" ca="1" si="354"/>
        <v>Medication</v>
      </c>
      <c r="H1875">
        <f t="shared" ca="1" si="355"/>
        <v>12</v>
      </c>
      <c r="I1875" t="str">
        <f t="shared" ca="1" si="356"/>
        <v>No</v>
      </c>
      <c r="J1875">
        <f t="shared" ca="1" si="357"/>
        <v>0</v>
      </c>
      <c r="K1875" t="str">
        <f t="shared" ca="1" si="358"/>
        <v>Public</v>
      </c>
      <c r="L1875" t="str">
        <f t="shared" ca="1" si="359"/>
        <v>Cardiology</v>
      </c>
    </row>
    <row r="1876" spans="1:12" x14ac:dyDescent="0.25">
      <c r="A1876">
        <f t="shared" si="348"/>
        <v>1875</v>
      </c>
      <c r="B1876">
        <f t="shared" ca="1" si="349"/>
        <v>41</v>
      </c>
      <c r="C1876" t="str">
        <f t="shared" ca="1" si="350"/>
        <v>Male</v>
      </c>
      <c r="D1876" s="1">
        <f t="shared" ca="1" si="351"/>
        <v>45331</v>
      </c>
      <c r="E1876" s="1">
        <f t="shared" ca="1" si="352"/>
        <v>45341</v>
      </c>
      <c r="F1876" t="str">
        <f t="shared" ca="1" si="353"/>
        <v>Stroke</v>
      </c>
      <c r="G1876" t="str">
        <f t="shared" ca="1" si="354"/>
        <v>Medication</v>
      </c>
      <c r="H1876">
        <f t="shared" ca="1" si="355"/>
        <v>10</v>
      </c>
      <c r="I1876" t="str">
        <f t="shared" ca="1" si="356"/>
        <v>No</v>
      </c>
      <c r="J1876">
        <f t="shared" ca="1" si="357"/>
        <v>3</v>
      </c>
      <c r="K1876" t="str">
        <f t="shared" ca="1" si="358"/>
        <v>None</v>
      </c>
      <c r="L1876" t="str">
        <f t="shared" ca="1" si="359"/>
        <v>General</v>
      </c>
    </row>
    <row r="1877" spans="1:12" x14ac:dyDescent="0.25">
      <c r="A1877">
        <f t="shared" si="348"/>
        <v>1876</v>
      </c>
      <c r="B1877">
        <f t="shared" ca="1" si="349"/>
        <v>87</v>
      </c>
      <c r="C1877" t="str">
        <f t="shared" ca="1" si="350"/>
        <v>Male</v>
      </c>
      <c r="D1877" s="1">
        <f t="shared" ca="1" si="351"/>
        <v>45493</v>
      </c>
      <c r="E1877" s="1">
        <f t="shared" ca="1" si="352"/>
        <v>45507</v>
      </c>
      <c r="F1877" t="str">
        <f t="shared" ca="1" si="353"/>
        <v>Heart Failure</v>
      </c>
      <c r="G1877" t="str">
        <f t="shared" ca="1" si="354"/>
        <v>Surgery</v>
      </c>
      <c r="H1877">
        <f t="shared" ca="1" si="355"/>
        <v>14</v>
      </c>
      <c r="I1877" t="str">
        <f t="shared" ca="1" si="356"/>
        <v>No</v>
      </c>
      <c r="J1877">
        <f t="shared" ca="1" si="357"/>
        <v>1</v>
      </c>
      <c r="K1877" t="str">
        <f t="shared" ca="1" si="358"/>
        <v>Private</v>
      </c>
      <c r="L1877" t="str">
        <f t="shared" ca="1" si="359"/>
        <v>Neurology</v>
      </c>
    </row>
    <row r="1878" spans="1:12" x14ac:dyDescent="0.25">
      <c r="A1878">
        <f t="shared" si="348"/>
        <v>1877</v>
      </c>
      <c r="B1878">
        <f t="shared" ca="1" si="349"/>
        <v>66</v>
      </c>
      <c r="C1878" t="str">
        <f t="shared" ca="1" si="350"/>
        <v>Female</v>
      </c>
      <c r="D1878" s="1">
        <f t="shared" ca="1" si="351"/>
        <v>45503</v>
      </c>
      <c r="E1878" s="1">
        <f t="shared" ca="1" si="352"/>
        <v>45514</v>
      </c>
      <c r="F1878" t="str">
        <f t="shared" ca="1" si="353"/>
        <v>Stroke</v>
      </c>
      <c r="G1878" t="str">
        <f t="shared" ca="1" si="354"/>
        <v>Medication</v>
      </c>
      <c r="H1878">
        <f t="shared" ca="1" si="355"/>
        <v>11</v>
      </c>
      <c r="I1878" t="str">
        <f t="shared" ca="1" si="356"/>
        <v>Yes</v>
      </c>
      <c r="J1878">
        <f t="shared" ca="1" si="357"/>
        <v>1</v>
      </c>
      <c r="K1878" t="str">
        <f t="shared" ca="1" si="358"/>
        <v>None</v>
      </c>
      <c r="L1878" t="str">
        <f t="shared" ca="1" si="359"/>
        <v>Neurology</v>
      </c>
    </row>
    <row r="1879" spans="1:12" x14ac:dyDescent="0.25">
      <c r="A1879">
        <f t="shared" si="348"/>
        <v>1878</v>
      </c>
      <c r="B1879">
        <f t="shared" ca="1" si="349"/>
        <v>65</v>
      </c>
      <c r="C1879" t="str">
        <f t="shared" ca="1" si="350"/>
        <v>Male</v>
      </c>
      <c r="D1879" s="1">
        <f t="shared" ca="1" si="351"/>
        <v>45371</v>
      </c>
      <c r="E1879" s="1">
        <f t="shared" ca="1" si="352"/>
        <v>45376</v>
      </c>
      <c r="F1879" t="str">
        <f t="shared" ca="1" si="353"/>
        <v>Heart Failure</v>
      </c>
      <c r="G1879" t="str">
        <f t="shared" ca="1" si="354"/>
        <v>Therapy</v>
      </c>
      <c r="H1879">
        <f t="shared" ca="1" si="355"/>
        <v>5</v>
      </c>
      <c r="I1879" t="str">
        <f t="shared" ca="1" si="356"/>
        <v>No</v>
      </c>
      <c r="J1879">
        <f t="shared" ca="1" si="357"/>
        <v>1</v>
      </c>
      <c r="K1879" t="str">
        <f t="shared" ca="1" si="358"/>
        <v>None</v>
      </c>
      <c r="L1879" t="str">
        <f t="shared" ca="1" si="359"/>
        <v>ER</v>
      </c>
    </row>
    <row r="1880" spans="1:12" x14ac:dyDescent="0.25">
      <c r="A1880">
        <f t="shared" si="348"/>
        <v>1879</v>
      </c>
      <c r="B1880">
        <f t="shared" ca="1" si="349"/>
        <v>51</v>
      </c>
      <c r="C1880" t="str">
        <f t="shared" ca="1" si="350"/>
        <v>Female</v>
      </c>
      <c r="D1880" s="1">
        <f t="shared" ca="1" si="351"/>
        <v>45483</v>
      </c>
      <c r="E1880" s="1">
        <f t="shared" ca="1" si="352"/>
        <v>45485</v>
      </c>
      <c r="F1880" t="str">
        <f t="shared" ca="1" si="353"/>
        <v>Heart Failure</v>
      </c>
      <c r="G1880" t="str">
        <f t="shared" ca="1" si="354"/>
        <v>Surgery</v>
      </c>
      <c r="H1880">
        <f t="shared" ca="1" si="355"/>
        <v>2</v>
      </c>
      <c r="I1880" t="str">
        <f t="shared" ca="1" si="356"/>
        <v>No</v>
      </c>
      <c r="J1880">
        <f t="shared" ca="1" si="357"/>
        <v>4</v>
      </c>
      <c r="K1880" t="str">
        <f t="shared" ca="1" si="358"/>
        <v>Public</v>
      </c>
      <c r="L1880" t="str">
        <f t="shared" ca="1" si="359"/>
        <v>Cardiology</v>
      </c>
    </row>
    <row r="1881" spans="1:12" x14ac:dyDescent="0.25">
      <c r="A1881">
        <f t="shared" si="348"/>
        <v>1880</v>
      </c>
      <c r="B1881">
        <f t="shared" ca="1" si="349"/>
        <v>42</v>
      </c>
      <c r="C1881" t="str">
        <f t="shared" ca="1" si="350"/>
        <v>Male</v>
      </c>
      <c r="D1881" s="1">
        <f t="shared" ca="1" si="351"/>
        <v>45427</v>
      </c>
      <c r="E1881" s="1">
        <f t="shared" ca="1" si="352"/>
        <v>45430</v>
      </c>
      <c r="F1881" t="str">
        <f t="shared" ca="1" si="353"/>
        <v>Hypertension</v>
      </c>
      <c r="G1881" t="str">
        <f t="shared" ca="1" si="354"/>
        <v>Surgery</v>
      </c>
      <c r="H1881">
        <f t="shared" ca="1" si="355"/>
        <v>3</v>
      </c>
      <c r="I1881" t="str">
        <f t="shared" ca="1" si="356"/>
        <v>Yes</v>
      </c>
      <c r="J1881">
        <f t="shared" ca="1" si="357"/>
        <v>3</v>
      </c>
      <c r="K1881" t="str">
        <f t="shared" ca="1" si="358"/>
        <v>Public</v>
      </c>
      <c r="L1881" t="str">
        <f t="shared" ca="1" si="359"/>
        <v>General</v>
      </c>
    </row>
    <row r="1882" spans="1:12" x14ac:dyDescent="0.25">
      <c r="A1882">
        <f t="shared" si="348"/>
        <v>1881</v>
      </c>
      <c r="B1882">
        <f t="shared" ca="1" si="349"/>
        <v>58</v>
      </c>
      <c r="C1882" t="str">
        <f t="shared" ca="1" si="350"/>
        <v>Male</v>
      </c>
      <c r="D1882" s="1">
        <f t="shared" ca="1" si="351"/>
        <v>45427</v>
      </c>
      <c r="E1882" s="1">
        <f t="shared" ca="1" si="352"/>
        <v>45432</v>
      </c>
      <c r="F1882" t="str">
        <f t="shared" ca="1" si="353"/>
        <v>Diabetes</v>
      </c>
      <c r="G1882" t="str">
        <f t="shared" ca="1" si="354"/>
        <v>Medication</v>
      </c>
      <c r="H1882">
        <f t="shared" ca="1" si="355"/>
        <v>5</v>
      </c>
      <c r="I1882" t="str">
        <f t="shared" ca="1" si="356"/>
        <v>No</v>
      </c>
      <c r="J1882">
        <f t="shared" ca="1" si="357"/>
        <v>2</v>
      </c>
      <c r="K1882" t="str">
        <f t="shared" ca="1" si="358"/>
        <v>Private</v>
      </c>
      <c r="L1882" t="str">
        <f t="shared" ca="1" si="359"/>
        <v>General</v>
      </c>
    </row>
    <row r="1883" spans="1:12" x14ac:dyDescent="0.25">
      <c r="A1883">
        <f t="shared" si="348"/>
        <v>1882</v>
      </c>
      <c r="B1883">
        <f t="shared" ca="1" si="349"/>
        <v>83</v>
      </c>
      <c r="C1883" t="str">
        <f t="shared" ca="1" si="350"/>
        <v>Male</v>
      </c>
      <c r="D1883" s="1">
        <f t="shared" ca="1" si="351"/>
        <v>45400</v>
      </c>
      <c r="E1883" s="1">
        <f t="shared" ca="1" si="352"/>
        <v>45402</v>
      </c>
      <c r="F1883" t="str">
        <f t="shared" ca="1" si="353"/>
        <v>Hypertension</v>
      </c>
      <c r="G1883" t="str">
        <f t="shared" ca="1" si="354"/>
        <v>Medication</v>
      </c>
      <c r="H1883">
        <f t="shared" ca="1" si="355"/>
        <v>2</v>
      </c>
      <c r="I1883" t="str">
        <f t="shared" ca="1" si="356"/>
        <v>Yes</v>
      </c>
      <c r="J1883">
        <f t="shared" ca="1" si="357"/>
        <v>4</v>
      </c>
      <c r="K1883" t="str">
        <f t="shared" ca="1" si="358"/>
        <v>Private</v>
      </c>
      <c r="L1883" t="str">
        <f t="shared" ca="1" si="359"/>
        <v>General</v>
      </c>
    </row>
    <row r="1884" spans="1:12" x14ac:dyDescent="0.25">
      <c r="A1884">
        <f t="shared" si="348"/>
        <v>1883</v>
      </c>
      <c r="B1884">
        <f t="shared" ca="1" si="349"/>
        <v>24</v>
      </c>
      <c r="C1884" t="str">
        <f t="shared" ca="1" si="350"/>
        <v>Male</v>
      </c>
      <c r="D1884" s="1">
        <f t="shared" ca="1" si="351"/>
        <v>45444</v>
      </c>
      <c r="E1884" s="1">
        <f t="shared" ca="1" si="352"/>
        <v>45452</v>
      </c>
      <c r="F1884" t="str">
        <f t="shared" ca="1" si="353"/>
        <v>Heart Failure</v>
      </c>
      <c r="G1884" t="str">
        <f t="shared" ca="1" si="354"/>
        <v>Surgery</v>
      </c>
      <c r="H1884">
        <f t="shared" ca="1" si="355"/>
        <v>8</v>
      </c>
      <c r="I1884" t="str">
        <f t="shared" ca="1" si="356"/>
        <v>No</v>
      </c>
      <c r="J1884">
        <f t="shared" ca="1" si="357"/>
        <v>4</v>
      </c>
      <c r="K1884" t="str">
        <f t="shared" ca="1" si="358"/>
        <v>None</v>
      </c>
      <c r="L1884" t="str">
        <f t="shared" ca="1" si="359"/>
        <v>Neurology</v>
      </c>
    </row>
    <row r="1885" spans="1:12" x14ac:dyDescent="0.25">
      <c r="A1885">
        <f t="shared" si="348"/>
        <v>1884</v>
      </c>
      <c r="B1885">
        <f t="shared" ca="1" si="349"/>
        <v>48</v>
      </c>
      <c r="C1885" t="str">
        <f t="shared" ca="1" si="350"/>
        <v>Female</v>
      </c>
      <c r="D1885" s="1">
        <f t="shared" ca="1" si="351"/>
        <v>45406</v>
      </c>
      <c r="E1885" s="1">
        <f t="shared" ca="1" si="352"/>
        <v>45416</v>
      </c>
      <c r="F1885" t="str">
        <f t="shared" ca="1" si="353"/>
        <v>Diabetes</v>
      </c>
      <c r="G1885" t="str">
        <f t="shared" ca="1" si="354"/>
        <v>Surgery</v>
      </c>
      <c r="H1885">
        <f t="shared" ca="1" si="355"/>
        <v>10</v>
      </c>
      <c r="I1885" t="str">
        <f t="shared" ca="1" si="356"/>
        <v>No</v>
      </c>
      <c r="J1885">
        <f t="shared" ca="1" si="357"/>
        <v>3</v>
      </c>
      <c r="K1885" t="str">
        <f t="shared" ca="1" si="358"/>
        <v>None</v>
      </c>
      <c r="L1885" t="str">
        <f t="shared" ca="1" si="359"/>
        <v>Cardiology</v>
      </c>
    </row>
    <row r="1886" spans="1:12" x14ac:dyDescent="0.25">
      <c r="A1886">
        <f t="shared" si="348"/>
        <v>1885</v>
      </c>
      <c r="B1886">
        <f t="shared" ca="1" si="349"/>
        <v>84</v>
      </c>
      <c r="C1886" t="str">
        <f t="shared" ca="1" si="350"/>
        <v>Female</v>
      </c>
      <c r="D1886" s="1">
        <f t="shared" ca="1" si="351"/>
        <v>45504</v>
      </c>
      <c r="E1886" s="1">
        <f t="shared" ca="1" si="352"/>
        <v>45516</v>
      </c>
      <c r="F1886" t="str">
        <f t="shared" ca="1" si="353"/>
        <v>Heart Failure</v>
      </c>
      <c r="G1886" t="str">
        <f t="shared" ca="1" si="354"/>
        <v>Surgery</v>
      </c>
      <c r="H1886">
        <f t="shared" ca="1" si="355"/>
        <v>12</v>
      </c>
      <c r="I1886" t="str">
        <f t="shared" ca="1" si="356"/>
        <v>No</v>
      </c>
      <c r="J1886">
        <f t="shared" ca="1" si="357"/>
        <v>2</v>
      </c>
      <c r="K1886" t="str">
        <f t="shared" ca="1" si="358"/>
        <v>Public</v>
      </c>
      <c r="L1886" t="str">
        <f t="shared" ca="1" si="359"/>
        <v>Cardiology</v>
      </c>
    </row>
    <row r="1887" spans="1:12" x14ac:dyDescent="0.25">
      <c r="A1887">
        <f t="shared" si="348"/>
        <v>1886</v>
      </c>
      <c r="B1887">
        <f t="shared" ca="1" si="349"/>
        <v>80</v>
      </c>
      <c r="C1887" t="str">
        <f t="shared" ca="1" si="350"/>
        <v>Female</v>
      </c>
      <c r="D1887" s="1">
        <f t="shared" ca="1" si="351"/>
        <v>45615</v>
      </c>
      <c r="E1887" s="1">
        <f t="shared" ca="1" si="352"/>
        <v>45626</v>
      </c>
      <c r="F1887" t="str">
        <f t="shared" ca="1" si="353"/>
        <v>Heart Failure</v>
      </c>
      <c r="G1887" t="str">
        <f t="shared" ca="1" si="354"/>
        <v>Therapy</v>
      </c>
      <c r="H1887">
        <f t="shared" ca="1" si="355"/>
        <v>11</v>
      </c>
      <c r="I1887" t="str">
        <f t="shared" ca="1" si="356"/>
        <v>No</v>
      </c>
      <c r="J1887">
        <f t="shared" ca="1" si="357"/>
        <v>2</v>
      </c>
      <c r="K1887" t="str">
        <f t="shared" ca="1" si="358"/>
        <v>Public</v>
      </c>
      <c r="L1887" t="str">
        <f t="shared" ca="1" si="359"/>
        <v>Cardiology</v>
      </c>
    </row>
    <row r="1888" spans="1:12" x14ac:dyDescent="0.25">
      <c r="A1888">
        <f t="shared" si="348"/>
        <v>1887</v>
      </c>
      <c r="B1888">
        <f t="shared" ca="1" si="349"/>
        <v>71</v>
      </c>
      <c r="C1888" t="str">
        <f t="shared" ca="1" si="350"/>
        <v>Male</v>
      </c>
      <c r="D1888" s="1">
        <f t="shared" ca="1" si="351"/>
        <v>45608</v>
      </c>
      <c r="E1888" s="1">
        <f t="shared" ca="1" si="352"/>
        <v>45623</v>
      </c>
      <c r="F1888" t="str">
        <f t="shared" ca="1" si="353"/>
        <v>Diabetes</v>
      </c>
      <c r="G1888" t="str">
        <f t="shared" ca="1" si="354"/>
        <v>Therapy</v>
      </c>
      <c r="H1888">
        <f t="shared" ca="1" si="355"/>
        <v>15</v>
      </c>
      <c r="I1888" t="str">
        <f t="shared" ca="1" si="356"/>
        <v>No</v>
      </c>
      <c r="J1888">
        <f t="shared" ca="1" si="357"/>
        <v>3</v>
      </c>
      <c r="K1888" t="str">
        <f t="shared" ca="1" si="358"/>
        <v>Private</v>
      </c>
      <c r="L1888" t="str">
        <f t="shared" ca="1" si="359"/>
        <v>Neurology</v>
      </c>
    </row>
    <row r="1889" spans="1:12" x14ac:dyDescent="0.25">
      <c r="A1889">
        <f t="shared" si="348"/>
        <v>1888</v>
      </c>
      <c r="B1889">
        <f t="shared" ca="1" si="349"/>
        <v>20</v>
      </c>
      <c r="C1889" t="str">
        <f t="shared" ca="1" si="350"/>
        <v>Male</v>
      </c>
      <c r="D1889" s="1">
        <f t="shared" ca="1" si="351"/>
        <v>45374</v>
      </c>
      <c r="E1889" s="1">
        <f t="shared" ca="1" si="352"/>
        <v>45383</v>
      </c>
      <c r="F1889" t="str">
        <f t="shared" ca="1" si="353"/>
        <v>Stroke</v>
      </c>
      <c r="G1889" t="str">
        <f t="shared" ca="1" si="354"/>
        <v>Therapy</v>
      </c>
      <c r="H1889">
        <f t="shared" ca="1" si="355"/>
        <v>9</v>
      </c>
      <c r="I1889" t="str">
        <f t="shared" ca="1" si="356"/>
        <v>No</v>
      </c>
      <c r="J1889">
        <f t="shared" ca="1" si="357"/>
        <v>3</v>
      </c>
      <c r="K1889" t="str">
        <f t="shared" ca="1" si="358"/>
        <v>Private</v>
      </c>
      <c r="L1889" t="str">
        <f t="shared" ca="1" si="359"/>
        <v>General</v>
      </c>
    </row>
    <row r="1890" spans="1:12" x14ac:dyDescent="0.25">
      <c r="A1890">
        <f t="shared" si="348"/>
        <v>1889</v>
      </c>
      <c r="B1890">
        <f t="shared" ca="1" si="349"/>
        <v>64</v>
      </c>
      <c r="C1890" t="str">
        <f t="shared" ca="1" si="350"/>
        <v>Male</v>
      </c>
      <c r="D1890" s="1">
        <f t="shared" ca="1" si="351"/>
        <v>45506</v>
      </c>
      <c r="E1890" s="1">
        <f t="shared" ca="1" si="352"/>
        <v>45517</v>
      </c>
      <c r="F1890" t="str">
        <f t="shared" ca="1" si="353"/>
        <v>Heart Failure</v>
      </c>
      <c r="G1890" t="str">
        <f t="shared" ca="1" si="354"/>
        <v>Surgery</v>
      </c>
      <c r="H1890">
        <f t="shared" ca="1" si="355"/>
        <v>11</v>
      </c>
      <c r="I1890" t="str">
        <f t="shared" ca="1" si="356"/>
        <v>No</v>
      </c>
      <c r="J1890">
        <f t="shared" ca="1" si="357"/>
        <v>2</v>
      </c>
      <c r="K1890" t="str">
        <f t="shared" ca="1" si="358"/>
        <v>None</v>
      </c>
      <c r="L1890" t="str">
        <f t="shared" ca="1" si="359"/>
        <v>ICU</v>
      </c>
    </row>
    <row r="1891" spans="1:12" x14ac:dyDescent="0.25">
      <c r="A1891">
        <f t="shared" si="348"/>
        <v>1890</v>
      </c>
      <c r="B1891">
        <f t="shared" ca="1" si="349"/>
        <v>86</v>
      </c>
      <c r="C1891" t="str">
        <f t="shared" ca="1" si="350"/>
        <v>Female</v>
      </c>
      <c r="D1891" s="1">
        <f t="shared" ca="1" si="351"/>
        <v>45401</v>
      </c>
      <c r="E1891" s="1">
        <f t="shared" ca="1" si="352"/>
        <v>45415</v>
      </c>
      <c r="F1891" t="str">
        <f t="shared" ca="1" si="353"/>
        <v>Stroke</v>
      </c>
      <c r="G1891" t="str">
        <f t="shared" ca="1" si="354"/>
        <v>Medication</v>
      </c>
      <c r="H1891">
        <f t="shared" ca="1" si="355"/>
        <v>14</v>
      </c>
      <c r="I1891" t="str">
        <f t="shared" ca="1" si="356"/>
        <v>No</v>
      </c>
      <c r="J1891">
        <f t="shared" ca="1" si="357"/>
        <v>1</v>
      </c>
      <c r="K1891" t="str">
        <f t="shared" ca="1" si="358"/>
        <v>None</v>
      </c>
      <c r="L1891" t="str">
        <f t="shared" ca="1" si="359"/>
        <v>ICU</v>
      </c>
    </row>
    <row r="1892" spans="1:12" x14ac:dyDescent="0.25">
      <c r="A1892">
        <f t="shared" si="348"/>
        <v>1891</v>
      </c>
      <c r="B1892">
        <f t="shared" ca="1" si="349"/>
        <v>45</v>
      </c>
      <c r="C1892" t="str">
        <f t="shared" ca="1" si="350"/>
        <v>Female</v>
      </c>
      <c r="D1892" s="1">
        <f t="shared" ca="1" si="351"/>
        <v>45300</v>
      </c>
      <c r="E1892" s="1">
        <f t="shared" ca="1" si="352"/>
        <v>45313</v>
      </c>
      <c r="F1892" t="str">
        <f t="shared" ca="1" si="353"/>
        <v>Heart Failure</v>
      </c>
      <c r="G1892" t="str">
        <f t="shared" ca="1" si="354"/>
        <v>Surgery</v>
      </c>
      <c r="H1892">
        <f t="shared" ca="1" si="355"/>
        <v>13</v>
      </c>
      <c r="I1892" t="str">
        <f t="shared" ca="1" si="356"/>
        <v>Yes</v>
      </c>
      <c r="J1892">
        <f t="shared" ca="1" si="357"/>
        <v>1</v>
      </c>
      <c r="K1892" t="str">
        <f t="shared" ca="1" si="358"/>
        <v>Private</v>
      </c>
      <c r="L1892" t="str">
        <f t="shared" ca="1" si="359"/>
        <v>ER</v>
      </c>
    </row>
    <row r="1893" spans="1:12" x14ac:dyDescent="0.25">
      <c r="A1893">
        <f t="shared" si="348"/>
        <v>1892</v>
      </c>
      <c r="B1893">
        <f t="shared" ca="1" si="349"/>
        <v>37</v>
      </c>
      <c r="C1893" t="str">
        <f t="shared" ca="1" si="350"/>
        <v>Female</v>
      </c>
      <c r="D1893" s="1">
        <f t="shared" ca="1" si="351"/>
        <v>45649</v>
      </c>
      <c r="E1893" s="1">
        <f t="shared" ca="1" si="352"/>
        <v>45660</v>
      </c>
      <c r="F1893" t="str">
        <f t="shared" ca="1" si="353"/>
        <v>Heart Failure</v>
      </c>
      <c r="G1893" t="str">
        <f t="shared" ca="1" si="354"/>
        <v>Medication</v>
      </c>
      <c r="H1893">
        <f t="shared" ca="1" si="355"/>
        <v>11</v>
      </c>
      <c r="I1893" t="str">
        <f t="shared" ca="1" si="356"/>
        <v>No</v>
      </c>
      <c r="J1893">
        <f t="shared" ca="1" si="357"/>
        <v>1</v>
      </c>
      <c r="K1893" t="str">
        <f t="shared" ca="1" si="358"/>
        <v>Private</v>
      </c>
      <c r="L1893" t="str">
        <f t="shared" ca="1" si="359"/>
        <v>ICU</v>
      </c>
    </row>
    <row r="1894" spans="1:12" x14ac:dyDescent="0.25">
      <c r="A1894">
        <f t="shared" si="348"/>
        <v>1893</v>
      </c>
      <c r="B1894">
        <f t="shared" ca="1" si="349"/>
        <v>66</v>
      </c>
      <c r="C1894" t="str">
        <f t="shared" ca="1" si="350"/>
        <v>Male</v>
      </c>
      <c r="D1894" s="1">
        <f t="shared" ca="1" si="351"/>
        <v>45301</v>
      </c>
      <c r="E1894" s="1">
        <f t="shared" ca="1" si="352"/>
        <v>45315</v>
      </c>
      <c r="F1894" t="str">
        <f t="shared" ca="1" si="353"/>
        <v>Heart Failure</v>
      </c>
      <c r="G1894" t="str">
        <f t="shared" ca="1" si="354"/>
        <v>Therapy</v>
      </c>
      <c r="H1894">
        <f t="shared" ca="1" si="355"/>
        <v>14</v>
      </c>
      <c r="I1894" t="str">
        <f t="shared" ca="1" si="356"/>
        <v>No</v>
      </c>
      <c r="J1894">
        <f t="shared" ca="1" si="357"/>
        <v>3</v>
      </c>
      <c r="K1894" t="str">
        <f t="shared" ca="1" si="358"/>
        <v>Private</v>
      </c>
      <c r="L1894" t="str">
        <f t="shared" ca="1" si="359"/>
        <v>ER</v>
      </c>
    </row>
    <row r="1895" spans="1:12" x14ac:dyDescent="0.25">
      <c r="A1895">
        <f t="shared" si="348"/>
        <v>1894</v>
      </c>
      <c r="B1895">
        <f t="shared" ca="1" si="349"/>
        <v>80</v>
      </c>
      <c r="C1895" t="str">
        <f t="shared" ca="1" si="350"/>
        <v>Male</v>
      </c>
      <c r="D1895" s="1">
        <f t="shared" ca="1" si="351"/>
        <v>45483</v>
      </c>
      <c r="E1895" s="1">
        <f t="shared" ca="1" si="352"/>
        <v>45493</v>
      </c>
      <c r="F1895" t="str">
        <f t="shared" ca="1" si="353"/>
        <v>Stroke</v>
      </c>
      <c r="G1895" t="str">
        <f t="shared" ca="1" si="354"/>
        <v>Medication</v>
      </c>
      <c r="H1895">
        <f t="shared" ca="1" si="355"/>
        <v>10</v>
      </c>
      <c r="I1895" t="str">
        <f t="shared" ca="1" si="356"/>
        <v>No</v>
      </c>
      <c r="J1895">
        <f t="shared" ca="1" si="357"/>
        <v>2</v>
      </c>
      <c r="K1895" t="str">
        <f t="shared" ca="1" si="358"/>
        <v>Public</v>
      </c>
      <c r="L1895" t="str">
        <f t="shared" ca="1" si="359"/>
        <v>ICU</v>
      </c>
    </row>
    <row r="1896" spans="1:12" x14ac:dyDescent="0.25">
      <c r="A1896">
        <f t="shared" si="348"/>
        <v>1895</v>
      </c>
      <c r="B1896">
        <f t="shared" ca="1" si="349"/>
        <v>22</v>
      </c>
      <c r="C1896" t="str">
        <f t="shared" ca="1" si="350"/>
        <v>Female</v>
      </c>
      <c r="D1896" s="1">
        <f t="shared" ca="1" si="351"/>
        <v>45370</v>
      </c>
      <c r="E1896" s="1">
        <f t="shared" ca="1" si="352"/>
        <v>45371</v>
      </c>
      <c r="F1896" t="str">
        <f t="shared" ca="1" si="353"/>
        <v>Diabetes</v>
      </c>
      <c r="G1896" t="str">
        <f t="shared" ca="1" si="354"/>
        <v>Therapy</v>
      </c>
      <c r="H1896">
        <f t="shared" ca="1" si="355"/>
        <v>1</v>
      </c>
      <c r="I1896" t="str">
        <f t="shared" ca="1" si="356"/>
        <v>Yes</v>
      </c>
      <c r="J1896">
        <f t="shared" ca="1" si="357"/>
        <v>3</v>
      </c>
      <c r="K1896" t="str">
        <f t="shared" ca="1" si="358"/>
        <v>Public</v>
      </c>
      <c r="L1896" t="str">
        <f t="shared" ca="1" si="359"/>
        <v>ICU</v>
      </c>
    </row>
    <row r="1897" spans="1:12" x14ac:dyDescent="0.25">
      <c r="A1897">
        <f t="shared" si="348"/>
        <v>1896</v>
      </c>
      <c r="B1897">
        <f t="shared" ca="1" si="349"/>
        <v>33</v>
      </c>
      <c r="C1897" t="str">
        <f t="shared" ca="1" si="350"/>
        <v>Male</v>
      </c>
      <c r="D1897" s="1">
        <f t="shared" ca="1" si="351"/>
        <v>45352</v>
      </c>
      <c r="E1897" s="1">
        <f t="shared" ca="1" si="352"/>
        <v>45365</v>
      </c>
      <c r="F1897" t="str">
        <f t="shared" ca="1" si="353"/>
        <v>Heart Failure</v>
      </c>
      <c r="G1897" t="str">
        <f t="shared" ca="1" si="354"/>
        <v>Therapy</v>
      </c>
      <c r="H1897">
        <f t="shared" ca="1" si="355"/>
        <v>13</v>
      </c>
      <c r="I1897" t="str">
        <f t="shared" ca="1" si="356"/>
        <v>No</v>
      </c>
      <c r="J1897">
        <f t="shared" ca="1" si="357"/>
        <v>4</v>
      </c>
      <c r="K1897" t="str">
        <f t="shared" ca="1" si="358"/>
        <v>Private</v>
      </c>
      <c r="L1897" t="str">
        <f t="shared" ca="1" si="359"/>
        <v>ICU</v>
      </c>
    </row>
    <row r="1898" spans="1:12" x14ac:dyDescent="0.25">
      <c r="A1898">
        <f t="shared" si="348"/>
        <v>1897</v>
      </c>
      <c r="B1898">
        <f t="shared" ca="1" si="349"/>
        <v>57</v>
      </c>
      <c r="C1898" t="str">
        <f t="shared" ca="1" si="350"/>
        <v>Male</v>
      </c>
      <c r="D1898" s="1">
        <f t="shared" ca="1" si="351"/>
        <v>45344</v>
      </c>
      <c r="E1898" s="1">
        <f t="shared" ca="1" si="352"/>
        <v>45354</v>
      </c>
      <c r="F1898" t="str">
        <f t="shared" ca="1" si="353"/>
        <v>Diabetes</v>
      </c>
      <c r="G1898" t="str">
        <f t="shared" ca="1" si="354"/>
        <v>Medication</v>
      </c>
      <c r="H1898">
        <f t="shared" ca="1" si="355"/>
        <v>10</v>
      </c>
      <c r="I1898" t="str">
        <f t="shared" ca="1" si="356"/>
        <v>No</v>
      </c>
      <c r="J1898">
        <f t="shared" ca="1" si="357"/>
        <v>3</v>
      </c>
      <c r="K1898" t="str">
        <f t="shared" ca="1" si="358"/>
        <v>Public</v>
      </c>
      <c r="L1898" t="str">
        <f t="shared" ca="1" si="359"/>
        <v>General</v>
      </c>
    </row>
    <row r="1899" spans="1:12" x14ac:dyDescent="0.25">
      <c r="A1899">
        <f t="shared" si="348"/>
        <v>1898</v>
      </c>
      <c r="B1899">
        <f t="shared" ca="1" si="349"/>
        <v>49</v>
      </c>
      <c r="C1899" t="str">
        <f t="shared" ca="1" si="350"/>
        <v>Female</v>
      </c>
      <c r="D1899" s="1">
        <f t="shared" ca="1" si="351"/>
        <v>45421</v>
      </c>
      <c r="E1899" s="1">
        <f t="shared" ca="1" si="352"/>
        <v>45434</v>
      </c>
      <c r="F1899" t="str">
        <f t="shared" ca="1" si="353"/>
        <v>Stroke</v>
      </c>
      <c r="G1899" t="str">
        <f t="shared" ca="1" si="354"/>
        <v>Medication</v>
      </c>
      <c r="H1899">
        <f t="shared" ca="1" si="355"/>
        <v>13</v>
      </c>
      <c r="I1899" t="str">
        <f t="shared" ca="1" si="356"/>
        <v>Yes</v>
      </c>
      <c r="J1899">
        <f t="shared" ca="1" si="357"/>
        <v>1</v>
      </c>
      <c r="K1899" t="str">
        <f t="shared" ca="1" si="358"/>
        <v>None</v>
      </c>
      <c r="L1899" t="str">
        <f t="shared" ca="1" si="359"/>
        <v>Neurology</v>
      </c>
    </row>
    <row r="1900" spans="1:12" x14ac:dyDescent="0.25">
      <c r="A1900">
        <f t="shared" si="348"/>
        <v>1899</v>
      </c>
      <c r="B1900">
        <f t="shared" ca="1" si="349"/>
        <v>71</v>
      </c>
      <c r="C1900" t="str">
        <f t="shared" ca="1" si="350"/>
        <v>Female</v>
      </c>
      <c r="D1900" s="1">
        <f t="shared" ca="1" si="351"/>
        <v>45583</v>
      </c>
      <c r="E1900" s="1">
        <f t="shared" ca="1" si="352"/>
        <v>45586</v>
      </c>
      <c r="F1900" t="str">
        <f t="shared" ca="1" si="353"/>
        <v>Pneumonia</v>
      </c>
      <c r="G1900" t="str">
        <f t="shared" ca="1" si="354"/>
        <v>Medication</v>
      </c>
      <c r="H1900">
        <f t="shared" ca="1" si="355"/>
        <v>3</v>
      </c>
      <c r="I1900" t="str">
        <f t="shared" ca="1" si="356"/>
        <v>No</v>
      </c>
      <c r="J1900">
        <f t="shared" ca="1" si="357"/>
        <v>3</v>
      </c>
      <c r="K1900" t="str">
        <f t="shared" ca="1" si="358"/>
        <v>Private</v>
      </c>
      <c r="L1900" t="str">
        <f t="shared" ca="1" si="359"/>
        <v>Neurology</v>
      </c>
    </row>
    <row r="1901" spans="1:12" x14ac:dyDescent="0.25">
      <c r="A1901">
        <f t="shared" si="348"/>
        <v>1900</v>
      </c>
      <c r="B1901">
        <f t="shared" ca="1" si="349"/>
        <v>74</v>
      </c>
      <c r="C1901" t="str">
        <f t="shared" ca="1" si="350"/>
        <v>Male</v>
      </c>
      <c r="D1901" s="1">
        <f t="shared" ca="1" si="351"/>
        <v>45512</v>
      </c>
      <c r="E1901" s="1">
        <f t="shared" ca="1" si="352"/>
        <v>45514</v>
      </c>
      <c r="F1901" t="str">
        <f t="shared" ca="1" si="353"/>
        <v>Pneumonia</v>
      </c>
      <c r="G1901" t="str">
        <f t="shared" ca="1" si="354"/>
        <v>Medication</v>
      </c>
      <c r="H1901">
        <f t="shared" ca="1" si="355"/>
        <v>2</v>
      </c>
      <c r="I1901" t="str">
        <f t="shared" ca="1" si="356"/>
        <v>No</v>
      </c>
      <c r="J1901">
        <f t="shared" ca="1" si="357"/>
        <v>2</v>
      </c>
      <c r="K1901" t="str">
        <f t="shared" ca="1" si="358"/>
        <v>Public</v>
      </c>
      <c r="L1901" t="str">
        <f t="shared" ca="1" si="359"/>
        <v>Cardiology</v>
      </c>
    </row>
    <row r="1902" spans="1:12" x14ac:dyDescent="0.25">
      <c r="A1902">
        <f t="shared" si="348"/>
        <v>1901</v>
      </c>
      <c r="B1902">
        <f t="shared" ca="1" si="349"/>
        <v>75</v>
      </c>
      <c r="C1902" t="str">
        <f t="shared" ca="1" si="350"/>
        <v>Female</v>
      </c>
      <c r="D1902" s="1">
        <f t="shared" ca="1" si="351"/>
        <v>45306</v>
      </c>
      <c r="E1902" s="1">
        <f t="shared" ca="1" si="352"/>
        <v>45312</v>
      </c>
      <c r="F1902" t="str">
        <f t="shared" ca="1" si="353"/>
        <v>Diabetes</v>
      </c>
      <c r="G1902" t="str">
        <f t="shared" ca="1" si="354"/>
        <v>Therapy</v>
      </c>
      <c r="H1902">
        <f t="shared" ca="1" si="355"/>
        <v>6</v>
      </c>
      <c r="I1902" t="str">
        <f t="shared" ca="1" si="356"/>
        <v>Yes</v>
      </c>
      <c r="J1902">
        <f t="shared" ca="1" si="357"/>
        <v>3</v>
      </c>
      <c r="K1902" t="str">
        <f t="shared" ca="1" si="358"/>
        <v>None</v>
      </c>
      <c r="L1902" t="str">
        <f t="shared" ca="1" si="359"/>
        <v>ER</v>
      </c>
    </row>
    <row r="1903" spans="1:12" x14ac:dyDescent="0.25">
      <c r="A1903">
        <f t="shared" si="348"/>
        <v>1902</v>
      </c>
      <c r="B1903">
        <f t="shared" ca="1" si="349"/>
        <v>55</v>
      </c>
      <c r="C1903" t="str">
        <f t="shared" ca="1" si="350"/>
        <v>Male</v>
      </c>
      <c r="D1903" s="1">
        <f t="shared" ca="1" si="351"/>
        <v>45614</v>
      </c>
      <c r="E1903" s="1">
        <f t="shared" ca="1" si="352"/>
        <v>45620</v>
      </c>
      <c r="F1903" t="str">
        <f t="shared" ca="1" si="353"/>
        <v>Diabetes</v>
      </c>
      <c r="G1903" t="str">
        <f t="shared" ca="1" si="354"/>
        <v>Therapy</v>
      </c>
      <c r="H1903">
        <f t="shared" ca="1" si="355"/>
        <v>6</v>
      </c>
      <c r="I1903" t="str">
        <f t="shared" ca="1" si="356"/>
        <v>Yes</v>
      </c>
      <c r="J1903">
        <f t="shared" ca="1" si="357"/>
        <v>2</v>
      </c>
      <c r="K1903" t="str">
        <f t="shared" ca="1" si="358"/>
        <v>Public</v>
      </c>
      <c r="L1903" t="str">
        <f t="shared" ca="1" si="359"/>
        <v>General</v>
      </c>
    </row>
    <row r="1904" spans="1:12" x14ac:dyDescent="0.25">
      <c r="A1904">
        <f t="shared" si="348"/>
        <v>1903</v>
      </c>
      <c r="B1904">
        <f t="shared" ca="1" si="349"/>
        <v>20</v>
      </c>
      <c r="C1904" t="str">
        <f t="shared" ca="1" si="350"/>
        <v>Female</v>
      </c>
      <c r="D1904" s="1">
        <f t="shared" ca="1" si="351"/>
        <v>45484</v>
      </c>
      <c r="E1904" s="1">
        <f t="shared" ca="1" si="352"/>
        <v>45494</v>
      </c>
      <c r="F1904" t="str">
        <f t="shared" ca="1" si="353"/>
        <v>Pneumonia</v>
      </c>
      <c r="G1904" t="str">
        <f t="shared" ca="1" si="354"/>
        <v>Surgery</v>
      </c>
      <c r="H1904">
        <f t="shared" ca="1" si="355"/>
        <v>10</v>
      </c>
      <c r="I1904" t="str">
        <f t="shared" ca="1" si="356"/>
        <v>No</v>
      </c>
      <c r="J1904">
        <f t="shared" ca="1" si="357"/>
        <v>4</v>
      </c>
      <c r="K1904" t="str">
        <f t="shared" ca="1" si="358"/>
        <v>Public</v>
      </c>
      <c r="L1904" t="str">
        <f t="shared" ca="1" si="359"/>
        <v>ICU</v>
      </c>
    </row>
    <row r="1905" spans="1:12" x14ac:dyDescent="0.25">
      <c r="A1905">
        <f t="shared" si="348"/>
        <v>1904</v>
      </c>
      <c r="B1905">
        <f t="shared" ca="1" si="349"/>
        <v>78</v>
      </c>
      <c r="C1905" t="str">
        <f t="shared" ca="1" si="350"/>
        <v>Male</v>
      </c>
      <c r="D1905" s="1">
        <f t="shared" ca="1" si="351"/>
        <v>45478</v>
      </c>
      <c r="E1905" s="1">
        <f t="shared" ca="1" si="352"/>
        <v>45482</v>
      </c>
      <c r="F1905" t="str">
        <f t="shared" ca="1" si="353"/>
        <v>Stroke</v>
      </c>
      <c r="G1905" t="str">
        <f t="shared" ca="1" si="354"/>
        <v>Surgery</v>
      </c>
      <c r="H1905">
        <f t="shared" ca="1" si="355"/>
        <v>4</v>
      </c>
      <c r="I1905" t="str">
        <f t="shared" ca="1" si="356"/>
        <v>No</v>
      </c>
      <c r="J1905">
        <f t="shared" ca="1" si="357"/>
        <v>2</v>
      </c>
      <c r="K1905" t="str">
        <f t="shared" ca="1" si="358"/>
        <v>Public</v>
      </c>
      <c r="L1905" t="str">
        <f t="shared" ca="1" si="359"/>
        <v>General</v>
      </c>
    </row>
    <row r="1906" spans="1:12" x14ac:dyDescent="0.25">
      <c r="A1906">
        <f t="shared" si="348"/>
        <v>1905</v>
      </c>
      <c r="B1906">
        <f t="shared" ca="1" si="349"/>
        <v>37</v>
      </c>
      <c r="C1906" t="str">
        <f t="shared" ca="1" si="350"/>
        <v>Male</v>
      </c>
      <c r="D1906" s="1">
        <f t="shared" ca="1" si="351"/>
        <v>45387</v>
      </c>
      <c r="E1906" s="1">
        <f t="shared" ca="1" si="352"/>
        <v>45393</v>
      </c>
      <c r="F1906" t="str">
        <f t="shared" ca="1" si="353"/>
        <v>Diabetes</v>
      </c>
      <c r="G1906" t="str">
        <f t="shared" ca="1" si="354"/>
        <v>Medication</v>
      </c>
      <c r="H1906">
        <f t="shared" ca="1" si="355"/>
        <v>6</v>
      </c>
      <c r="I1906" t="str">
        <f t="shared" ca="1" si="356"/>
        <v>Yes</v>
      </c>
      <c r="J1906">
        <f t="shared" ca="1" si="357"/>
        <v>3</v>
      </c>
      <c r="K1906" t="str">
        <f t="shared" ca="1" si="358"/>
        <v>Public</v>
      </c>
      <c r="L1906" t="str">
        <f t="shared" ca="1" si="359"/>
        <v>General</v>
      </c>
    </row>
    <row r="1907" spans="1:12" x14ac:dyDescent="0.25">
      <c r="A1907">
        <f t="shared" si="348"/>
        <v>1906</v>
      </c>
      <c r="B1907">
        <f t="shared" ca="1" si="349"/>
        <v>60</v>
      </c>
      <c r="C1907" t="str">
        <f t="shared" ca="1" si="350"/>
        <v>Male</v>
      </c>
      <c r="D1907" s="1">
        <f t="shared" ca="1" si="351"/>
        <v>45481</v>
      </c>
      <c r="E1907" s="1">
        <f t="shared" ca="1" si="352"/>
        <v>45487</v>
      </c>
      <c r="F1907" t="str">
        <f t="shared" ca="1" si="353"/>
        <v>Hypertension</v>
      </c>
      <c r="G1907" t="str">
        <f t="shared" ca="1" si="354"/>
        <v>Surgery</v>
      </c>
      <c r="H1907">
        <f t="shared" ca="1" si="355"/>
        <v>6</v>
      </c>
      <c r="I1907" t="str">
        <f t="shared" ca="1" si="356"/>
        <v>No</v>
      </c>
      <c r="J1907">
        <f t="shared" ca="1" si="357"/>
        <v>1</v>
      </c>
      <c r="K1907" t="str">
        <f t="shared" ca="1" si="358"/>
        <v>Public</v>
      </c>
      <c r="L1907" t="str">
        <f t="shared" ca="1" si="359"/>
        <v>Cardiology</v>
      </c>
    </row>
    <row r="1908" spans="1:12" x14ac:dyDescent="0.25">
      <c r="A1908">
        <f t="shared" si="348"/>
        <v>1907</v>
      </c>
      <c r="B1908">
        <f t="shared" ca="1" si="349"/>
        <v>26</v>
      </c>
      <c r="C1908" t="str">
        <f t="shared" ca="1" si="350"/>
        <v>Female</v>
      </c>
      <c r="D1908" s="1">
        <f t="shared" ca="1" si="351"/>
        <v>45359</v>
      </c>
      <c r="E1908" s="1">
        <f t="shared" ca="1" si="352"/>
        <v>45360</v>
      </c>
      <c r="F1908" t="str">
        <f t="shared" ca="1" si="353"/>
        <v>Stroke</v>
      </c>
      <c r="G1908" t="str">
        <f t="shared" ca="1" si="354"/>
        <v>Surgery</v>
      </c>
      <c r="H1908">
        <f t="shared" ca="1" si="355"/>
        <v>1</v>
      </c>
      <c r="I1908" t="str">
        <f t="shared" ca="1" si="356"/>
        <v>No</v>
      </c>
      <c r="J1908">
        <f t="shared" ca="1" si="357"/>
        <v>2</v>
      </c>
      <c r="K1908" t="str">
        <f t="shared" ca="1" si="358"/>
        <v>None</v>
      </c>
      <c r="L1908" t="str">
        <f t="shared" ca="1" si="359"/>
        <v>ICU</v>
      </c>
    </row>
    <row r="1909" spans="1:12" x14ac:dyDescent="0.25">
      <c r="A1909">
        <f t="shared" si="348"/>
        <v>1908</v>
      </c>
      <c r="B1909">
        <f t="shared" ca="1" si="349"/>
        <v>80</v>
      </c>
      <c r="C1909" t="str">
        <f t="shared" ca="1" si="350"/>
        <v>Female</v>
      </c>
      <c r="D1909" s="1">
        <f t="shared" ca="1" si="351"/>
        <v>45375</v>
      </c>
      <c r="E1909" s="1">
        <f t="shared" ca="1" si="352"/>
        <v>45382</v>
      </c>
      <c r="F1909" t="str">
        <f t="shared" ca="1" si="353"/>
        <v>Hypertension</v>
      </c>
      <c r="G1909" t="str">
        <f t="shared" ca="1" si="354"/>
        <v>Medication</v>
      </c>
      <c r="H1909">
        <f t="shared" ca="1" si="355"/>
        <v>7</v>
      </c>
      <c r="I1909" t="str">
        <f t="shared" ca="1" si="356"/>
        <v>No</v>
      </c>
      <c r="J1909">
        <f t="shared" ca="1" si="357"/>
        <v>2</v>
      </c>
      <c r="K1909" t="str">
        <f t="shared" ca="1" si="358"/>
        <v>Private</v>
      </c>
      <c r="L1909" t="str">
        <f t="shared" ca="1" si="359"/>
        <v>Cardiology</v>
      </c>
    </row>
    <row r="1910" spans="1:12" x14ac:dyDescent="0.25">
      <c r="A1910">
        <f t="shared" si="348"/>
        <v>1909</v>
      </c>
      <c r="B1910">
        <f t="shared" ca="1" si="349"/>
        <v>44</v>
      </c>
      <c r="C1910" t="str">
        <f t="shared" ca="1" si="350"/>
        <v>Male</v>
      </c>
      <c r="D1910" s="1">
        <f t="shared" ca="1" si="351"/>
        <v>45611</v>
      </c>
      <c r="E1910" s="1">
        <f t="shared" ca="1" si="352"/>
        <v>45623</v>
      </c>
      <c r="F1910" t="str">
        <f t="shared" ca="1" si="353"/>
        <v>Stroke</v>
      </c>
      <c r="G1910" t="str">
        <f t="shared" ca="1" si="354"/>
        <v>Therapy</v>
      </c>
      <c r="H1910">
        <f t="shared" ca="1" si="355"/>
        <v>12</v>
      </c>
      <c r="I1910" t="str">
        <f t="shared" ca="1" si="356"/>
        <v>No</v>
      </c>
      <c r="J1910">
        <f t="shared" ca="1" si="357"/>
        <v>2</v>
      </c>
      <c r="K1910" t="str">
        <f t="shared" ca="1" si="358"/>
        <v>None</v>
      </c>
      <c r="L1910" t="str">
        <f t="shared" ca="1" si="359"/>
        <v>ICU</v>
      </c>
    </row>
    <row r="1911" spans="1:12" x14ac:dyDescent="0.25">
      <c r="A1911">
        <f t="shared" si="348"/>
        <v>1910</v>
      </c>
      <c r="B1911">
        <f t="shared" ca="1" si="349"/>
        <v>36</v>
      </c>
      <c r="C1911" t="str">
        <f t="shared" ca="1" si="350"/>
        <v>Female</v>
      </c>
      <c r="D1911" s="1">
        <f t="shared" ca="1" si="351"/>
        <v>45430</v>
      </c>
      <c r="E1911" s="1">
        <f t="shared" ca="1" si="352"/>
        <v>45439</v>
      </c>
      <c r="F1911" t="str">
        <f t="shared" ca="1" si="353"/>
        <v>Hypertension</v>
      </c>
      <c r="G1911" t="str">
        <f t="shared" ca="1" si="354"/>
        <v>Therapy</v>
      </c>
      <c r="H1911">
        <f t="shared" ca="1" si="355"/>
        <v>9</v>
      </c>
      <c r="I1911" t="str">
        <f t="shared" ca="1" si="356"/>
        <v>No</v>
      </c>
      <c r="J1911">
        <f t="shared" ca="1" si="357"/>
        <v>1</v>
      </c>
      <c r="K1911" t="str">
        <f t="shared" ca="1" si="358"/>
        <v>None</v>
      </c>
      <c r="L1911" t="str">
        <f t="shared" ca="1" si="359"/>
        <v>ICU</v>
      </c>
    </row>
    <row r="1912" spans="1:12" x14ac:dyDescent="0.25">
      <c r="A1912">
        <f t="shared" si="348"/>
        <v>1911</v>
      </c>
      <c r="B1912">
        <f t="shared" ca="1" si="349"/>
        <v>43</v>
      </c>
      <c r="C1912" t="str">
        <f t="shared" ca="1" si="350"/>
        <v>Female</v>
      </c>
      <c r="D1912" s="1">
        <f t="shared" ca="1" si="351"/>
        <v>45425</v>
      </c>
      <c r="E1912" s="1">
        <f t="shared" ca="1" si="352"/>
        <v>45430</v>
      </c>
      <c r="F1912" t="str">
        <f t="shared" ca="1" si="353"/>
        <v>Pneumonia</v>
      </c>
      <c r="G1912" t="str">
        <f t="shared" ca="1" si="354"/>
        <v>Surgery</v>
      </c>
      <c r="H1912">
        <f t="shared" ca="1" si="355"/>
        <v>5</v>
      </c>
      <c r="I1912" t="str">
        <f t="shared" ca="1" si="356"/>
        <v>No</v>
      </c>
      <c r="J1912">
        <f t="shared" ca="1" si="357"/>
        <v>0</v>
      </c>
      <c r="K1912" t="str">
        <f t="shared" ca="1" si="358"/>
        <v>Private</v>
      </c>
      <c r="L1912" t="str">
        <f t="shared" ca="1" si="359"/>
        <v>Cardiology</v>
      </c>
    </row>
    <row r="1913" spans="1:12" x14ac:dyDescent="0.25">
      <c r="A1913">
        <f t="shared" si="348"/>
        <v>1912</v>
      </c>
      <c r="B1913">
        <f t="shared" ca="1" si="349"/>
        <v>54</v>
      </c>
      <c r="C1913" t="str">
        <f t="shared" ca="1" si="350"/>
        <v>Female</v>
      </c>
      <c r="D1913" s="1">
        <f t="shared" ca="1" si="351"/>
        <v>45638</v>
      </c>
      <c r="E1913" s="1">
        <f t="shared" ca="1" si="352"/>
        <v>45639</v>
      </c>
      <c r="F1913" t="str">
        <f t="shared" ca="1" si="353"/>
        <v>Heart Failure</v>
      </c>
      <c r="G1913" t="str">
        <f t="shared" ca="1" si="354"/>
        <v>Surgery</v>
      </c>
      <c r="H1913">
        <f t="shared" ca="1" si="355"/>
        <v>1</v>
      </c>
      <c r="I1913" t="str">
        <f t="shared" ca="1" si="356"/>
        <v>Yes</v>
      </c>
      <c r="J1913">
        <f t="shared" ca="1" si="357"/>
        <v>4</v>
      </c>
      <c r="K1913" t="str">
        <f t="shared" ca="1" si="358"/>
        <v>Private</v>
      </c>
      <c r="L1913" t="str">
        <f t="shared" ca="1" si="359"/>
        <v>ICU</v>
      </c>
    </row>
    <row r="1914" spans="1:12" x14ac:dyDescent="0.25">
      <c r="A1914">
        <f t="shared" si="348"/>
        <v>1913</v>
      </c>
      <c r="B1914">
        <f t="shared" ca="1" si="349"/>
        <v>79</v>
      </c>
      <c r="C1914" t="str">
        <f t="shared" ca="1" si="350"/>
        <v>Female</v>
      </c>
      <c r="D1914" s="1">
        <f t="shared" ca="1" si="351"/>
        <v>45567</v>
      </c>
      <c r="E1914" s="1">
        <f t="shared" ca="1" si="352"/>
        <v>45573</v>
      </c>
      <c r="F1914" t="str">
        <f t="shared" ca="1" si="353"/>
        <v>Diabetes</v>
      </c>
      <c r="G1914" t="str">
        <f t="shared" ca="1" si="354"/>
        <v>Medication</v>
      </c>
      <c r="H1914">
        <f t="shared" ca="1" si="355"/>
        <v>6</v>
      </c>
      <c r="I1914" t="str">
        <f t="shared" ca="1" si="356"/>
        <v>No</v>
      </c>
      <c r="J1914">
        <f t="shared" ca="1" si="357"/>
        <v>4</v>
      </c>
      <c r="K1914" t="str">
        <f t="shared" ca="1" si="358"/>
        <v>None</v>
      </c>
      <c r="L1914" t="str">
        <f t="shared" ca="1" si="359"/>
        <v>General</v>
      </c>
    </row>
    <row r="1915" spans="1:12" x14ac:dyDescent="0.25">
      <c r="A1915">
        <f t="shared" si="348"/>
        <v>1914</v>
      </c>
      <c r="B1915">
        <f t="shared" ca="1" si="349"/>
        <v>62</v>
      </c>
      <c r="C1915" t="str">
        <f t="shared" ca="1" si="350"/>
        <v>Female</v>
      </c>
      <c r="D1915" s="1">
        <f t="shared" ca="1" si="351"/>
        <v>45404</v>
      </c>
      <c r="E1915" s="1">
        <f t="shared" ca="1" si="352"/>
        <v>45415</v>
      </c>
      <c r="F1915" t="str">
        <f t="shared" ca="1" si="353"/>
        <v>Stroke</v>
      </c>
      <c r="G1915" t="str">
        <f t="shared" ca="1" si="354"/>
        <v>Surgery</v>
      </c>
      <c r="H1915">
        <f t="shared" ca="1" si="355"/>
        <v>11</v>
      </c>
      <c r="I1915" t="str">
        <f t="shared" ca="1" si="356"/>
        <v>No</v>
      </c>
      <c r="J1915">
        <f t="shared" ca="1" si="357"/>
        <v>2</v>
      </c>
      <c r="K1915" t="str">
        <f t="shared" ca="1" si="358"/>
        <v>Public</v>
      </c>
      <c r="L1915" t="str">
        <f t="shared" ca="1" si="359"/>
        <v>General</v>
      </c>
    </row>
    <row r="1916" spans="1:12" x14ac:dyDescent="0.25">
      <c r="A1916">
        <f t="shared" si="348"/>
        <v>1915</v>
      </c>
      <c r="B1916">
        <f t="shared" ca="1" si="349"/>
        <v>42</v>
      </c>
      <c r="C1916" t="str">
        <f t="shared" ca="1" si="350"/>
        <v>Female</v>
      </c>
      <c r="D1916" s="1">
        <f t="shared" ca="1" si="351"/>
        <v>45438</v>
      </c>
      <c r="E1916" s="1">
        <f t="shared" ca="1" si="352"/>
        <v>45441</v>
      </c>
      <c r="F1916" t="str">
        <f t="shared" ca="1" si="353"/>
        <v>Diabetes</v>
      </c>
      <c r="G1916" t="str">
        <f t="shared" ca="1" si="354"/>
        <v>Surgery</v>
      </c>
      <c r="H1916">
        <f t="shared" ca="1" si="355"/>
        <v>3</v>
      </c>
      <c r="I1916" t="str">
        <f t="shared" ca="1" si="356"/>
        <v>No</v>
      </c>
      <c r="J1916">
        <f t="shared" ca="1" si="357"/>
        <v>0</v>
      </c>
      <c r="K1916" t="str">
        <f t="shared" ca="1" si="358"/>
        <v>Public</v>
      </c>
      <c r="L1916" t="str">
        <f t="shared" ca="1" si="359"/>
        <v>ER</v>
      </c>
    </row>
    <row r="1917" spans="1:12" x14ac:dyDescent="0.25">
      <c r="A1917">
        <f t="shared" si="348"/>
        <v>1916</v>
      </c>
      <c r="B1917">
        <f t="shared" ca="1" si="349"/>
        <v>41</v>
      </c>
      <c r="C1917" t="str">
        <f t="shared" ca="1" si="350"/>
        <v>Male</v>
      </c>
      <c r="D1917" s="1">
        <f t="shared" ca="1" si="351"/>
        <v>45540</v>
      </c>
      <c r="E1917" s="1">
        <f t="shared" ca="1" si="352"/>
        <v>45545</v>
      </c>
      <c r="F1917" t="str">
        <f t="shared" ca="1" si="353"/>
        <v>Diabetes</v>
      </c>
      <c r="G1917" t="str">
        <f t="shared" ca="1" si="354"/>
        <v>Therapy</v>
      </c>
      <c r="H1917">
        <f t="shared" ca="1" si="355"/>
        <v>5</v>
      </c>
      <c r="I1917" t="str">
        <f t="shared" ca="1" si="356"/>
        <v>No</v>
      </c>
      <c r="J1917">
        <f t="shared" ca="1" si="357"/>
        <v>2</v>
      </c>
      <c r="K1917" t="str">
        <f t="shared" ca="1" si="358"/>
        <v>Public</v>
      </c>
      <c r="L1917" t="str">
        <f t="shared" ca="1" si="359"/>
        <v>Neurology</v>
      </c>
    </row>
    <row r="1918" spans="1:12" x14ac:dyDescent="0.25">
      <c r="A1918">
        <f t="shared" si="348"/>
        <v>1917</v>
      </c>
      <c r="B1918">
        <f t="shared" ca="1" si="349"/>
        <v>41</v>
      </c>
      <c r="C1918" t="str">
        <f t="shared" ca="1" si="350"/>
        <v>Male</v>
      </c>
      <c r="D1918" s="1">
        <f t="shared" ca="1" si="351"/>
        <v>45556</v>
      </c>
      <c r="E1918" s="1">
        <f t="shared" ca="1" si="352"/>
        <v>45566</v>
      </c>
      <c r="F1918" t="str">
        <f t="shared" ca="1" si="353"/>
        <v>Heart Failure</v>
      </c>
      <c r="G1918" t="str">
        <f t="shared" ca="1" si="354"/>
        <v>Therapy</v>
      </c>
      <c r="H1918">
        <f t="shared" ca="1" si="355"/>
        <v>10</v>
      </c>
      <c r="I1918" t="str">
        <f t="shared" ca="1" si="356"/>
        <v>No</v>
      </c>
      <c r="J1918">
        <f t="shared" ca="1" si="357"/>
        <v>1</v>
      </c>
      <c r="K1918" t="str">
        <f t="shared" ca="1" si="358"/>
        <v>Private</v>
      </c>
      <c r="L1918" t="str">
        <f t="shared" ca="1" si="359"/>
        <v>ER</v>
      </c>
    </row>
    <row r="1919" spans="1:12" x14ac:dyDescent="0.25">
      <c r="A1919">
        <f t="shared" si="348"/>
        <v>1918</v>
      </c>
      <c r="B1919">
        <f t="shared" ca="1" si="349"/>
        <v>67</v>
      </c>
      <c r="C1919" t="str">
        <f t="shared" ca="1" si="350"/>
        <v>Female</v>
      </c>
      <c r="D1919" s="1">
        <f t="shared" ca="1" si="351"/>
        <v>45305</v>
      </c>
      <c r="E1919" s="1">
        <f t="shared" ca="1" si="352"/>
        <v>45307</v>
      </c>
      <c r="F1919" t="str">
        <f t="shared" ca="1" si="353"/>
        <v>Stroke</v>
      </c>
      <c r="G1919" t="str">
        <f t="shared" ca="1" si="354"/>
        <v>Surgery</v>
      </c>
      <c r="H1919">
        <f t="shared" ca="1" si="355"/>
        <v>2</v>
      </c>
      <c r="I1919" t="str">
        <f t="shared" ca="1" si="356"/>
        <v>Yes</v>
      </c>
      <c r="J1919">
        <f t="shared" ca="1" si="357"/>
        <v>2</v>
      </c>
      <c r="K1919" t="str">
        <f t="shared" ca="1" si="358"/>
        <v>Private</v>
      </c>
      <c r="L1919" t="str">
        <f t="shared" ca="1" si="359"/>
        <v>Cardiology</v>
      </c>
    </row>
    <row r="1920" spans="1:12" x14ac:dyDescent="0.25">
      <c r="A1920">
        <f t="shared" si="348"/>
        <v>1919</v>
      </c>
      <c r="B1920">
        <f t="shared" ca="1" si="349"/>
        <v>88</v>
      </c>
      <c r="C1920" t="str">
        <f t="shared" ca="1" si="350"/>
        <v>Male</v>
      </c>
      <c r="D1920" s="1">
        <f t="shared" ca="1" si="351"/>
        <v>45641</v>
      </c>
      <c r="E1920" s="1">
        <f t="shared" ca="1" si="352"/>
        <v>45643</v>
      </c>
      <c r="F1920" t="str">
        <f t="shared" ca="1" si="353"/>
        <v>Pneumonia</v>
      </c>
      <c r="G1920" t="str">
        <f t="shared" ca="1" si="354"/>
        <v>Therapy</v>
      </c>
      <c r="H1920">
        <f t="shared" ca="1" si="355"/>
        <v>2</v>
      </c>
      <c r="I1920" t="str">
        <f t="shared" ca="1" si="356"/>
        <v>No</v>
      </c>
      <c r="J1920">
        <f t="shared" ca="1" si="357"/>
        <v>4</v>
      </c>
      <c r="K1920" t="str">
        <f t="shared" ca="1" si="358"/>
        <v>Public</v>
      </c>
      <c r="L1920" t="str">
        <f t="shared" ca="1" si="359"/>
        <v>ER</v>
      </c>
    </row>
    <row r="1921" spans="1:12" x14ac:dyDescent="0.25">
      <c r="A1921">
        <f t="shared" si="348"/>
        <v>1920</v>
      </c>
      <c r="B1921">
        <f t="shared" ca="1" si="349"/>
        <v>42</v>
      </c>
      <c r="C1921" t="str">
        <f t="shared" ca="1" si="350"/>
        <v>Male</v>
      </c>
      <c r="D1921" s="1">
        <f t="shared" ca="1" si="351"/>
        <v>45471</v>
      </c>
      <c r="E1921" s="1">
        <f t="shared" ca="1" si="352"/>
        <v>45483</v>
      </c>
      <c r="F1921" t="str">
        <f t="shared" ca="1" si="353"/>
        <v>Heart Failure</v>
      </c>
      <c r="G1921" t="str">
        <f t="shared" ca="1" si="354"/>
        <v>Medication</v>
      </c>
      <c r="H1921">
        <f t="shared" ca="1" si="355"/>
        <v>12</v>
      </c>
      <c r="I1921" t="str">
        <f t="shared" ca="1" si="356"/>
        <v>Yes</v>
      </c>
      <c r="J1921">
        <f t="shared" ca="1" si="357"/>
        <v>4</v>
      </c>
      <c r="K1921" t="str">
        <f t="shared" ca="1" si="358"/>
        <v>Public</v>
      </c>
      <c r="L1921" t="str">
        <f t="shared" ca="1" si="359"/>
        <v>Neurology</v>
      </c>
    </row>
    <row r="1922" spans="1:12" x14ac:dyDescent="0.25">
      <c r="A1922">
        <f t="shared" si="348"/>
        <v>1921</v>
      </c>
      <c r="B1922">
        <f t="shared" ca="1" si="349"/>
        <v>75</v>
      </c>
      <c r="C1922" t="str">
        <f t="shared" ca="1" si="350"/>
        <v>Male</v>
      </c>
      <c r="D1922" s="1">
        <f t="shared" ca="1" si="351"/>
        <v>45388</v>
      </c>
      <c r="E1922" s="1">
        <f t="shared" ca="1" si="352"/>
        <v>45391</v>
      </c>
      <c r="F1922" t="str">
        <f t="shared" ca="1" si="353"/>
        <v>Hypertension</v>
      </c>
      <c r="G1922" t="str">
        <f t="shared" ca="1" si="354"/>
        <v>Therapy</v>
      </c>
      <c r="H1922">
        <f t="shared" ca="1" si="355"/>
        <v>3</v>
      </c>
      <c r="I1922" t="str">
        <f t="shared" ca="1" si="356"/>
        <v>No</v>
      </c>
      <c r="J1922">
        <f t="shared" ca="1" si="357"/>
        <v>1</v>
      </c>
      <c r="K1922" t="str">
        <f t="shared" ca="1" si="358"/>
        <v>Private</v>
      </c>
      <c r="L1922" t="str">
        <f t="shared" ca="1" si="359"/>
        <v>Cardiology</v>
      </c>
    </row>
    <row r="1923" spans="1:12" x14ac:dyDescent="0.25">
      <c r="A1923">
        <f t="shared" ref="A1923:A1986" si="360">ROW() -1</f>
        <v>1922</v>
      </c>
      <c r="B1923">
        <f t="shared" ref="B1923:B1986" ca="1" si="361">RANDBETWEEN(20,90)</f>
        <v>54</v>
      </c>
      <c r="C1923" t="str">
        <f t="shared" ref="C1923:C1986" ca="1" si="362">IF(RAND()&lt;0.5,"Male","Female")</f>
        <v>Male</v>
      </c>
      <c r="D1923" s="1">
        <f t="shared" ref="D1923:D1986" ca="1" si="363">DATE(2024,1,1)+RANDBETWEEN(0,364)</f>
        <v>45471</v>
      </c>
      <c r="E1923" s="1">
        <f t="shared" ref="E1923:E1986" ca="1" si="364">D1923+RANDBETWEEN(1,15)</f>
        <v>45474</v>
      </c>
      <c r="F1923" t="str">
        <f t="shared" ref="F1923:F1986" ca="1" si="365">CHOOSE(RANDBETWEEN(1,5),"Diabetes","Heart Failure","Pneumonia","Stroke","Hypertension")</f>
        <v>Heart Failure</v>
      </c>
      <c r="G1923" t="str">
        <f t="shared" ref="G1923:G1986" ca="1" si="366">CHOOSE(RANDBETWEEN(1,3),"Medication","Surgery","Therapy")</f>
        <v>Therapy</v>
      </c>
      <c r="H1923">
        <f t="shared" ref="H1923:H1986" ca="1" si="367">DATEDIF(D1923,E1923,"D")</f>
        <v>3</v>
      </c>
      <c r="I1923" t="str">
        <f t="shared" ref="I1923:I1986" ca="1" si="368">IF(RAND()&lt;0.3,"Yes","No")</f>
        <v>Yes</v>
      </c>
      <c r="J1923">
        <f t="shared" ref="J1923:J1986" ca="1" si="369">RANDBETWEEN(0,4)</f>
        <v>4</v>
      </c>
      <c r="K1923" t="str">
        <f t="shared" ref="K1923:K1986" ca="1" si="370">CHOOSE(RANDBETWEEN(1,3),"Private","Public","None")</f>
        <v>None</v>
      </c>
      <c r="L1923" t="str">
        <f t="shared" ref="L1923:L1986" ca="1" si="371">CHOOSE(RANDBETWEEN(1,5),"ER","Cardiology","Neurology","General","ICU")</f>
        <v>ICU</v>
      </c>
    </row>
    <row r="1924" spans="1:12" x14ac:dyDescent="0.25">
      <c r="A1924">
        <f t="shared" si="360"/>
        <v>1923</v>
      </c>
      <c r="B1924">
        <f t="shared" ca="1" si="361"/>
        <v>41</v>
      </c>
      <c r="C1924" t="str">
        <f t="shared" ca="1" si="362"/>
        <v>Male</v>
      </c>
      <c r="D1924" s="1">
        <f t="shared" ca="1" si="363"/>
        <v>45463</v>
      </c>
      <c r="E1924" s="1">
        <f t="shared" ca="1" si="364"/>
        <v>45471</v>
      </c>
      <c r="F1924" t="str">
        <f t="shared" ca="1" si="365"/>
        <v>Stroke</v>
      </c>
      <c r="G1924" t="str">
        <f t="shared" ca="1" si="366"/>
        <v>Therapy</v>
      </c>
      <c r="H1924">
        <f t="shared" ca="1" si="367"/>
        <v>8</v>
      </c>
      <c r="I1924" t="str">
        <f t="shared" ca="1" si="368"/>
        <v>Yes</v>
      </c>
      <c r="J1924">
        <f t="shared" ca="1" si="369"/>
        <v>4</v>
      </c>
      <c r="K1924" t="str">
        <f t="shared" ca="1" si="370"/>
        <v>Private</v>
      </c>
      <c r="L1924" t="str">
        <f t="shared" ca="1" si="371"/>
        <v>General</v>
      </c>
    </row>
    <row r="1925" spans="1:12" x14ac:dyDescent="0.25">
      <c r="A1925">
        <f t="shared" si="360"/>
        <v>1924</v>
      </c>
      <c r="B1925">
        <f t="shared" ca="1" si="361"/>
        <v>69</v>
      </c>
      <c r="C1925" t="str">
        <f t="shared" ca="1" si="362"/>
        <v>Male</v>
      </c>
      <c r="D1925" s="1">
        <f t="shared" ca="1" si="363"/>
        <v>45333</v>
      </c>
      <c r="E1925" s="1">
        <f t="shared" ca="1" si="364"/>
        <v>45343</v>
      </c>
      <c r="F1925" t="str">
        <f t="shared" ca="1" si="365"/>
        <v>Heart Failure</v>
      </c>
      <c r="G1925" t="str">
        <f t="shared" ca="1" si="366"/>
        <v>Therapy</v>
      </c>
      <c r="H1925">
        <f t="shared" ca="1" si="367"/>
        <v>10</v>
      </c>
      <c r="I1925" t="str">
        <f t="shared" ca="1" si="368"/>
        <v>No</v>
      </c>
      <c r="J1925">
        <f t="shared" ca="1" si="369"/>
        <v>4</v>
      </c>
      <c r="K1925" t="str">
        <f t="shared" ca="1" si="370"/>
        <v>Private</v>
      </c>
      <c r="L1925" t="str">
        <f t="shared" ca="1" si="371"/>
        <v>Cardiology</v>
      </c>
    </row>
    <row r="1926" spans="1:12" x14ac:dyDescent="0.25">
      <c r="A1926">
        <f t="shared" si="360"/>
        <v>1925</v>
      </c>
      <c r="B1926">
        <f t="shared" ca="1" si="361"/>
        <v>46</v>
      </c>
      <c r="C1926" t="str">
        <f t="shared" ca="1" si="362"/>
        <v>Male</v>
      </c>
      <c r="D1926" s="1">
        <f t="shared" ca="1" si="363"/>
        <v>45363</v>
      </c>
      <c r="E1926" s="1">
        <f t="shared" ca="1" si="364"/>
        <v>45378</v>
      </c>
      <c r="F1926" t="str">
        <f t="shared" ca="1" si="365"/>
        <v>Heart Failure</v>
      </c>
      <c r="G1926" t="str">
        <f t="shared" ca="1" si="366"/>
        <v>Medication</v>
      </c>
      <c r="H1926">
        <f t="shared" ca="1" si="367"/>
        <v>15</v>
      </c>
      <c r="I1926" t="str">
        <f t="shared" ca="1" si="368"/>
        <v>No</v>
      </c>
      <c r="J1926">
        <f t="shared" ca="1" si="369"/>
        <v>1</v>
      </c>
      <c r="K1926" t="str">
        <f t="shared" ca="1" si="370"/>
        <v>None</v>
      </c>
      <c r="L1926" t="str">
        <f t="shared" ca="1" si="371"/>
        <v>ICU</v>
      </c>
    </row>
    <row r="1927" spans="1:12" x14ac:dyDescent="0.25">
      <c r="A1927">
        <f t="shared" si="360"/>
        <v>1926</v>
      </c>
      <c r="B1927">
        <f t="shared" ca="1" si="361"/>
        <v>85</v>
      </c>
      <c r="C1927" t="str">
        <f t="shared" ca="1" si="362"/>
        <v>Male</v>
      </c>
      <c r="D1927" s="1">
        <f t="shared" ca="1" si="363"/>
        <v>45592</v>
      </c>
      <c r="E1927" s="1">
        <f t="shared" ca="1" si="364"/>
        <v>45597</v>
      </c>
      <c r="F1927" t="str">
        <f t="shared" ca="1" si="365"/>
        <v>Heart Failure</v>
      </c>
      <c r="G1927" t="str">
        <f t="shared" ca="1" si="366"/>
        <v>Therapy</v>
      </c>
      <c r="H1927">
        <f t="shared" ca="1" si="367"/>
        <v>5</v>
      </c>
      <c r="I1927" t="str">
        <f t="shared" ca="1" si="368"/>
        <v>Yes</v>
      </c>
      <c r="J1927">
        <f t="shared" ca="1" si="369"/>
        <v>3</v>
      </c>
      <c r="K1927" t="str">
        <f t="shared" ca="1" si="370"/>
        <v>Private</v>
      </c>
      <c r="L1927" t="str">
        <f t="shared" ca="1" si="371"/>
        <v>ER</v>
      </c>
    </row>
    <row r="1928" spans="1:12" x14ac:dyDescent="0.25">
      <c r="A1928">
        <f t="shared" si="360"/>
        <v>1927</v>
      </c>
      <c r="B1928">
        <f t="shared" ca="1" si="361"/>
        <v>34</v>
      </c>
      <c r="C1928" t="str">
        <f t="shared" ca="1" si="362"/>
        <v>Male</v>
      </c>
      <c r="D1928" s="1">
        <f t="shared" ca="1" si="363"/>
        <v>45479</v>
      </c>
      <c r="E1928" s="1">
        <f t="shared" ca="1" si="364"/>
        <v>45483</v>
      </c>
      <c r="F1928" t="str">
        <f t="shared" ca="1" si="365"/>
        <v>Pneumonia</v>
      </c>
      <c r="G1928" t="str">
        <f t="shared" ca="1" si="366"/>
        <v>Medication</v>
      </c>
      <c r="H1928">
        <f t="shared" ca="1" si="367"/>
        <v>4</v>
      </c>
      <c r="I1928" t="str">
        <f t="shared" ca="1" si="368"/>
        <v>No</v>
      </c>
      <c r="J1928">
        <f t="shared" ca="1" si="369"/>
        <v>1</v>
      </c>
      <c r="K1928" t="str">
        <f t="shared" ca="1" si="370"/>
        <v>None</v>
      </c>
      <c r="L1928" t="str">
        <f t="shared" ca="1" si="371"/>
        <v>ICU</v>
      </c>
    </row>
    <row r="1929" spans="1:12" x14ac:dyDescent="0.25">
      <c r="A1929">
        <f t="shared" si="360"/>
        <v>1928</v>
      </c>
      <c r="B1929">
        <f t="shared" ca="1" si="361"/>
        <v>62</v>
      </c>
      <c r="C1929" t="str">
        <f t="shared" ca="1" si="362"/>
        <v>Male</v>
      </c>
      <c r="D1929" s="1">
        <f t="shared" ca="1" si="363"/>
        <v>45455</v>
      </c>
      <c r="E1929" s="1">
        <f t="shared" ca="1" si="364"/>
        <v>45469</v>
      </c>
      <c r="F1929" t="str">
        <f t="shared" ca="1" si="365"/>
        <v>Stroke</v>
      </c>
      <c r="G1929" t="str">
        <f t="shared" ca="1" si="366"/>
        <v>Medication</v>
      </c>
      <c r="H1929">
        <f t="shared" ca="1" si="367"/>
        <v>14</v>
      </c>
      <c r="I1929" t="str">
        <f t="shared" ca="1" si="368"/>
        <v>Yes</v>
      </c>
      <c r="J1929">
        <f t="shared" ca="1" si="369"/>
        <v>1</v>
      </c>
      <c r="K1929" t="str">
        <f t="shared" ca="1" si="370"/>
        <v>Public</v>
      </c>
      <c r="L1929" t="str">
        <f t="shared" ca="1" si="371"/>
        <v>Cardiology</v>
      </c>
    </row>
    <row r="1930" spans="1:12" x14ac:dyDescent="0.25">
      <c r="A1930">
        <f t="shared" si="360"/>
        <v>1929</v>
      </c>
      <c r="B1930">
        <f t="shared" ca="1" si="361"/>
        <v>31</v>
      </c>
      <c r="C1930" t="str">
        <f t="shared" ca="1" si="362"/>
        <v>Male</v>
      </c>
      <c r="D1930" s="1">
        <f t="shared" ca="1" si="363"/>
        <v>45435</v>
      </c>
      <c r="E1930" s="1">
        <f t="shared" ca="1" si="364"/>
        <v>45439</v>
      </c>
      <c r="F1930" t="str">
        <f t="shared" ca="1" si="365"/>
        <v>Heart Failure</v>
      </c>
      <c r="G1930" t="str">
        <f t="shared" ca="1" si="366"/>
        <v>Surgery</v>
      </c>
      <c r="H1930">
        <f t="shared" ca="1" si="367"/>
        <v>4</v>
      </c>
      <c r="I1930" t="str">
        <f t="shared" ca="1" si="368"/>
        <v>No</v>
      </c>
      <c r="J1930">
        <f t="shared" ca="1" si="369"/>
        <v>2</v>
      </c>
      <c r="K1930" t="str">
        <f t="shared" ca="1" si="370"/>
        <v>None</v>
      </c>
      <c r="L1930" t="str">
        <f t="shared" ca="1" si="371"/>
        <v>Neurology</v>
      </c>
    </row>
    <row r="1931" spans="1:12" x14ac:dyDescent="0.25">
      <c r="A1931">
        <f t="shared" si="360"/>
        <v>1930</v>
      </c>
      <c r="B1931">
        <f t="shared" ca="1" si="361"/>
        <v>35</v>
      </c>
      <c r="C1931" t="str">
        <f t="shared" ca="1" si="362"/>
        <v>Male</v>
      </c>
      <c r="D1931" s="1">
        <f t="shared" ca="1" si="363"/>
        <v>45609</v>
      </c>
      <c r="E1931" s="1">
        <f t="shared" ca="1" si="364"/>
        <v>45623</v>
      </c>
      <c r="F1931" t="str">
        <f t="shared" ca="1" si="365"/>
        <v>Hypertension</v>
      </c>
      <c r="G1931" t="str">
        <f t="shared" ca="1" si="366"/>
        <v>Surgery</v>
      </c>
      <c r="H1931">
        <f t="shared" ca="1" si="367"/>
        <v>14</v>
      </c>
      <c r="I1931" t="str">
        <f t="shared" ca="1" si="368"/>
        <v>No</v>
      </c>
      <c r="J1931">
        <f t="shared" ca="1" si="369"/>
        <v>0</v>
      </c>
      <c r="K1931" t="str">
        <f t="shared" ca="1" si="370"/>
        <v>Private</v>
      </c>
      <c r="L1931" t="str">
        <f t="shared" ca="1" si="371"/>
        <v>General</v>
      </c>
    </row>
    <row r="1932" spans="1:12" x14ac:dyDescent="0.25">
      <c r="A1932">
        <f t="shared" si="360"/>
        <v>1931</v>
      </c>
      <c r="B1932">
        <f t="shared" ca="1" si="361"/>
        <v>45</v>
      </c>
      <c r="C1932" t="str">
        <f t="shared" ca="1" si="362"/>
        <v>Male</v>
      </c>
      <c r="D1932" s="1">
        <f t="shared" ca="1" si="363"/>
        <v>45462</v>
      </c>
      <c r="E1932" s="1">
        <f t="shared" ca="1" si="364"/>
        <v>45472</v>
      </c>
      <c r="F1932" t="str">
        <f t="shared" ca="1" si="365"/>
        <v>Diabetes</v>
      </c>
      <c r="G1932" t="str">
        <f t="shared" ca="1" si="366"/>
        <v>Therapy</v>
      </c>
      <c r="H1932">
        <f t="shared" ca="1" si="367"/>
        <v>10</v>
      </c>
      <c r="I1932" t="str">
        <f t="shared" ca="1" si="368"/>
        <v>No</v>
      </c>
      <c r="J1932">
        <f t="shared" ca="1" si="369"/>
        <v>0</v>
      </c>
      <c r="K1932" t="str">
        <f t="shared" ca="1" si="370"/>
        <v>Public</v>
      </c>
      <c r="L1932" t="str">
        <f t="shared" ca="1" si="371"/>
        <v>ICU</v>
      </c>
    </row>
    <row r="1933" spans="1:12" x14ac:dyDescent="0.25">
      <c r="A1933">
        <f t="shared" si="360"/>
        <v>1932</v>
      </c>
      <c r="B1933">
        <f t="shared" ca="1" si="361"/>
        <v>50</v>
      </c>
      <c r="C1933" t="str">
        <f t="shared" ca="1" si="362"/>
        <v>Female</v>
      </c>
      <c r="D1933" s="1">
        <f t="shared" ca="1" si="363"/>
        <v>45478</v>
      </c>
      <c r="E1933" s="1">
        <f t="shared" ca="1" si="364"/>
        <v>45484</v>
      </c>
      <c r="F1933" t="str">
        <f t="shared" ca="1" si="365"/>
        <v>Stroke</v>
      </c>
      <c r="G1933" t="str">
        <f t="shared" ca="1" si="366"/>
        <v>Therapy</v>
      </c>
      <c r="H1933">
        <f t="shared" ca="1" si="367"/>
        <v>6</v>
      </c>
      <c r="I1933" t="str">
        <f t="shared" ca="1" si="368"/>
        <v>Yes</v>
      </c>
      <c r="J1933">
        <f t="shared" ca="1" si="369"/>
        <v>0</v>
      </c>
      <c r="K1933" t="str">
        <f t="shared" ca="1" si="370"/>
        <v>Public</v>
      </c>
      <c r="L1933" t="str">
        <f t="shared" ca="1" si="371"/>
        <v>General</v>
      </c>
    </row>
    <row r="1934" spans="1:12" x14ac:dyDescent="0.25">
      <c r="A1934">
        <f t="shared" si="360"/>
        <v>1933</v>
      </c>
      <c r="B1934">
        <f t="shared" ca="1" si="361"/>
        <v>26</v>
      </c>
      <c r="C1934" t="str">
        <f t="shared" ca="1" si="362"/>
        <v>Female</v>
      </c>
      <c r="D1934" s="1">
        <f t="shared" ca="1" si="363"/>
        <v>45438</v>
      </c>
      <c r="E1934" s="1">
        <f t="shared" ca="1" si="364"/>
        <v>45445</v>
      </c>
      <c r="F1934" t="str">
        <f t="shared" ca="1" si="365"/>
        <v>Hypertension</v>
      </c>
      <c r="G1934" t="str">
        <f t="shared" ca="1" si="366"/>
        <v>Therapy</v>
      </c>
      <c r="H1934">
        <f t="shared" ca="1" si="367"/>
        <v>7</v>
      </c>
      <c r="I1934" t="str">
        <f t="shared" ca="1" si="368"/>
        <v>No</v>
      </c>
      <c r="J1934">
        <f t="shared" ca="1" si="369"/>
        <v>3</v>
      </c>
      <c r="K1934" t="str">
        <f t="shared" ca="1" si="370"/>
        <v>Private</v>
      </c>
      <c r="L1934" t="str">
        <f t="shared" ca="1" si="371"/>
        <v>Cardiology</v>
      </c>
    </row>
    <row r="1935" spans="1:12" x14ac:dyDescent="0.25">
      <c r="A1935">
        <f t="shared" si="360"/>
        <v>1934</v>
      </c>
      <c r="B1935">
        <f t="shared" ca="1" si="361"/>
        <v>45</v>
      </c>
      <c r="C1935" t="str">
        <f t="shared" ca="1" si="362"/>
        <v>Female</v>
      </c>
      <c r="D1935" s="1">
        <f t="shared" ca="1" si="363"/>
        <v>45436</v>
      </c>
      <c r="E1935" s="1">
        <f t="shared" ca="1" si="364"/>
        <v>45446</v>
      </c>
      <c r="F1935" t="str">
        <f t="shared" ca="1" si="365"/>
        <v>Diabetes</v>
      </c>
      <c r="G1935" t="str">
        <f t="shared" ca="1" si="366"/>
        <v>Therapy</v>
      </c>
      <c r="H1935">
        <f t="shared" ca="1" si="367"/>
        <v>10</v>
      </c>
      <c r="I1935" t="str">
        <f t="shared" ca="1" si="368"/>
        <v>Yes</v>
      </c>
      <c r="J1935">
        <f t="shared" ca="1" si="369"/>
        <v>1</v>
      </c>
      <c r="K1935" t="str">
        <f t="shared" ca="1" si="370"/>
        <v>Private</v>
      </c>
      <c r="L1935" t="str">
        <f t="shared" ca="1" si="371"/>
        <v>Cardiology</v>
      </c>
    </row>
    <row r="1936" spans="1:12" x14ac:dyDescent="0.25">
      <c r="A1936">
        <f t="shared" si="360"/>
        <v>1935</v>
      </c>
      <c r="B1936">
        <f t="shared" ca="1" si="361"/>
        <v>90</v>
      </c>
      <c r="C1936" t="str">
        <f t="shared" ca="1" si="362"/>
        <v>Male</v>
      </c>
      <c r="D1936" s="1">
        <f t="shared" ca="1" si="363"/>
        <v>45579</v>
      </c>
      <c r="E1936" s="1">
        <f t="shared" ca="1" si="364"/>
        <v>45591</v>
      </c>
      <c r="F1936" t="str">
        <f t="shared" ca="1" si="365"/>
        <v>Stroke</v>
      </c>
      <c r="G1936" t="str">
        <f t="shared" ca="1" si="366"/>
        <v>Medication</v>
      </c>
      <c r="H1936">
        <f t="shared" ca="1" si="367"/>
        <v>12</v>
      </c>
      <c r="I1936" t="str">
        <f t="shared" ca="1" si="368"/>
        <v>Yes</v>
      </c>
      <c r="J1936">
        <f t="shared" ca="1" si="369"/>
        <v>3</v>
      </c>
      <c r="K1936" t="str">
        <f t="shared" ca="1" si="370"/>
        <v>None</v>
      </c>
      <c r="L1936" t="str">
        <f t="shared" ca="1" si="371"/>
        <v>Neurology</v>
      </c>
    </row>
    <row r="1937" spans="1:12" x14ac:dyDescent="0.25">
      <c r="A1937">
        <f t="shared" si="360"/>
        <v>1936</v>
      </c>
      <c r="B1937">
        <f t="shared" ca="1" si="361"/>
        <v>85</v>
      </c>
      <c r="C1937" t="str">
        <f t="shared" ca="1" si="362"/>
        <v>Female</v>
      </c>
      <c r="D1937" s="1">
        <f t="shared" ca="1" si="363"/>
        <v>45311</v>
      </c>
      <c r="E1937" s="1">
        <f t="shared" ca="1" si="364"/>
        <v>45324</v>
      </c>
      <c r="F1937" t="str">
        <f t="shared" ca="1" si="365"/>
        <v>Stroke</v>
      </c>
      <c r="G1937" t="str">
        <f t="shared" ca="1" si="366"/>
        <v>Surgery</v>
      </c>
      <c r="H1937">
        <f t="shared" ca="1" si="367"/>
        <v>13</v>
      </c>
      <c r="I1937" t="str">
        <f t="shared" ca="1" si="368"/>
        <v>No</v>
      </c>
      <c r="J1937">
        <f t="shared" ca="1" si="369"/>
        <v>0</v>
      </c>
      <c r="K1937" t="str">
        <f t="shared" ca="1" si="370"/>
        <v>Public</v>
      </c>
      <c r="L1937" t="str">
        <f t="shared" ca="1" si="371"/>
        <v>ER</v>
      </c>
    </row>
    <row r="1938" spans="1:12" x14ac:dyDescent="0.25">
      <c r="A1938">
        <f t="shared" si="360"/>
        <v>1937</v>
      </c>
      <c r="B1938">
        <f t="shared" ca="1" si="361"/>
        <v>51</v>
      </c>
      <c r="C1938" t="str">
        <f t="shared" ca="1" si="362"/>
        <v>Male</v>
      </c>
      <c r="D1938" s="1">
        <f t="shared" ca="1" si="363"/>
        <v>45514</v>
      </c>
      <c r="E1938" s="1">
        <f t="shared" ca="1" si="364"/>
        <v>45518</v>
      </c>
      <c r="F1938" t="str">
        <f t="shared" ca="1" si="365"/>
        <v>Heart Failure</v>
      </c>
      <c r="G1938" t="str">
        <f t="shared" ca="1" si="366"/>
        <v>Surgery</v>
      </c>
      <c r="H1938">
        <f t="shared" ca="1" si="367"/>
        <v>4</v>
      </c>
      <c r="I1938" t="str">
        <f t="shared" ca="1" si="368"/>
        <v>No</v>
      </c>
      <c r="J1938">
        <f t="shared" ca="1" si="369"/>
        <v>4</v>
      </c>
      <c r="K1938" t="str">
        <f t="shared" ca="1" si="370"/>
        <v>Public</v>
      </c>
      <c r="L1938" t="str">
        <f t="shared" ca="1" si="371"/>
        <v>Neurology</v>
      </c>
    </row>
    <row r="1939" spans="1:12" x14ac:dyDescent="0.25">
      <c r="A1939">
        <f t="shared" si="360"/>
        <v>1938</v>
      </c>
      <c r="B1939">
        <f t="shared" ca="1" si="361"/>
        <v>41</v>
      </c>
      <c r="C1939" t="str">
        <f t="shared" ca="1" si="362"/>
        <v>Female</v>
      </c>
      <c r="D1939" s="1">
        <f t="shared" ca="1" si="363"/>
        <v>45399</v>
      </c>
      <c r="E1939" s="1">
        <f t="shared" ca="1" si="364"/>
        <v>45411</v>
      </c>
      <c r="F1939" t="str">
        <f t="shared" ca="1" si="365"/>
        <v>Pneumonia</v>
      </c>
      <c r="G1939" t="str">
        <f t="shared" ca="1" si="366"/>
        <v>Surgery</v>
      </c>
      <c r="H1939">
        <f t="shared" ca="1" si="367"/>
        <v>12</v>
      </c>
      <c r="I1939" t="str">
        <f t="shared" ca="1" si="368"/>
        <v>No</v>
      </c>
      <c r="J1939">
        <f t="shared" ca="1" si="369"/>
        <v>4</v>
      </c>
      <c r="K1939" t="str">
        <f t="shared" ca="1" si="370"/>
        <v>None</v>
      </c>
      <c r="L1939" t="str">
        <f t="shared" ca="1" si="371"/>
        <v>Neurology</v>
      </c>
    </row>
    <row r="1940" spans="1:12" x14ac:dyDescent="0.25">
      <c r="A1940">
        <f t="shared" si="360"/>
        <v>1939</v>
      </c>
      <c r="B1940">
        <f t="shared" ca="1" si="361"/>
        <v>23</v>
      </c>
      <c r="C1940" t="str">
        <f t="shared" ca="1" si="362"/>
        <v>Male</v>
      </c>
      <c r="D1940" s="1">
        <f t="shared" ca="1" si="363"/>
        <v>45622</v>
      </c>
      <c r="E1940" s="1">
        <f t="shared" ca="1" si="364"/>
        <v>45630</v>
      </c>
      <c r="F1940" t="str">
        <f t="shared" ca="1" si="365"/>
        <v>Stroke</v>
      </c>
      <c r="G1940" t="str">
        <f t="shared" ca="1" si="366"/>
        <v>Surgery</v>
      </c>
      <c r="H1940">
        <f t="shared" ca="1" si="367"/>
        <v>8</v>
      </c>
      <c r="I1940" t="str">
        <f t="shared" ca="1" si="368"/>
        <v>No</v>
      </c>
      <c r="J1940">
        <f t="shared" ca="1" si="369"/>
        <v>0</v>
      </c>
      <c r="K1940" t="str">
        <f t="shared" ca="1" si="370"/>
        <v>Public</v>
      </c>
      <c r="L1940" t="str">
        <f t="shared" ca="1" si="371"/>
        <v>ICU</v>
      </c>
    </row>
    <row r="1941" spans="1:12" x14ac:dyDescent="0.25">
      <c r="A1941">
        <f t="shared" si="360"/>
        <v>1940</v>
      </c>
      <c r="B1941">
        <f t="shared" ca="1" si="361"/>
        <v>67</v>
      </c>
      <c r="C1941" t="str">
        <f t="shared" ca="1" si="362"/>
        <v>Male</v>
      </c>
      <c r="D1941" s="1">
        <f t="shared" ca="1" si="363"/>
        <v>45462</v>
      </c>
      <c r="E1941" s="1">
        <f t="shared" ca="1" si="364"/>
        <v>45475</v>
      </c>
      <c r="F1941" t="str">
        <f t="shared" ca="1" si="365"/>
        <v>Pneumonia</v>
      </c>
      <c r="G1941" t="str">
        <f t="shared" ca="1" si="366"/>
        <v>Medication</v>
      </c>
      <c r="H1941">
        <f t="shared" ca="1" si="367"/>
        <v>13</v>
      </c>
      <c r="I1941" t="str">
        <f t="shared" ca="1" si="368"/>
        <v>No</v>
      </c>
      <c r="J1941">
        <f t="shared" ca="1" si="369"/>
        <v>2</v>
      </c>
      <c r="K1941" t="str">
        <f t="shared" ca="1" si="370"/>
        <v>Private</v>
      </c>
      <c r="L1941" t="str">
        <f t="shared" ca="1" si="371"/>
        <v>ER</v>
      </c>
    </row>
    <row r="1942" spans="1:12" x14ac:dyDescent="0.25">
      <c r="A1942">
        <f t="shared" si="360"/>
        <v>1941</v>
      </c>
      <c r="B1942">
        <f t="shared" ca="1" si="361"/>
        <v>61</v>
      </c>
      <c r="C1942" t="str">
        <f t="shared" ca="1" si="362"/>
        <v>Male</v>
      </c>
      <c r="D1942" s="1">
        <f t="shared" ca="1" si="363"/>
        <v>45551</v>
      </c>
      <c r="E1942" s="1">
        <f t="shared" ca="1" si="364"/>
        <v>45563</v>
      </c>
      <c r="F1942" t="str">
        <f t="shared" ca="1" si="365"/>
        <v>Stroke</v>
      </c>
      <c r="G1942" t="str">
        <f t="shared" ca="1" si="366"/>
        <v>Medication</v>
      </c>
      <c r="H1942">
        <f t="shared" ca="1" si="367"/>
        <v>12</v>
      </c>
      <c r="I1942" t="str">
        <f t="shared" ca="1" si="368"/>
        <v>No</v>
      </c>
      <c r="J1942">
        <f t="shared" ca="1" si="369"/>
        <v>3</v>
      </c>
      <c r="K1942" t="str">
        <f t="shared" ca="1" si="370"/>
        <v>Public</v>
      </c>
      <c r="L1942" t="str">
        <f t="shared" ca="1" si="371"/>
        <v>Cardiology</v>
      </c>
    </row>
    <row r="1943" spans="1:12" x14ac:dyDescent="0.25">
      <c r="A1943">
        <f t="shared" si="360"/>
        <v>1942</v>
      </c>
      <c r="B1943">
        <f t="shared" ca="1" si="361"/>
        <v>85</v>
      </c>
      <c r="C1943" t="str">
        <f t="shared" ca="1" si="362"/>
        <v>Male</v>
      </c>
      <c r="D1943" s="1">
        <f t="shared" ca="1" si="363"/>
        <v>45651</v>
      </c>
      <c r="E1943" s="1">
        <f t="shared" ca="1" si="364"/>
        <v>45660</v>
      </c>
      <c r="F1943" t="str">
        <f t="shared" ca="1" si="365"/>
        <v>Hypertension</v>
      </c>
      <c r="G1943" t="str">
        <f t="shared" ca="1" si="366"/>
        <v>Surgery</v>
      </c>
      <c r="H1943">
        <f t="shared" ca="1" si="367"/>
        <v>9</v>
      </c>
      <c r="I1943" t="str">
        <f t="shared" ca="1" si="368"/>
        <v>Yes</v>
      </c>
      <c r="J1943">
        <f t="shared" ca="1" si="369"/>
        <v>0</v>
      </c>
      <c r="K1943" t="str">
        <f t="shared" ca="1" si="370"/>
        <v>None</v>
      </c>
      <c r="L1943" t="str">
        <f t="shared" ca="1" si="371"/>
        <v>Cardiology</v>
      </c>
    </row>
    <row r="1944" spans="1:12" x14ac:dyDescent="0.25">
      <c r="A1944">
        <f t="shared" si="360"/>
        <v>1943</v>
      </c>
      <c r="B1944">
        <f t="shared" ca="1" si="361"/>
        <v>78</v>
      </c>
      <c r="C1944" t="str">
        <f t="shared" ca="1" si="362"/>
        <v>Male</v>
      </c>
      <c r="D1944" s="1">
        <f t="shared" ca="1" si="363"/>
        <v>45487</v>
      </c>
      <c r="E1944" s="1">
        <f t="shared" ca="1" si="364"/>
        <v>45490</v>
      </c>
      <c r="F1944" t="str">
        <f t="shared" ca="1" si="365"/>
        <v>Diabetes</v>
      </c>
      <c r="G1944" t="str">
        <f t="shared" ca="1" si="366"/>
        <v>Therapy</v>
      </c>
      <c r="H1944">
        <f t="shared" ca="1" si="367"/>
        <v>3</v>
      </c>
      <c r="I1944" t="str">
        <f t="shared" ca="1" si="368"/>
        <v>Yes</v>
      </c>
      <c r="J1944">
        <f t="shared" ca="1" si="369"/>
        <v>4</v>
      </c>
      <c r="K1944" t="str">
        <f t="shared" ca="1" si="370"/>
        <v>None</v>
      </c>
      <c r="L1944" t="str">
        <f t="shared" ca="1" si="371"/>
        <v>Neurology</v>
      </c>
    </row>
    <row r="1945" spans="1:12" x14ac:dyDescent="0.25">
      <c r="A1945">
        <f t="shared" si="360"/>
        <v>1944</v>
      </c>
      <c r="B1945">
        <f t="shared" ca="1" si="361"/>
        <v>42</v>
      </c>
      <c r="C1945" t="str">
        <f t="shared" ca="1" si="362"/>
        <v>Female</v>
      </c>
      <c r="D1945" s="1">
        <f t="shared" ca="1" si="363"/>
        <v>45448</v>
      </c>
      <c r="E1945" s="1">
        <f t="shared" ca="1" si="364"/>
        <v>45449</v>
      </c>
      <c r="F1945" t="str">
        <f t="shared" ca="1" si="365"/>
        <v>Stroke</v>
      </c>
      <c r="G1945" t="str">
        <f t="shared" ca="1" si="366"/>
        <v>Surgery</v>
      </c>
      <c r="H1945">
        <f t="shared" ca="1" si="367"/>
        <v>1</v>
      </c>
      <c r="I1945" t="str">
        <f t="shared" ca="1" si="368"/>
        <v>No</v>
      </c>
      <c r="J1945">
        <f t="shared" ca="1" si="369"/>
        <v>3</v>
      </c>
      <c r="K1945" t="str">
        <f t="shared" ca="1" si="370"/>
        <v>Public</v>
      </c>
      <c r="L1945" t="str">
        <f t="shared" ca="1" si="371"/>
        <v>General</v>
      </c>
    </row>
    <row r="1946" spans="1:12" x14ac:dyDescent="0.25">
      <c r="A1946">
        <f t="shared" si="360"/>
        <v>1945</v>
      </c>
      <c r="B1946">
        <f t="shared" ca="1" si="361"/>
        <v>28</v>
      </c>
      <c r="C1946" t="str">
        <f t="shared" ca="1" si="362"/>
        <v>Male</v>
      </c>
      <c r="D1946" s="1">
        <f t="shared" ca="1" si="363"/>
        <v>45483</v>
      </c>
      <c r="E1946" s="1">
        <f t="shared" ca="1" si="364"/>
        <v>45492</v>
      </c>
      <c r="F1946" t="str">
        <f t="shared" ca="1" si="365"/>
        <v>Diabetes</v>
      </c>
      <c r="G1946" t="str">
        <f t="shared" ca="1" si="366"/>
        <v>Medication</v>
      </c>
      <c r="H1946">
        <f t="shared" ca="1" si="367"/>
        <v>9</v>
      </c>
      <c r="I1946" t="str">
        <f t="shared" ca="1" si="368"/>
        <v>No</v>
      </c>
      <c r="J1946">
        <f t="shared" ca="1" si="369"/>
        <v>3</v>
      </c>
      <c r="K1946" t="str">
        <f t="shared" ca="1" si="370"/>
        <v>Public</v>
      </c>
      <c r="L1946" t="str">
        <f t="shared" ca="1" si="371"/>
        <v>General</v>
      </c>
    </row>
    <row r="1947" spans="1:12" x14ac:dyDescent="0.25">
      <c r="A1947">
        <f t="shared" si="360"/>
        <v>1946</v>
      </c>
      <c r="B1947">
        <f t="shared" ca="1" si="361"/>
        <v>82</v>
      </c>
      <c r="C1947" t="str">
        <f t="shared" ca="1" si="362"/>
        <v>Female</v>
      </c>
      <c r="D1947" s="1">
        <f t="shared" ca="1" si="363"/>
        <v>45377</v>
      </c>
      <c r="E1947" s="1">
        <f t="shared" ca="1" si="364"/>
        <v>45388</v>
      </c>
      <c r="F1947" t="str">
        <f t="shared" ca="1" si="365"/>
        <v>Diabetes</v>
      </c>
      <c r="G1947" t="str">
        <f t="shared" ca="1" si="366"/>
        <v>Medication</v>
      </c>
      <c r="H1947">
        <f t="shared" ca="1" si="367"/>
        <v>11</v>
      </c>
      <c r="I1947" t="str">
        <f t="shared" ca="1" si="368"/>
        <v>Yes</v>
      </c>
      <c r="J1947">
        <f t="shared" ca="1" si="369"/>
        <v>3</v>
      </c>
      <c r="K1947" t="str">
        <f t="shared" ca="1" si="370"/>
        <v>Private</v>
      </c>
      <c r="L1947" t="str">
        <f t="shared" ca="1" si="371"/>
        <v>Cardiology</v>
      </c>
    </row>
    <row r="1948" spans="1:12" x14ac:dyDescent="0.25">
      <c r="A1948">
        <f t="shared" si="360"/>
        <v>1947</v>
      </c>
      <c r="B1948">
        <f t="shared" ca="1" si="361"/>
        <v>36</v>
      </c>
      <c r="C1948" t="str">
        <f t="shared" ca="1" si="362"/>
        <v>Male</v>
      </c>
      <c r="D1948" s="1">
        <f t="shared" ca="1" si="363"/>
        <v>45294</v>
      </c>
      <c r="E1948" s="1">
        <f t="shared" ca="1" si="364"/>
        <v>45302</v>
      </c>
      <c r="F1948" t="str">
        <f t="shared" ca="1" si="365"/>
        <v>Stroke</v>
      </c>
      <c r="G1948" t="str">
        <f t="shared" ca="1" si="366"/>
        <v>Medication</v>
      </c>
      <c r="H1948">
        <f t="shared" ca="1" si="367"/>
        <v>8</v>
      </c>
      <c r="I1948" t="str">
        <f t="shared" ca="1" si="368"/>
        <v>No</v>
      </c>
      <c r="J1948">
        <f t="shared" ca="1" si="369"/>
        <v>4</v>
      </c>
      <c r="K1948" t="str">
        <f t="shared" ca="1" si="370"/>
        <v>Private</v>
      </c>
      <c r="L1948" t="str">
        <f t="shared" ca="1" si="371"/>
        <v>ER</v>
      </c>
    </row>
    <row r="1949" spans="1:12" x14ac:dyDescent="0.25">
      <c r="A1949">
        <f t="shared" si="360"/>
        <v>1948</v>
      </c>
      <c r="B1949">
        <f t="shared" ca="1" si="361"/>
        <v>48</v>
      </c>
      <c r="C1949" t="str">
        <f t="shared" ca="1" si="362"/>
        <v>Female</v>
      </c>
      <c r="D1949" s="1">
        <f t="shared" ca="1" si="363"/>
        <v>45503</v>
      </c>
      <c r="E1949" s="1">
        <f t="shared" ca="1" si="364"/>
        <v>45509</v>
      </c>
      <c r="F1949" t="str">
        <f t="shared" ca="1" si="365"/>
        <v>Pneumonia</v>
      </c>
      <c r="G1949" t="str">
        <f t="shared" ca="1" si="366"/>
        <v>Therapy</v>
      </c>
      <c r="H1949">
        <f t="shared" ca="1" si="367"/>
        <v>6</v>
      </c>
      <c r="I1949" t="str">
        <f t="shared" ca="1" si="368"/>
        <v>No</v>
      </c>
      <c r="J1949">
        <f t="shared" ca="1" si="369"/>
        <v>3</v>
      </c>
      <c r="K1949" t="str">
        <f t="shared" ca="1" si="370"/>
        <v>Private</v>
      </c>
      <c r="L1949" t="str">
        <f t="shared" ca="1" si="371"/>
        <v>Neurology</v>
      </c>
    </row>
    <row r="1950" spans="1:12" x14ac:dyDescent="0.25">
      <c r="A1950">
        <f t="shared" si="360"/>
        <v>1949</v>
      </c>
      <c r="B1950">
        <f t="shared" ca="1" si="361"/>
        <v>43</v>
      </c>
      <c r="C1950" t="str">
        <f t="shared" ca="1" si="362"/>
        <v>Female</v>
      </c>
      <c r="D1950" s="1">
        <f t="shared" ca="1" si="363"/>
        <v>45507</v>
      </c>
      <c r="E1950" s="1">
        <f t="shared" ca="1" si="364"/>
        <v>45512</v>
      </c>
      <c r="F1950" t="str">
        <f t="shared" ca="1" si="365"/>
        <v>Pneumonia</v>
      </c>
      <c r="G1950" t="str">
        <f t="shared" ca="1" si="366"/>
        <v>Therapy</v>
      </c>
      <c r="H1950">
        <f t="shared" ca="1" si="367"/>
        <v>5</v>
      </c>
      <c r="I1950" t="str">
        <f t="shared" ca="1" si="368"/>
        <v>No</v>
      </c>
      <c r="J1950">
        <f t="shared" ca="1" si="369"/>
        <v>4</v>
      </c>
      <c r="K1950" t="str">
        <f t="shared" ca="1" si="370"/>
        <v>Public</v>
      </c>
      <c r="L1950" t="str">
        <f t="shared" ca="1" si="371"/>
        <v>General</v>
      </c>
    </row>
    <row r="1951" spans="1:12" x14ac:dyDescent="0.25">
      <c r="A1951">
        <f t="shared" si="360"/>
        <v>1950</v>
      </c>
      <c r="B1951">
        <f t="shared" ca="1" si="361"/>
        <v>89</v>
      </c>
      <c r="C1951" t="str">
        <f t="shared" ca="1" si="362"/>
        <v>Female</v>
      </c>
      <c r="D1951" s="1">
        <f t="shared" ca="1" si="363"/>
        <v>45377</v>
      </c>
      <c r="E1951" s="1">
        <f t="shared" ca="1" si="364"/>
        <v>45389</v>
      </c>
      <c r="F1951" t="str">
        <f t="shared" ca="1" si="365"/>
        <v>Diabetes</v>
      </c>
      <c r="G1951" t="str">
        <f t="shared" ca="1" si="366"/>
        <v>Medication</v>
      </c>
      <c r="H1951">
        <f t="shared" ca="1" si="367"/>
        <v>12</v>
      </c>
      <c r="I1951" t="str">
        <f t="shared" ca="1" si="368"/>
        <v>Yes</v>
      </c>
      <c r="J1951">
        <f t="shared" ca="1" si="369"/>
        <v>3</v>
      </c>
      <c r="K1951" t="str">
        <f t="shared" ca="1" si="370"/>
        <v>None</v>
      </c>
      <c r="L1951" t="str">
        <f t="shared" ca="1" si="371"/>
        <v>ICU</v>
      </c>
    </row>
    <row r="1952" spans="1:12" x14ac:dyDescent="0.25">
      <c r="A1952">
        <f t="shared" si="360"/>
        <v>1951</v>
      </c>
      <c r="B1952">
        <f t="shared" ca="1" si="361"/>
        <v>44</v>
      </c>
      <c r="C1952" t="str">
        <f t="shared" ca="1" si="362"/>
        <v>Male</v>
      </c>
      <c r="D1952" s="1">
        <f t="shared" ca="1" si="363"/>
        <v>45417</v>
      </c>
      <c r="E1952" s="1">
        <f t="shared" ca="1" si="364"/>
        <v>45429</v>
      </c>
      <c r="F1952" t="str">
        <f t="shared" ca="1" si="365"/>
        <v>Heart Failure</v>
      </c>
      <c r="G1952" t="str">
        <f t="shared" ca="1" si="366"/>
        <v>Therapy</v>
      </c>
      <c r="H1952">
        <f t="shared" ca="1" si="367"/>
        <v>12</v>
      </c>
      <c r="I1952" t="str">
        <f t="shared" ca="1" si="368"/>
        <v>No</v>
      </c>
      <c r="J1952">
        <f t="shared" ca="1" si="369"/>
        <v>1</v>
      </c>
      <c r="K1952" t="str">
        <f t="shared" ca="1" si="370"/>
        <v>Private</v>
      </c>
      <c r="L1952" t="str">
        <f t="shared" ca="1" si="371"/>
        <v>Neurology</v>
      </c>
    </row>
    <row r="1953" spans="1:12" x14ac:dyDescent="0.25">
      <c r="A1953">
        <f t="shared" si="360"/>
        <v>1952</v>
      </c>
      <c r="B1953">
        <f t="shared" ca="1" si="361"/>
        <v>80</v>
      </c>
      <c r="C1953" t="str">
        <f t="shared" ca="1" si="362"/>
        <v>Female</v>
      </c>
      <c r="D1953" s="1">
        <f t="shared" ca="1" si="363"/>
        <v>45565</v>
      </c>
      <c r="E1953" s="1">
        <f t="shared" ca="1" si="364"/>
        <v>45570</v>
      </c>
      <c r="F1953" t="str">
        <f t="shared" ca="1" si="365"/>
        <v>Pneumonia</v>
      </c>
      <c r="G1953" t="str">
        <f t="shared" ca="1" si="366"/>
        <v>Medication</v>
      </c>
      <c r="H1953">
        <f t="shared" ca="1" si="367"/>
        <v>5</v>
      </c>
      <c r="I1953" t="str">
        <f t="shared" ca="1" si="368"/>
        <v>Yes</v>
      </c>
      <c r="J1953">
        <f t="shared" ca="1" si="369"/>
        <v>3</v>
      </c>
      <c r="K1953" t="str">
        <f t="shared" ca="1" si="370"/>
        <v>Public</v>
      </c>
      <c r="L1953" t="str">
        <f t="shared" ca="1" si="371"/>
        <v>Neurology</v>
      </c>
    </row>
    <row r="1954" spans="1:12" x14ac:dyDescent="0.25">
      <c r="A1954">
        <f t="shared" si="360"/>
        <v>1953</v>
      </c>
      <c r="B1954">
        <f t="shared" ca="1" si="361"/>
        <v>20</v>
      </c>
      <c r="C1954" t="str">
        <f t="shared" ca="1" si="362"/>
        <v>Female</v>
      </c>
      <c r="D1954" s="1">
        <f t="shared" ca="1" si="363"/>
        <v>45564</v>
      </c>
      <c r="E1954" s="1">
        <f t="shared" ca="1" si="364"/>
        <v>45573</v>
      </c>
      <c r="F1954" t="str">
        <f t="shared" ca="1" si="365"/>
        <v>Diabetes</v>
      </c>
      <c r="G1954" t="str">
        <f t="shared" ca="1" si="366"/>
        <v>Surgery</v>
      </c>
      <c r="H1954">
        <f t="shared" ca="1" si="367"/>
        <v>9</v>
      </c>
      <c r="I1954" t="str">
        <f t="shared" ca="1" si="368"/>
        <v>No</v>
      </c>
      <c r="J1954">
        <f t="shared" ca="1" si="369"/>
        <v>4</v>
      </c>
      <c r="K1954" t="str">
        <f t="shared" ca="1" si="370"/>
        <v>Public</v>
      </c>
      <c r="L1954" t="str">
        <f t="shared" ca="1" si="371"/>
        <v>ICU</v>
      </c>
    </row>
    <row r="1955" spans="1:12" x14ac:dyDescent="0.25">
      <c r="A1955">
        <f t="shared" si="360"/>
        <v>1954</v>
      </c>
      <c r="B1955">
        <f t="shared" ca="1" si="361"/>
        <v>67</v>
      </c>
      <c r="C1955" t="str">
        <f t="shared" ca="1" si="362"/>
        <v>Female</v>
      </c>
      <c r="D1955" s="1">
        <f t="shared" ca="1" si="363"/>
        <v>45485</v>
      </c>
      <c r="E1955" s="1">
        <f t="shared" ca="1" si="364"/>
        <v>45496</v>
      </c>
      <c r="F1955" t="str">
        <f t="shared" ca="1" si="365"/>
        <v>Hypertension</v>
      </c>
      <c r="G1955" t="str">
        <f t="shared" ca="1" si="366"/>
        <v>Therapy</v>
      </c>
      <c r="H1955">
        <f t="shared" ca="1" si="367"/>
        <v>11</v>
      </c>
      <c r="I1955" t="str">
        <f t="shared" ca="1" si="368"/>
        <v>No</v>
      </c>
      <c r="J1955">
        <f t="shared" ca="1" si="369"/>
        <v>2</v>
      </c>
      <c r="K1955" t="str">
        <f t="shared" ca="1" si="370"/>
        <v>Private</v>
      </c>
      <c r="L1955" t="str">
        <f t="shared" ca="1" si="371"/>
        <v>ER</v>
      </c>
    </row>
    <row r="1956" spans="1:12" x14ac:dyDescent="0.25">
      <c r="A1956">
        <f t="shared" si="360"/>
        <v>1955</v>
      </c>
      <c r="B1956">
        <f t="shared" ca="1" si="361"/>
        <v>27</v>
      </c>
      <c r="C1956" t="str">
        <f t="shared" ca="1" si="362"/>
        <v>Female</v>
      </c>
      <c r="D1956" s="1">
        <f t="shared" ca="1" si="363"/>
        <v>45411</v>
      </c>
      <c r="E1956" s="1">
        <f t="shared" ca="1" si="364"/>
        <v>45419</v>
      </c>
      <c r="F1956" t="str">
        <f t="shared" ca="1" si="365"/>
        <v>Hypertension</v>
      </c>
      <c r="G1956" t="str">
        <f t="shared" ca="1" si="366"/>
        <v>Medication</v>
      </c>
      <c r="H1956">
        <f t="shared" ca="1" si="367"/>
        <v>8</v>
      </c>
      <c r="I1956" t="str">
        <f t="shared" ca="1" si="368"/>
        <v>No</v>
      </c>
      <c r="J1956">
        <f t="shared" ca="1" si="369"/>
        <v>0</v>
      </c>
      <c r="K1956" t="str">
        <f t="shared" ca="1" si="370"/>
        <v>Private</v>
      </c>
      <c r="L1956" t="str">
        <f t="shared" ca="1" si="371"/>
        <v>ER</v>
      </c>
    </row>
    <row r="1957" spans="1:12" x14ac:dyDescent="0.25">
      <c r="A1957">
        <f t="shared" si="360"/>
        <v>1956</v>
      </c>
      <c r="B1957">
        <f t="shared" ca="1" si="361"/>
        <v>30</v>
      </c>
      <c r="C1957" t="str">
        <f t="shared" ca="1" si="362"/>
        <v>Male</v>
      </c>
      <c r="D1957" s="1">
        <f t="shared" ca="1" si="363"/>
        <v>45563</v>
      </c>
      <c r="E1957" s="1">
        <f t="shared" ca="1" si="364"/>
        <v>45575</v>
      </c>
      <c r="F1957" t="str">
        <f t="shared" ca="1" si="365"/>
        <v>Hypertension</v>
      </c>
      <c r="G1957" t="str">
        <f t="shared" ca="1" si="366"/>
        <v>Surgery</v>
      </c>
      <c r="H1957">
        <f t="shared" ca="1" si="367"/>
        <v>12</v>
      </c>
      <c r="I1957" t="str">
        <f t="shared" ca="1" si="368"/>
        <v>No</v>
      </c>
      <c r="J1957">
        <f t="shared" ca="1" si="369"/>
        <v>4</v>
      </c>
      <c r="K1957" t="str">
        <f t="shared" ca="1" si="370"/>
        <v>Public</v>
      </c>
      <c r="L1957" t="str">
        <f t="shared" ca="1" si="371"/>
        <v>ICU</v>
      </c>
    </row>
    <row r="1958" spans="1:12" x14ac:dyDescent="0.25">
      <c r="A1958">
        <f t="shared" si="360"/>
        <v>1957</v>
      </c>
      <c r="B1958">
        <f t="shared" ca="1" si="361"/>
        <v>73</v>
      </c>
      <c r="C1958" t="str">
        <f t="shared" ca="1" si="362"/>
        <v>Male</v>
      </c>
      <c r="D1958" s="1">
        <f t="shared" ca="1" si="363"/>
        <v>45307</v>
      </c>
      <c r="E1958" s="1">
        <f t="shared" ca="1" si="364"/>
        <v>45309</v>
      </c>
      <c r="F1958" t="str">
        <f t="shared" ca="1" si="365"/>
        <v>Heart Failure</v>
      </c>
      <c r="G1958" t="str">
        <f t="shared" ca="1" si="366"/>
        <v>Medication</v>
      </c>
      <c r="H1958">
        <f t="shared" ca="1" si="367"/>
        <v>2</v>
      </c>
      <c r="I1958" t="str">
        <f t="shared" ca="1" si="368"/>
        <v>Yes</v>
      </c>
      <c r="J1958">
        <f t="shared" ca="1" si="369"/>
        <v>3</v>
      </c>
      <c r="K1958" t="str">
        <f t="shared" ca="1" si="370"/>
        <v>Public</v>
      </c>
      <c r="L1958" t="str">
        <f t="shared" ca="1" si="371"/>
        <v>ER</v>
      </c>
    </row>
    <row r="1959" spans="1:12" x14ac:dyDescent="0.25">
      <c r="A1959">
        <f t="shared" si="360"/>
        <v>1958</v>
      </c>
      <c r="B1959">
        <f t="shared" ca="1" si="361"/>
        <v>32</v>
      </c>
      <c r="C1959" t="str">
        <f t="shared" ca="1" si="362"/>
        <v>Female</v>
      </c>
      <c r="D1959" s="1">
        <f t="shared" ca="1" si="363"/>
        <v>45641</v>
      </c>
      <c r="E1959" s="1">
        <f t="shared" ca="1" si="364"/>
        <v>45642</v>
      </c>
      <c r="F1959" t="str">
        <f t="shared" ca="1" si="365"/>
        <v>Pneumonia</v>
      </c>
      <c r="G1959" t="str">
        <f t="shared" ca="1" si="366"/>
        <v>Therapy</v>
      </c>
      <c r="H1959">
        <f t="shared" ca="1" si="367"/>
        <v>1</v>
      </c>
      <c r="I1959" t="str">
        <f t="shared" ca="1" si="368"/>
        <v>No</v>
      </c>
      <c r="J1959">
        <f t="shared" ca="1" si="369"/>
        <v>2</v>
      </c>
      <c r="K1959" t="str">
        <f t="shared" ca="1" si="370"/>
        <v>Private</v>
      </c>
      <c r="L1959" t="str">
        <f t="shared" ca="1" si="371"/>
        <v>General</v>
      </c>
    </row>
    <row r="1960" spans="1:12" x14ac:dyDescent="0.25">
      <c r="A1960">
        <f t="shared" si="360"/>
        <v>1959</v>
      </c>
      <c r="B1960">
        <f t="shared" ca="1" si="361"/>
        <v>85</v>
      </c>
      <c r="C1960" t="str">
        <f t="shared" ca="1" si="362"/>
        <v>Male</v>
      </c>
      <c r="D1960" s="1">
        <f t="shared" ca="1" si="363"/>
        <v>45304</v>
      </c>
      <c r="E1960" s="1">
        <f t="shared" ca="1" si="364"/>
        <v>45318</v>
      </c>
      <c r="F1960" t="str">
        <f t="shared" ca="1" si="365"/>
        <v>Stroke</v>
      </c>
      <c r="G1960" t="str">
        <f t="shared" ca="1" si="366"/>
        <v>Therapy</v>
      </c>
      <c r="H1960">
        <f t="shared" ca="1" si="367"/>
        <v>14</v>
      </c>
      <c r="I1960" t="str">
        <f t="shared" ca="1" si="368"/>
        <v>Yes</v>
      </c>
      <c r="J1960">
        <f t="shared" ca="1" si="369"/>
        <v>0</v>
      </c>
      <c r="K1960" t="str">
        <f t="shared" ca="1" si="370"/>
        <v>Private</v>
      </c>
      <c r="L1960" t="str">
        <f t="shared" ca="1" si="371"/>
        <v>Neurology</v>
      </c>
    </row>
    <row r="1961" spans="1:12" x14ac:dyDescent="0.25">
      <c r="A1961">
        <f t="shared" si="360"/>
        <v>1960</v>
      </c>
      <c r="B1961">
        <f t="shared" ca="1" si="361"/>
        <v>86</v>
      </c>
      <c r="C1961" t="str">
        <f t="shared" ca="1" si="362"/>
        <v>Female</v>
      </c>
      <c r="D1961" s="1">
        <f t="shared" ca="1" si="363"/>
        <v>45493</v>
      </c>
      <c r="E1961" s="1">
        <f t="shared" ca="1" si="364"/>
        <v>45499</v>
      </c>
      <c r="F1961" t="str">
        <f t="shared" ca="1" si="365"/>
        <v>Pneumonia</v>
      </c>
      <c r="G1961" t="str">
        <f t="shared" ca="1" si="366"/>
        <v>Therapy</v>
      </c>
      <c r="H1961">
        <f t="shared" ca="1" si="367"/>
        <v>6</v>
      </c>
      <c r="I1961" t="str">
        <f t="shared" ca="1" si="368"/>
        <v>No</v>
      </c>
      <c r="J1961">
        <f t="shared" ca="1" si="369"/>
        <v>2</v>
      </c>
      <c r="K1961" t="str">
        <f t="shared" ca="1" si="370"/>
        <v>None</v>
      </c>
      <c r="L1961" t="str">
        <f t="shared" ca="1" si="371"/>
        <v>ICU</v>
      </c>
    </row>
    <row r="1962" spans="1:12" x14ac:dyDescent="0.25">
      <c r="A1962">
        <f t="shared" si="360"/>
        <v>1961</v>
      </c>
      <c r="B1962">
        <f t="shared" ca="1" si="361"/>
        <v>66</v>
      </c>
      <c r="C1962" t="str">
        <f t="shared" ca="1" si="362"/>
        <v>Female</v>
      </c>
      <c r="D1962" s="1">
        <f t="shared" ca="1" si="363"/>
        <v>45569</v>
      </c>
      <c r="E1962" s="1">
        <f t="shared" ca="1" si="364"/>
        <v>45582</v>
      </c>
      <c r="F1962" t="str">
        <f t="shared" ca="1" si="365"/>
        <v>Hypertension</v>
      </c>
      <c r="G1962" t="str">
        <f t="shared" ca="1" si="366"/>
        <v>Therapy</v>
      </c>
      <c r="H1962">
        <f t="shared" ca="1" si="367"/>
        <v>13</v>
      </c>
      <c r="I1962" t="str">
        <f t="shared" ca="1" si="368"/>
        <v>No</v>
      </c>
      <c r="J1962">
        <f t="shared" ca="1" si="369"/>
        <v>3</v>
      </c>
      <c r="K1962" t="str">
        <f t="shared" ca="1" si="370"/>
        <v>None</v>
      </c>
      <c r="L1962" t="str">
        <f t="shared" ca="1" si="371"/>
        <v>Cardiology</v>
      </c>
    </row>
    <row r="1963" spans="1:12" x14ac:dyDescent="0.25">
      <c r="A1963">
        <f t="shared" si="360"/>
        <v>1962</v>
      </c>
      <c r="B1963">
        <f t="shared" ca="1" si="361"/>
        <v>83</v>
      </c>
      <c r="C1963" t="str">
        <f t="shared" ca="1" si="362"/>
        <v>Female</v>
      </c>
      <c r="D1963" s="1">
        <f t="shared" ca="1" si="363"/>
        <v>45351</v>
      </c>
      <c r="E1963" s="1">
        <f t="shared" ca="1" si="364"/>
        <v>45355</v>
      </c>
      <c r="F1963" t="str">
        <f t="shared" ca="1" si="365"/>
        <v>Hypertension</v>
      </c>
      <c r="G1963" t="str">
        <f t="shared" ca="1" si="366"/>
        <v>Surgery</v>
      </c>
      <c r="H1963">
        <f t="shared" ca="1" si="367"/>
        <v>4</v>
      </c>
      <c r="I1963" t="str">
        <f t="shared" ca="1" si="368"/>
        <v>No</v>
      </c>
      <c r="J1963">
        <f t="shared" ca="1" si="369"/>
        <v>1</v>
      </c>
      <c r="K1963" t="str">
        <f t="shared" ca="1" si="370"/>
        <v>Private</v>
      </c>
      <c r="L1963" t="str">
        <f t="shared" ca="1" si="371"/>
        <v>General</v>
      </c>
    </row>
    <row r="1964" spans="1:12" x14ac:dyDescent="0.25">
      <c r="A1964">
        <f t="shared" si="360"/>
        <v>1963</v>
      </c>
      <c r="B1964">
        <f t="shared" ca="1" si="361"/>
        <v>52</v>
      </c>
      <c r="C1964" t="str">
        <f t="shared" ca="1" si="362"/>
        <v>Female</v>
      </c>
      <c r="D1964" s="1">
        <f t="shared" ca="1" si="363"/>
        <v>45473</v>
      </c>
      <c r="E1964" s="1">
        <f t="shared" ca="1" si="364"/>
        <v>45487</v>
      </c>
      <c r="F1964" t="str">
        <f t="shared" ca="1" si="365"/>
        <v>Pneumonia</v>
      </c>
      <c r="G1964" t="str">
        <f t="shared" ca="1" si="366"/>
        <v>Therapy</v>
      </c>
      <c r="H1964">
        <f t="shared" ca="1" si="367"/>
        <v>14</v>
      </c>
      <c r="I1964" t="str">
        <f t="shared" ca="1" si="368"/>
        <v>Yes</v>
      </c>
      <c r="J1964">
        <f t="shared" ca="1" si="369"/>
        <v>2</v>
      </c>
      <c r="K1964" t="str">
        <f t="shared" ca="1" si="370"/>
        <v>None</v>
      </c>
      <c r="L1964" t="str">
        <f t="shared" ca="1" si="371"/>
        <v>Cardiology</v>
      </c>
    </row>
    <row r="1965" spans="1:12" x14ac:dyDescent="0.25">
      <c r="A1965">
        <f t="shared" si="360"/>
        <v>1964</v>
      </c>
      <c r="B1965">
        <f t="shared" ca="1" si="361"/>
        <v>72</v>
      </c>
      <c r="C1965" t="str">
        <f t="shared" ca="1" si="362"/>
        <v>Male</v>
      </c>
      <c r="D1965" s="1">
        <f t="shared" ca="1" si="363"/>
        <v>45391</v>
      </c>
      <c r="E1965" s="1">
        <f t="shared" ca="1" si="364"/>
        <v>45404</v>
      </c>
      <c r="F1965" t="str">
        <f t="shared" ca="1" si="365"/>
        <v>Hypertension</v>
      </c>
      <c r="G1965" t="str">
        <f t="shared" ca="1" si="366"/>
        <v>Therapy</v>
      </c>
      <c r="H1965">
        <f t="shared" ca="1" si="367"/>
        <v>13</v>
      </c>
      <c r="I1965" t="str">
        <f t="shared" ca="1" si="368"/>
        <v>No</v>
      </c>
      <c r="J1965">
        <f t="shared" ca="1" si="369"/>
        <v>1</v>
      </c>
      <c r="K1965" t="str">
        <f t="shared" ca="1" si="370"/>
        <v>Private</v>
      </c>
      <c r="L1965" t="str">
        <f t="shared" ca="1" si="371"/>
        <v>General</v>
      </c>
    </row>
    <row r="1966" spans="1:12" x14ac:dyDescent="0.25">
      <c r="A1966">
        <f t="shared" si="360"/>
        <v>1965</v>
      </c>
      <c r="B1966">
        <f t="shared" ca="1" si="361"/>
        <v>58</v>
      </c>
      <c r="C1966" t="str">
        <f t="shared" ca="1" si="362"/>
        <v>Female</v>
      </c>
      <c r="D1966" s="1">
        <f t="shared" ca="1" si="363"/>
        <v>45371</v>
      </c>
      <c r="E1966" s="1">
        <f t="shared" ca="1" si="364"/>
        <v>45381</v>
      </c>
      <c r="F1966" t="str">
        <f t="shared" ca="1" si="365"/>
        <v>Hypertension</v>
      </c>
      <c r="G1966" t="str">
        <f t="shared" ca="1" si="366"/>
        <v>Medication</v>
      </c>
      <c r="H1966">
        <f t="shared" ca="1" si="367"/>
        <v>10</v>
      </c>
      <c r="I1966" t="str">
        <f t="shared" ca="1" si="368"/>
        <v>No</v>
      </c>
      <c r="J1966">
        <f t="shared" ca="1" si="369"/>
        <v>4</v>
      </c>
      <c r="K1966" t="str">
        <f t="shared" ca="1" si="370"/>
        <v>None</v>
      </c>
      <c r="L1966" t="str">
        <f t="shared" ca="1" si="371"/>
        <v>Cardiology</v>
      </c>
    </row>
    <row r="1967" spans="1:12" x14ac:dyDescent="0.25">
      <c r="A1967">
        <f t="shared" si="360"/>
        <v>1966</v>
      </c>
      <c r="B1967">
        <f t="shared" ca="1" si="361"/>
        <v>33</v>
      </c>
      <c r="C1967" t="str">
        <f t="shared" ca="1" si="362"/>
        <v>Male</v>
      </c>
      <c r="D1967" s="1">
        <f t="shared" ca="1" si="363"/>
        <v>45495</v>
      </c>
      <c r="E1967" s="1">
        <f t="shared" ca="1" si="364"/>
        <v>45500</v>
      </c>
      <c r="F1967" t="str">
        <f t="shared" ca="1" si="365"/>
        <v>Hypertension</v>
      </c>
      <c r="G1967" t="str">
        <f t="shared" ca="1" si="366"/>
        <v>Surgery</v>
      </c>
      <c r="H1967">
        <f t="shared" ca="1" si="367"/>
        <v>5</v>
      </c>
      <c r="I1967" t="str">
        <f t="shared" ca="1" si="368"/>
        <v>No</v>
      </c>
      <c r="J1967">
        <f t="shared" ca="1" si="369"/>
        <v>2</v>
      </c>
      <c r="K1967" t="str">
        <f t="shared" ca="1" si="370"/>
        <v>Private</v>
      </c>
      <c r="L1967" t="str">
        <f t="shared" ca="1" si="371"/>
        <v>ICU</v>
      </c>
    </row>
    <row r="1968" spans="1:12" x14ac:dyDescent="0.25">
      <c r="A1968">
        <f t="shared" si="360"/>
        <v>1967</v>
      </c>
      <c r="B1968">
        <f t="shared" ca="1" si="361"/>
        <v>36</v>
      </c>
      <c r="C1968" t="str">
        <f t="shared" ca="1" si="362"/>
        <v>Female</v>
      </c>
      <c r="D1968" s="1">
        <f t="shared" ca="1" si="363"/>
        <v>45646</v>
      </c>
      <c r="E1968" s="1">
        <f t="shared" ca="1" si="364"/>
        <v>45657</v>
      </c>
      <c r="F1968" t="str">
        <f t="shared" ca="1" si="365"/>
        <v>Stroke</v>
      </c>
      <c r="G1968" t="str">
        <f t="shared" ca="1" si="366"/>
        <v>Therapy</v>
      </c>
      <c r="H1968">
        <f t="shared" ca="1" si="367"/>
        <v>11</v>
      </c>
      <c r="I1968" t="str">
        <f t="shared" ca="1" si="368"/>
        <v>No</v>
      </c>
      <c r="J1968">
        <f t="shared" ca="1" si="369"/>
        <v>2</v>
      </c>
      <c r="K1968" t="str">
        <f t="shared" ca="1" si="370"/>
        <v>Private</v>
      </c>
      <c r="L1968" t="str">
        <f t="shared" ca="1" si="371"/>
        <v>ER</v>
      </c>
    </row>
    <row r="1969" spans="1:12" x14ac:dyDescent="0.25">
      <c r="A1969">
        <f t="shared" si="360"/>
        <v>1968</v>
      </c>
      <c r="B1969">
        <f t="shared" ca="1" si="361"/>
        <v>31</v>
      </c>
      <c r="C1969" t="str">
        <f t="shared" ca="1" si="362"/>
        <v>Female</v>
      </c>
      <c r="D1969" s="1">
        <f t="shared" ca="1" si="363"/>
        <v>45559</v>
      </c>
      <c r="E1969" s="1">
        <f t="shared" ca="1" si="364"/>
        <v>45569</v>
      </c>
      <c r="F1969" t="str">
        <f t="shared" ca="1" si="365"/>
        <v>Diabetes</v>
      </c>
      <c r="G1969" t="str">
        <f t="shared" ca="1" si="366"/>
        <v>Medication</v>
      </c>
      <c r="H1969">
        <f t="shared" ca="1" si="367"/>
        <v>10</v>
      </c>
      <c r="I1969" t="str">
        <f t="shared" ca="1" si="368"/>
        <v>Yes</v>
      </c>
      <c r="J1969">
        <f t="shared" ca="1" si="369"/>
        <v>1</v>
      </c>
      <c r="K1969" t="str">
        <f t="shared" ca="1" si="370"/>
        <v>None</v>
      </c>
      <c r="L1969" t="str">
        <f t="shared" ca="1" si="371"/>
        <v>Neurology</v>
      </c>
    </row>
    <row r="1970" spans="1:12" x14ac:dyDescent="0.25">
      <c r="A1970">
        <f t="shared" si="360"/>
        <v>1969</v>
      </c>
      <c r="B1970">
        <f t="shared" ca="1" si="361"/>
        <v>51</v>
      </c>
      <c r="C1970" t="str">
        <f t="shared" ca="1" si="362"/>
        <v>Male</v>
      </c>
      <c r="D1970" s="1">
        <f t="shared" ca="1" si="363"/>
        <v>45341</v>
      </c>
      <c r="E1970" s="1">
        <f t="shared" ca="1" si="364"/>
        <v>45343</v>
      </c>
      <c r="F1970" t="str">
        <f t="shared" ca="1" si="365"/>
        <v>Hypertension</v>
      </c>
      <c r="G1970" t="str">
        <f t="shared" ca="1" si="366"/>
        <v>Therapy</v>
      </c>
      <c r="H1970">
        <f t="shared" ca="1" si="367"/>
        <v>2</v>
      </c>
      <c r="I1970" t="str">
        <f t="shared" ca="1" si="368"/>
        <v>No</v>
      </c>
      <c r="J1970">
        <f t="shared" ca="1" si="369"/>
        <v>0</v>
      </c>
      <c r="K1970" t="str">
        <f t="shared" ca="1" si="370"/>
        <v>Private</v>
      </c>
      <c r="L1970" t="str">
        <f t="shared" ca="1" si="371"/>
        <v>ER</v>
      </c>
    </row>
    <row r="1971" spans="1:12" x14ac:dyDescent="0.25">
      <c r="A1971">
        <f t="shared" si="360"/>
        <v>1970</v>
      </c>
      <c r="B1971">
        <f t="shared" ca="1" si="361"/>
        <v>75</v>
      </c>
      <c r="C1971" t="str">
        <f t="shared" ca="1" si="362"/>
        <v>Female</v>
      </c>
      <c r="D1971" s="1">
        <f t="shared" ca="1" si="363"/>
        <v>45634</v>
      </c>
      <c r="E1971" s="1">
        <f t="shared" ca="1" si="364"/>
        <v>45646</v>
      </c>
      <c r="F1971" t="str">
        <f t="shared" ca="1" si="365"/>
        <v>Heart Failure</v>
      </c>
      <c r="G1971" t="str">
        <f t="shared" ca="1" si="366"/>
        <v>Surgery</v>
      </c>
      <c r="H1971">
        <f t="shared" ca="1" si="367"/>
        <v>12</v>
      </c>
      <c r="I1971" t="str">
        <f t="shared" ca="1" si="368"/>
        <v>No</v>
      </c>
      <c r="J1971">
        <f t="shared" ca="1" si="369"/>
        <v>1</v>
      </c>
      <c r="K1971" t="str">
        <f t="shared" ca="1" si="370"/>
        <v>Private</v>
      </c>
      <c r="L1971" t="str">
        <f t="shared" ca="1" si="371"/>
        <v>Neurology</v>
      </c>
    </row>
    <row r="1972" spans="1:12" x14ac:dyDescent="0.25">
      <c r="A1972">
        <f t="shared" si="360"/>
        <v>1971</v>
      </c>
      <c r="B1972">
        <f t="shared" ca="1" si="361"/>
        <v>71</v>
      </c>
      <c r="C1972" t="str">
        <f t="shared" ca="1" si="362"/>
        <v>Male</v>
      </c>
      <c r="D1972" s="1">
        <f t="shared" ca="1" si="363"/>
        <v>45478</v>
      </c>
      <c r="E1972" s="1">
        <f t="shared" ca="1" si="364"/>
        <v>45479</v>
      </c>
      <c r="F1972" t="str">
        <f t="shared" ca="1" si="365"/>
        <v>Stroke</v>
      </c>
      <c r="G1972" t="str">
        <f t="shared" ca="1" si="366"/>
        <v>Surgery</v>
      </c>
      <c r="H1972">
        <f t="shared" ca="1" si="367"/>
        <v>1</v>
      </c>
      <c r="I1972" t="str">
        <f t="shared" ca="1" si="368"/>
        <v>No</v>
      </c>
      <c r="J1972">
        <f t="shared" ca="1" si="369"/>
        <v>2</v>
      </c>
      <c r="K1972" t="str">
        <f t="shared" ca="1" si="370"/>
        <v>None</v>
      </c>
      <c r="L1972" t="str">
        <f t="shared" ca="1" si="371"/>
        <v>General</v>
      </c>
    </row>
    <row r="1973" spans="1:12" x14ac:dyDescent="0.25">
      <c r="A1973">
        <f t="shared" si="360"/>
        <v>1972</v>
      </c>
      <c r="B1973">
        <f t="shared" ca="1" si="361"/>
        <v>40</v>
      </c>
      <c r="C1973" t="str">
        <f t="shared" ca="1" si="362"/>
        <v>Male</v>
      </c>
      <c r="D1973" s="1">
        <f t="shared" ca="1" si="363"/>
        <v>45590</v>
      </c>
      <c r="E1973" s="1">
        <f t="shared" ca="1" si="364"/>
        <v>45596</v>
      </c>
      <c r="F1973" t="str">
        <f t="shared" ca="1" si="365"/>
        <v>Stroke</v>
      </c>
      <c r="G1973" t="str">
        <f t="shared" ca="1" si="366"/>
        <v>Medication</v>
      </c>
      <c r="H1973">
        <f t="shared" ca="1" si="367"/>
        <v>6</v>
      </c>
      <c r="I1973" t="str">
        <f t="shared" ca="1" si="368"/>
        <v>No</v>
      </c>
      <c r="J1973">
        <f t="shared" ca="1" si="369"/>
        <v>3</v>
      </c>
      <c r="K1973" t="str">
        <f t="shared" ca="1" si="370"/>
        <v>Public</v>
      </c>
      <c r="L1973" t="str">
        <f t="shared" ca="1" si="371"/>
        <v>General</v>
      </c>
    </row>
    <row r="1974" spans="1:12" x14ac:dyDescent="0.25">
      <c r="A1974">
        <f t="shared" si="360"/>
        <v>1973</v>
      </c>
      <c r="B1974">
        <f t="shared" ca="1" si="361"/>
        <v>29</v>
      </c>
      <c r="C1974" t="str">
        <f t="shared" ca="1" si="362"/>
        <v>Male</v>
      </c>
      <c r="D1974" s="1">
        <f t="shared" ca="1" si="363"/>
        <v>45591</v>
      </c>
      <c r="E1974" s="1">
        <f t="shared" ca="1" si="364"/>
        <v>45604</v>
      </c>
      <c r="F1974" t="str">
        <f t="shared" ca="1" si="365"/>
        <v>Pneumonia</v>
      </c>
      <c r="G1974" t="str">
        <f t="shared" ca="1" si="366"/>
        <v>Surgery</v>
      </c>
      <c r="H1974">
        <f t="shared" ca="1" si="367"/>
        <v>13</v>
      </c>
      <c r="I1974" t="str">
        <f t="shared" ca="1" si="368"/>
        <v>Yes</v>
      </c>
      <c r="J1974">
        <f t="shared" ca="1" si="369"/>
        <v>2</v>
      </c>
      <c r="K1974" t="str">
        <f t="shared" ca="1" si="370"/>
        <v>None</v>
      </c>
      <c r="L1974" t="str">
        <f t="shared" ca="1" si="371"/>
        <v>General</v>
      </c>
    </row>
    <row r="1975" spans="1:12" x14ac:dyDescent="0.25">
      <c r="A1975">
        <f t="shared" si="360"/>
        <v>1974</v>
      </c>
      <c r="B1975">
        <f t="shared" ca="1" si="361"/>
        <v>22</v>
      </c>
      <c r="C1975" t="str">
        <f t="shared" ca="1" si="362"/>
        <v>Male</v>
      </c>
      <c r="D1975" s="1">
        <f t="shared" ca="1" si="363"/>
        <v>45572</v>
      </c>
      <c r="E1975" s="1">
        <f t="shared" ca="1" si="364"/>
        <v>45581</v>
      </c>
      <c r="F1975" t="str">
        <f t="shared" ca="1" si="365"/>
        <v>Diabetes</v>
      </c>
      <c r="G1975" t="str">
        <f t="shared" ca="1" si="366"/>
        <v>Surgery</v>
      </c>
      <c r="H1975">
        <f t="shared" ca="1" si="367"/>
        <v>9</v>
      </c>
      <c r="I1975" t="str">
        <f t="shared" ca="1" si="368"/>
        <v>No</v>
      </c>
      <c r="J1975">
        <f t="shared" ca="1" si="369"/>
        <v>4</v>
      </c>
      <c r="K1975" t="str">
        <f t="shared" ca="1" si="370"/>
        <v>Private</v>
      </c>
      <c r="L1975" t="str">
        <f t="shared" ca="1" si="371"/>
        <v>Neurology</v>
      </c>
    </row>
    <row r="1976" spans="1:12" x14ac:dyDescent="0.25">
      <c r="A1976">
        <f t="shared" si="360"/>
        <v>1975</v>
      </c>
      <c r="B1976">
        <f t="shared" ca="1" si="361"/>
        <v>30</v>
      </c>
      <c r="C1976" t="str">
        <f t="shared" ca="1" si="362"/>
        <v>Male</v>
      </c>
      <c r="D1976" s="1">
        <f t="shared" ca="1" si="363"/>
        <v>45600</v>
      </c>
      <c r="E1976" s="1">
        <f t="shared" ca="1" si="364"/>
        <v>45601</v>
      </c>
      <c r="F1976" t="str">
        <f t="shared" ca="1" si="365"/>
        <v>Hypertension</v>
      </c>
      <c r="G1976" t="str">
        <f t="shared" ca="1" si="366"/>
        <v>Surgery</v>
      </c>
      <c r="H1976">
        <f t="shared" ca="1" si="367"/>
        <v>1</v>
      </c>
      <c r="I1976" t="str">
        <f t="shared" ca="1" si="368"/>
        <v>No</v>
      </c>
      <c r="J1976">
        <f t="shared" ca="1" si="369"/>
        <v>0</v>
      </c>
      <c r="K1976" t="str">
        <f t="shared" ca="1" si="370"/>
        <v>None</v>
      </c>
      <c r="L1976" t="str">
        <f t="shared" ca="1" si="371"/>
        <v>Neurology</v>
      </c>
    </row>
    <row r="1977" spans="1:12" x14ac:dyDescent="0.25">
      <c r="A1977">
        <f t="shared" si="360"/>
        <v>1976</v>
      </c>
      <c r="B1977">
        <f t="shared" ca="1" si="361"/>
        <v>53</v>
      </c>
      <c r="C1977" t="str">
        <f t="shared" ca="1" si="362"/>
        <v>Male</v>
      </c>
      <c r="D1977" s="1">
        <f t="shared" ca="1" si="363"/>
        <v>45308</v>
      </c>
      <c r="E1977" s="1">
        <f t="shared" ca="1" si="364"/>
        <v>45323</v>
      </c>
      <c r="F1977" t="str">
        <f t="shared" ca="1" si="365"/>
        <v>Diabetes</v>
      </c>
      <c r="G1977" t="str">
        <f t="shared" ca="1" si="366"/>
        <v>Medication</v>
      </c>
      <c r="H1977">
        <f t="shared" ca="1" si="367"/>
        <v>15</v>
      </c>
      <c r="I1977" t="str">
        <f t="shared" ca="1" si="368"/>
        <v>Yes</v>
      </c>
      <c r="J1977">
        <f t="shared" ca="1" si="369"/>
        <v>4</v>
      </c>
      <c r="K1977" t="str">
        <f t="shared" ca="1" si="370"/>
        <v>Public</v>
      </c>
      <c r="L1977" t="str">
        <f t="shared" ca="1" si="371"/>
        <v>Cardiology</v>
      </c>
    </row>
    <row r="1978" spans="1:12" x14ac:dyDescent="0.25">
      <c r="A1978">
        <f t="shared" si="360"/>
        <v>1977</v>
      </c>
      <c r="B1978">
        <f t="shared" ca="1" si="361"/>
        <v>67</v>
      </c>
      <c r="C1978" t="str">
        <f t="shared" ca="1" si="362"/>
        <v>Male</v>
      </c>
      <c r="D1978" s="1">
        <f t="shared" ca="1" si="363"/>
        <v>45503</v>
      </c>
      <c r="E1978" s="1">
        <f t="shared" ca="1" si="364"/>
        <v>45516</v>
      </c>
      <c r="F1978" t="str">
        <f t="shared" ca="1" si="365"/>
        <v>Heart Failure</v>
      </c>
      <c r="G1978" t="str">
        <f t="shared" ca="1" si="366"/>
        <v>Surgery</v>
      </c>
      <c r="H1978">
        <f t="shared" ca="1" si="367"/>
        <v>13</v>
      </c>
      <c r="I1978" t="str">
        <f t="shared" ca="1" si="368"/>
        <v>Yes</v>
      </c>
      <c r="J1978">
        <f t="shared" ca="1" si="369"/>
        <v>4</v>
      </c>
      <c r="K1978" t="str">
        <f t="shared" ca="1" si="370"/>
        <v>None</v>
      </c>
      <c r="L1978" t="str">
        <f t="shared" ca="1" si="371"/>
        <v>ER</v>
      </c>
    </row>
    <row r="1979" spans="1:12" x14ac:dyDescent="0.25">
      <c r="A1979">
        <f t="shared" si="360"/>
        <v>1978</v>
      </c>
      <c r="B1979">
        <f t="shared" ca="1" si="361"/>
        <v>49</v>
      </c>
      <c r="C1979" t="str">
        <f t="shared" ca="1" si="362"/>
        <v>Female</v>
      </c>
      <c r="D1979" s="1">
        <f t="shared" ca="1" si="363"/>
        <v>45471</v>
      </c>
      <c r="E1979" s="1">
        <f t="shared" ca="1" si="364"/>
        <v>45474</v>
      </c>
      <c r="F1979" t="str">
        <f t="shared" ca="1" si="365"/>
        <v>Heart Failure</v>
      </c>
      <c r="G1979" t="str">
        <f t="shared" ca="1" si="366"/>
        <v>Therapy</v>
      </c>
      <c r="H1979">
        <f t="shared" ca="1" si="367"/>
        <v>3</v>
      </c>
      <c r="I1979" t="str">
        <f t="shared" ca="1" si="368"/>
        <v>No</v>
      </c>
      <c r="J1979">
        <f t="shared" ca="1" si="369"/>
        <v>0</v>
      </c>
      <c r="K1979" t="str">
        <f t="shared" ca="1" si="370"/>
        <v>None</v>
      </c>
      <c r="L1979" t="str">
        <f t="shared" ca="1" si="371"/>
        <v>Cardiology</v>
      </c>
    </row>
    <row r="1980" spans="1:12" x14ac:dyDescent="0.25">
      <c r="A1980">
        <f t="shared" si="360"/>
        <v>1979</v>
      </c>
      <c r="B1980">
        <f t="shared" ca="1" si="361"/>
        <v>38</v>
      </c>
      <c r="C1980" t="str">
        <f t="shared" ca="1" si="362"/>
        <v>Male</v>
      </c>
      <c r="D1980" s="1">
        <f t="shared" ca="1" si="363"/>
        <v>45617</v>
      </c>
      <c r="E1980" s="1">
        <f t="shared" ca="1" si="364"/>
        <v>45620</v>
      </c>
      <c r="F1980" t="str">
        <f t="shared" ca="1" si="365"/>
        <v>Heart Failure</v>
      </c>
      <c r="G1980" t="str">
        <f t="shared" ca="1" si="366"/>
        <v>Medication</v>
      </c>
      <c r="H1980">
        <f t="shared" ca="1" si="367"/>
        <v>3</v>
      </c>
      <c r="I1980" t="str">
        <f t="shared" ca="1" si="368"/>
        <v>No</v>
      </c>
      <c r="J1980">
        <f t="shared" ca="1" si="369"/>
        <v>3</v>
      </c>
      <c r="K1980" t="str">
        <f t="shared" ca="1" si="370"/>
        <v>None</v>
      </c>
      <c r="L1980" t="str">
        <f t="shared" ca="1" si="371"/>
        <v>General</v>
      </c>
    </row>
    <row r="1981" spans="1:12" x14ac:dyDescent="0.25">
      <c r="A1981">
        <f t="shared" si="360"/>
        <v>1980</v>
      </c>
      <c r="B1981">
        <f t="shared" ca="1" si="361"/>
        <v>45</v>
      </c>
      <c r="C1981" t="str">
        <f t="shared" ca="1" si="362"/>
        <v>Female</v>
      </c>
      <c r="D1981" s="1">
        <f t="shared" ca="1" si="363"/>
        <v>45534</v>
      </c>
      <c r="E1981" s="1">
        <f t="shared" ca="1" si="364"/>
        <v>45540</v>
      </c>
      <c r="F1981" t="str">
        <f t="shared" ca="1" si="365"/>
        <v>Heart Failure</v>
      </c>
      <c r="G1981" t="str">
        <f t="shared" ca="1" si="366"/>
        <v>Surgery</v>
      </c>
      <c r="H1981">
        <f t="shared" ca="1" si="367"/>
        <v>6</v>
      </c>
      <c r="I1981" t="str">
        <f t="shared" ca="1" si="368"/>
        <v>Yes</v>
      </c>
      <c r="J1981">
        <f t="shared" ca="1" si="369"/>
        <v>2</v>
      </c>
      <c r="K1981" t="str">
        <f t="shared" ca="1" si="370"/>
        <v>Private</v>
      </c>
      <c r="L1981" t="str">
        <f t="shared" ca="1" si="371"/>
        <v>Cardiology</v>
      </c>
    </row>
    <row r="1982" spans="1:12" x14ac:dyDescent="0.25">
      <c r="A1982">
        <f t="shared" si="360"/>
        <v>1981</v>
      </c>
      <c r="B1982">
        <f t="shared" ca="1" si="361"/>
        <v>54</v>
      </c>
      <c r="C1982" t="str">
        <f t="shared" ca="1" si="362"/>
        <v>Female</v>
      </c>
      <c r="D1982" s="1">
        <f t="shared" ca="1" si="363"/>
        <v>45503</v>
      </c>
      <c r="E1982" s="1">
        <f t="shared" ca="1" si="364"/>
        <v>45506</v>
      </c>
      <c r="F1982" t="str">
        <f t="shared" ca="1" si="365"/>
        <v>Diabetes</v>
      </c>
      <c r="G1982" t="str">
        <f t="shared" ca="1" si="366"/>
        <v>Surgery</v>
      </c>
      <c r="H1982">
        <f t="shared" ca="1" si="367"/>
        <v>3</v>
      </c>
      <c r="I1982" t="str">
        <f t="shared" ca="1" si="368"/>
        <v>No</v>
      </c>
      <c r="J1982">
        <f t="shared" ca="1" si="369"/>
        <v>0</v>
      </c>
      <c r="K1982" t="str">
        <f t="shared" ca="1" si="370"/>
        <v>Public</v>
      </c>
      <c r="L1982" t="str">
        <f t="shared" ca="1" si="371"/>
        <v>General</v>
      </c>
    </row>
    <row r="1983" spans="1:12" x14ac:dyDescent="0.25">
      <c r="A1983">
        <f t="shared" si="360"/>
        <v>1982</v>
      </c>
      <c r="B1983">
        <f t="shared" ca="1" si="361"/>
        <v>87</v>
      </c>
      <c r="C1983" t="str">
        <f t="shared" ca="1" si="362"/>
        <v>Female</v>
      </c>
      <c r="D1983" s="1">
        <f t="shared" ca="1" si="363"/>
        <v>45374</v>
      </c>
      <c r="E1983" s="1">
        <f t="shared" ca="1" si="364"/>
        <v>45378</v>
      </c>
      <c r="F1983" t="str">
        <f t="shared" ca="1" si="365"/>
        <v>Heart Failure</v>
      </c>
      <c r="G1983" t="str">
        <f t="shared" ca="1" si="366"/>
        <v>Surgery</v>
      </c>
      <c r="H1983">
        <f t="shared" ca="1" si="367"/>
        <v>4</v>
      </c>
      <c r="I1983" t="str">
        <f t="shared" ca="1" si="368"/>
        <v>No</v>
      </c>
      <c r="J1983">
        <f t="shared" ca="1" si="369"/>
        <v>0</v>
      </c>
      <c r="K1983" t="str">
        <f t="shared" ca="1" si="370"/>
        <v>Public</v>
      </c>
      <c r="L1983" t="str">
        <f t="shared" ca="1" si="371"/>
        <v>ER</v>
      </c>
    </row>
    <row r="1984" spans="1:12" x14ac:dyDescent="0.25">
      <c r="A1984">
        <f t="shared" si="360"/>
        <v>1983</v>
      </c>
      <c r="B1984">
        <f t="shared" ca="1" si="361"/>
        <v>38</v>
      </c>
      <c r="C1984" t="str">
        <f t="shared" ca="1" si="362"/>
        <v>Male</v>
      </c>
      <c r="D1984" s="1">
        <f t="shared" ca="1" si="363"/>
        <v>45640</v>
      </c>
      <c r="E1984" s="1">
        <f t="shared" ca="1" si="364"/>
        <v>45653</v>
      </c>
      <c r="F1984" t="str">
        <f t="shared" ca="1" si="365"/>
        <v>Hypertension</v>
      </c>
      <c r="G1984" t="str">
        <f t="shared" ca="1" si="366"/>
        <v>Therapy</v>
      </c>
      <c r="H1984">
        <f t="shared" ca="1" si="367"/>
        <v>13</v>
      </c>
      <c r="I1984" t="str">
        <f t="shared" ca="1" si="368"/>
        <v>No</v>
      </c>
      <c r="J1984">
        <f t="shared" ca="1" si="369"/>
        <v>0</v>
      </c>
      <c r="K1984" t="str">
        <f t="shared" ca="1" si="370"/>
        <v>Public</v>
      </c>
      <c r="L1984" t="str">
        <f t="shared" ca="1" si="371"/>
        <v>General</v>
      </c>
    </row>
    <row r="1985" spans="1:12" x14ac:dyDescent="0.25">
      <c r="A1985">
        <f t="shared" si="360"/>
        <v>1984</v>
      </c>
      <c r="B1985">
        <f t="shared" ca="1" si="361"/>
        <v>40</v>
      </c>
      <c r="C1985" t="str">
        <f t="shared" ca="1" si="362"/>
        <v>Male</v>
      </c>
      <c r="D1985" s="1">
        <f t="shared" ca="1" si="363"/>
        <v>45328</v>
      </c>
      <c r="E1985" s="1">
        <f t="shared" ca="1" si="364"/>
        <v>45341</v>
      </c>
      <c r="F1985" t="str">
        <f t="shared" ca="1" si="365"/>
        <v>Diabetes</v>
      </c>
      <c r="G1985" t="str">
        <f t="shared" ca="1" si="366"/>
        <v>Medication</v>
      </c>
      <c r="H1985">
        <f t="shared" ca="1" si="367"/>
        <v>13</v>
      </c>
      <c r="I1985" t="str">
        <f t="shared" ca="1" si="368"/>
        <v>No</v>
      </c>
      <c r="J1985">
        <f t="shared" ca="1" si="369"/>
        <v>1</v>
      </c>
      <c r="K1985" t="str">
        <f t="shared" ca="1" si="370"/>
        <v>Private</v>
      </c>
      <c r="L1985" t="str">
        <f t="shared" ca="1" si="371"/>
        <v>General</v>
      </c>
    </row>
    <row r="1986" spans="1:12" x14ac:dyDescent="0.25">
      <c r="A1986">
        <f t="shared" si="360"/>
        <v>1985</v>
      </c>
      <c r="B1986">
        <f t="shared" ca="1" si="361"/>
        <v>77</v>
      </c>
      <c r="C1986" t="str">
        <f t="shared" ca="1" si="362"/>
        <v>Female</v>
      </c>
      <c r="D1986" s="1">
        <f t="shared" ca="1" si="363"/>
        <v>45638</v>
      </c>
      <c r="E1986" s="1">
        <f t="shared" ca="1" si="364"/>
        <v>45647</v>
      </c>
      <c r="F1986" t="str">
        <f t="shared" ca="1" si="365"/>
        <v>Hypertension</v>
      </c>
      <c r="G1986" t="str">
        <f t="shared" ca="1" si="366"/>
        <v>Medication</v>
      </c>
      <c r="H1986">
        <f t="shared" ca="1" si="367"/>
        <v>9</v>
      </c>
      <c r="I1986" t="str">
        <f t="shared" ca="1" si="368"/>
        <v>No</v>
      </c>
      <c r="J1986">
        <f t="shared" ca="1" si="369"/>
        <v>3</v>
      </c>
      <c r="K1986" t="str">
        <f t="shared" ca="1" si="370"/>
        <v>None</v>
      </c>
      <c r="L1986" t="str">
        <f t="shared" ca="1" si="371"/>
        <v>ICU</v>
      </c>
    </row>
    <row r="1987" spans="1:12" x14ac:dyDescent="0.25">
      <c r="A1987">
        <f t="shared" ref="A1987:A2001" si="372">ROW() -1</f>
        <v>1986</v>
      </c>
      <c r="B1987">
        <f t="shared" ref="B1987:B2001" ca="1" si="373">RANDBETWEEN(20,90)</f>
        <v>67</v>
      </c>
      <c r="C1987" t="str">
        <f t="shared" ref="C1987:C2001" ca="1" si="374">IF(RAND()&lt;0.5,"Male","Female")</f>
        <v>Male</v>
      </c>
      <c r="D1987" s="1">
        <f t="shared" ref="D1987:D2001" ca="1" si="375">DATE(2024,1,1)+RANDBETWEEN(0,364)</f>
        <v>45399</v>
      </c>
      <c r="E1987" s="1">
        <f t="shared" ref="E1987:E2001" ca="1" si="376">D1987+RANDBETWEEN(1,15)</f>
        <v>45400</v>
      </c>
      <c r="F1987" t="str">
        <f t="shared" ref="F1987:F2001" ca="1" si="377">CHOOSE(RANDBETWEEN(1,5),"Diabetes","Heart Failure","Pneumonia","Stroke","Hypertension")</f>
        <v>Stroke</v>
      </c>
      <c r="G1987" t="str">
        <f t="shared" ref="G1987:G2001" ca="1" si="378">CHOOSE(RANDBETWEEN(1,3),"Medication","Surgery","Therapy")</f>
        <v>Surgery</v>
      </c>
      <c r="H1987">
        <f t="shared" ref="H1987:H2001" ca="1" si="379">DATEDIF(D1987,E1987,"D")</f>
        <v>1</v>
      </c>
      <c r="I1987" t="str">
        <f t="shared" ref="I1987:I2001" ca="1" si="380">IF(RAND()&lt;0.3,"Yes","No")</f>
        <v>No</v>
      </c>
      <c r="J1987">
        <f t="shared" ref="J1987:J2001" ca="1" si="381">RANDBETWEEN(0,4)</f>
        <v>4</v>
      </c>
      <c r="K1987" t="str">
        <f t="shared" ref="K1987:K2001" ca="1" si="382">CHOOSE(RANDBETWEEN(1,3),"Private","Public","None")</f>
        <v>Public</v>
      </c>
      <c r="L1987" t="str">
        <f t="shared" ref="L1987:L2001" ca="1" si="383">CHOOSE(RANDBETWEEN(1,5),"ER","Cardiology","Neurology","General","ICU")</f>
        <v>General</v>
      </c>
    </row>
    <row r="1988" spans="1:12" x14ac:dyDescent="0.25">
      <c r="A1988">
        <f t="shared" si="372"/>
        <v>1987</v>
      </c>
      <c r="B1988">
        <f t="shared" ca="1" si="373"/>
        <v>46</v>
      </c>
      <c r="C1988" t="str">
        <f t="shared" ca="1" si="374"/>
        <v>Female</v>
      </c>
      <c r="D1988" s="1">
        <f t="shared" ca="1" si="375"/>
        <v>45621</v>
      </c>
      <c r="E1988" s="1">
        <f t="shared" ca="1" si="376"/>
        <v>45632</v>
      </c>
      <c r="F1988" t="str">
        <f t="shared" ca="1" si="377"/>
        <v>Heart Failure</v>
      </c>
      <c r="G1988" t="str">
        <f t="shared" ca="1" si="378"/>
        <v>Medication</v>
      </c>
      <c r="H1988">
        <f t="shared" ca="1" si="379"/>
        <v>11</v>
      </c>
      <c r="I1988" t="str">
        <f t="shared" ca="1" si="380"/>
        <v>Yes</v>
      </c>
      <c r="J1988">
        <f t="shared" ca="1" si="381"/>
        <v>3</v>
      </c>
      <c r="K1988" t="str">
        <f t="shared" ca="1" si="382"/>
        <v>None</v>
      </c>
      <c r="L1988" t="str">
        <f t="shared" ca="1" si="383"/>
        <v>General</v>
      </c>
    </row>
    <row r="1989" spans="1:12" x14ac:dyDescent="0.25">
      <c r="A1989">
        <f t="shared" si="372"/>
        <v>1988</v>
      </c>
      <c r="B1989">
        <f t="shared" ca="1" si="373"/>
        <v>86</v>
      </c>
      <c r="C1989" t="str">
        <f t="shared" ca="1" si="374"/>
        <v>Female</v>
      </c>
      <c r="D1989" s="1">
        <f t="shared" ca="1" si="375"/>
        <v>45523</v>
      </c>
      <c r="E1989" s="1">
        <f t="shared" ca="1" si="376"/>
        <v>45527</v>
      </c>
      <c r="F1989" t="str">
        <f t="shared" ca="1" si="377"/>
        <v>Hypertension</v>
      </c>
      <c r="G1989" t="str">
        <f t="shared" ca="1" si="378"/>
        <v>Medication</v>
      </c>
      <c r="H1989">
        <f t="shared" ca="1" si="379"/>
        <v>4</v>
      </c>
      <c r="I1989" t="str">
        <f t="shared" ca="1" si="380"/>
        <v>Yes</v>
      </c>
      <c r="J1989">
        <f t="shared" ca="1" si="381"/>
        <v>0</v>
      </c>
      <c r="K1989" t="str">
        <f t="shared" ca="1" si="382"/>
        <v>None</v>
      </c>
      <c r="L1989" t="str">
        <f t="shared" ca="1" si="383"/>
        <v>ICU</v>
      </c>
    </row>
    <row r="1990" spans="1:12" x14ac:dyDescent="0.25">
      <c r="A1990">
        <f t="shared" si="372"/>
        <v>1989</v>
      </c>
      <c r="B1990">
        <f t="shared" ca="1" si="373"/>
        <v>63</v>
      </c>
      <c r="C1990" t="str">
        <f t="shared" ca="1" si="374"/>
        <v>Male</v>
      </c>
      <c r="D1990" s="1">
        <f t="shared" ca="1" si="375"/>
        <v>45604</v>
      </c>
      <c r="E1990" s="1">
        <f t="shared" ca="1" si="376"/>
        <v>45607</v>
      </c>
      <c r="F1990" t="str">
        <f t="shared" ca="1" si="377"/>
        <v>Diabetes</v>
      </c>
      <c r="G1990" t="str">
        <f t="shared" ca="1" si="378"/>
        <v>Surgery</v>
      </c>
      <c r="H1990">
        <f t="shared" ca="1" si="379"/>
        <v>3</v>
      </c>
      <c r="I1990" t="str">
        <f t="shared" ca="1" si="380"/>
        <v>Yes</v>
      </c>
      <c r="J1990">
        <f t="shared" ca="1" si="381"/>
        <v>2</v>
      </c>
      <c r="K1990" t="str">
        <f t="shared" ca="1" si="382"/>
        <v>Public</v>
      </c>
      <c r="L1990" t="str">
        <f t="shared" ca="1" si="383"/>
        <v>ER</v>
      </c>
    </row>
    <row r="1991" spans="1:12" x14ac:dyDescent="0.25">
      <c r="A1991">
        <f t="shared" si="372"/>
        <v>1990</v>
      </c>
      <c r="B1991">
        <f t="shared" ca="1" si="373"/>
        <v>62</v>
      </c>
      <c r="C1991" t="str">
        <f t="shared" ca="1" si="374"/>
        <v>Female</v>
      </c>
      <c r="D1991" s="1">
        <f t="shared" ca="1" si="375"/>
        <v>45305</v>
      </c>
      <c r="E1991" s="1">
        <f t="shared" ca="1" si="376"/>
        <v>45320</v>
      </c>
      <c r="F1991" t="str">
        <f t="shared" ca="1" si="377"/>
        <v>Stroke</v>
      </c>
      <c r="G1991" t="str">
        <f t="shared" ca="1" si="378"/>
        <v>Surgery</v>
      </c>
      <c r="H1991">
        <f t="shared" ca="1" si="379"/>
        <v>15</v>
      </c>
      <c r="I1991" t="str">
        <f t="shared" ca="1" si="380"/>
        <v>No</v>
      </c>
      <c r="J1991">
        <f t="shared" ca="1" si="381"/>
        <v>1</v>
      </c>
      <c r="K1991" t="str">
        <f t="shared" ca="1" si="382"/>
        <v>Private</v>
      </c>
      <c r="L1991" t="str">
        <f t="shared" ca="1" si="383"/>
        <v>Cardiology</v>
      </c>
    </row>
    <row r="1992" spans="1:12" x14ac:dyDescent="0.25">
      <c r="A1992">
        <f t="shared" si="372"/>
        <v>1991</v>
      </c>
      <c r="B1992">
        <f t="shared" ca="1" si="373"/>
        <v>78</v>
      </c>
      <c r="C1992" t="str">
        <f t="shared" ca="1" si="374"/>
        <v>Male</v>
      </c>
      <c r="D1992" s="1">
        <f t="shared" ca="1" si="375"/>
        <v>45580</v>
      </c>
      <c r="E1992" s="1">
        <f t="shared" ca="1" si="376"/>
        <v>45589</v>
      </c>
      <c r="F1992" t="str">
        <f t="shared" ca="1" si="377"/>
        <v>Stroke</v>
      </c>
      <c r="G1992" t="str">
        <f t="shared" ca="1" si="378"/>
        <v>Medication</v>
      </c>
      <c r="H1992">
        <f t="shared" ca="1" si="379"/>
        <v>9</v>
      </c>
      <c r="I1992" t="str">
        <f t="shared" ca="1" si="380"/>
        <v>No</v>
      </c>
      <c r="J1992">
        <f t="shared" ca="1" si="381"/>
        <v>3</v>
      </c>
      <c r="K1992" t="str">
        <f t="shared" ca="1" si="382"/>
        <v>Private</v>
      </c>
      <c r="L1992" t="str">
        <f t="shared" ca="1" si="383"/>
        <v>General</v>
      </c>
    </row>
    <row r="1993" spans="1:12" x14ac:dyDescent="0.25">
      <c r="A1993">
        <f t="shared" si="372"/>
        <v>1992</v>
      </c>
      <c r="B1993">
        <f t="shared" ca="1" si="373"/>
        <v>65</v>
      </c>
      <c r="C1993" t="str">
        <f t="shared" ca="1" si="374"/>
        <v>Female</v>
      </c>
      <c r="D1993" s="1">
        <f t="shared" ca="1" si="375"/>
        <v>45295</v>
      </c>
      <c r="E1993" s="1">
        <f t="shared" ca="1" si="376"/>
        <v>45302</v>
      </c>
      <c r="F1993" t="str">
        <f t="shared" ca="1" si="377"/>
        <v>Hypertension</v>
      </c>
      <c r="G1993" t="str">
        <f t="shared" ca="1" si="378"/>
        <v>Medication</v>
      </c>
      <c r="H1993">
        <f t="shared" ca="1" si="379"/>
        <v>7</v>
      </c>
      <c r="I1993" t="str">
        <f t="shared" ca="1" si="380"/>
        <v>No</v>
      </c>
      <c r="J1993">
        <f t="shared" ca="1" si="381"/>
        <v>4</v>
      </c>
      <c r="K1993" t="str">
        <f t="shared" ca="1" si="382"/>
        <v>Public</v>
      </c>
      <c r="L1993" t="str">
        <f t="shared" ca="1" si="383"/>
        <v>Neurology</v>
      </c>
    </row>
    <row r="1994" spans="1:12" x14ac:dyDescent="0.25">
      <c r="A1994">
        <f t="shared" si="372"/>
        <v>1993</v>
      </c>
      <c r="B1994">
        <f t="shared" ca="1" si="373"/>
        <v>46</v>
      </c>
      <c r="C1994" t="str">
        <f t="shared" ca="1" si="374"/>
        <v>Female</v>
      </c>
      <c r="D1994" s="1">
        <f t="shared" ca="1" si="375"/>
        <v>45561</v>
      </c>
      <c r="E1994" s="1">
        <f t="shared" ca="1" si="376"/>
        <v>45576</v>
      </c>
      <c r="F1994" t="str">
        <f t="shared" ca="1" si="377"/>
        <v>Stroke</v>
      </c>
      <c r="G1994" t="str">
        <f t="shared" ca="1" si="378"/>
        <v>Surgery</v>
      </c>
      <c r="H1994">
        <f t="shared" ca="1" si="379"/>
        <v>15</v>
      </c>
      <c r="I1994" t="str">
        <f t="shared" ca="1" si="380"/>
        <v>No</v>
      </c>
      <c r="J1994">
        <f t="shared" ca="1" si="381"/>
        <v>0</v>
      </c>
      <c r="K1994" t="str">
        <f t="shared" ca="1" si="382"/>
        <v>None</v>
      </c>
      <c r="L1994" t="str">
        <f t="shared" ca="1" si="383"/>
        <v>Neurology</v>
      </c>
    </row>
    <row r="1995" spans="1:12" x14ac:dyDescent="0.25">
      <c r="A1995">
        <f t="shared" si="372"/>
        <v>1994</v>
      </c>
      <c r="B1995">
        <f t="shared" ca="1" si="373"/>
        <v>40</v>
      </c>
      <c r="C1995" t="str">
        <f t="shared" ca="1" si="374"/>
        <v>Female</v>
      </c>
      <c r="D1995" s="1">
        <f t="shared" ca="1" si="375"/>
        <v>45322</v>
      </c>
      <c r="E1995" s="1">
        <f t="shared" ca="1" si="376"/>
        <v>45326</v>
      </c>
      <c r="F1995" t="str">
        <f t="shared" ca="1" si="377"/>
        <v>Stroke</v>
      </c>
      <c r="G1995" t="str">
        <f t="shared" ca="1" si="378"/>
        <v>Surgery</v>
      </c>
      <c r="H1995">
        <f t="shared" ca="1" si="379"/>
        <v>4</v>
      </c>
      <c r="I1995" t="str">
        <f t="shared" ca="1" si="380"/>
        <v>No</v>
      </c>
      <c r="J1995">
        <f t="shared" ca="1" si="381"/>
        <v>3</v>
      </c>
      <c r="K1995" t="str">
        <f t="shared" ca="1" si="382"/>
        <v>Private</v>
      </c>
      <c r="L1995" t="str">
        <f t="shared" ca="1" si="383"/>
        <v>General</v>
      </c>
    </row>
    <row r="1996" spans="1:12" x14ac:dyDescent="0.25">
      <c r="A1996">
        <f t="shared" si="372"/>
        <v>1995</v>
      </c>
      <c r="B1996">
        <f t="shared" ca="1" si="373"/>
        <v>30</v>
      </c>
      <c r="C1996" t="str">
        <f t="shared" ca="1" si="374"/>
        <v>Male</v>
      </c>
      <c r="D1996" s="1">
        <f t="shared" ca="1" si="375"/>
        <v>45411</v>
      </c>
      <c r="E1996" s="1">
        <f t="shared" ca="1" si="376"/>
        <v>45422</v>
      </c>
      <c r="F1996" t="str">
        <f t="shared" ca="1" si="377"/>
        <v>Pneumonia</v>
      </c>
      <c r="G1996" t="str">
        <f t="shared" ca="1" si="378"/>
        <v>Therapy</v>
      </c>
      <c r="H1996">
        <f t="shared" ca="1" si="379"/>
        <v>11</v>
      </c>
      <c r="I1996" t="str">
        <f t="shared" ca="1" si="380"/>
        <v>No</v>
      </c>
      <c r="J1996">
        <f t="shared" ca="1" si="381"/>
        <v>0</v>
      </c>
      <c r="K1996" t="str">
        <f t="shared" ca="1" si="382"/>
        <v>None</v>
      </c>
      <c r="L1996" t="str">
        <f t="shared" ca="1" si="383"/>
        <v>Neurology</v>
      </c>
    </row>
    <row r="1997" spans="1:12" x14ac:dyDescent="0.25">
      <c r="A1997">
        <f t="shared" si="372"/>
        <v>1996</v>
      </c>
      <c r="B1997">
        <f t="shared" ca="1" si="373"/>
        <v>35</v>
      </c>
      <c r="C1997" t="str">
        <f t="shared" ca="1" si="374"/>
        <v>Male</v>
      </c>
      <c r="D1997" s="1">
        <f t="shared" ca="1" si="375"/>
        <v>45524</v>
      </c>
      <c r="E1997" s="1">
        <f t="shared" ca="1" si="376"/>
        <v>45538</v>
      </c>
      <c r="F1997" t="str">
        <f t="shared" ca="1" si="377"/>
        <v>Diabetes</v>
      </c>
      <c r="G1997" t="str">
        <f t="shared" ca="1" si="378"/>
        <v>Surgery</v>
      </c>
      <c r="H1997">
        <f t="shared" ca="1" si="379"/>
        <v>14</v>
      </c>
      <c r="I1997" t="str">
        <f t="shared" ca="1" si="380"/>
        <v>No</v>
      </c>
      <c r="J1997">
        <f t="shared" ca="1" si="381"/>
        <v>1</v>
      </c>
      <c r="K1997" t="str">
        <f t="shared" ca="1" si="382"/>
        <v>Public</v>
      </c>
      <c r="L1997" t="str">
        <f t="shared" ca="1" si="383"/>
        <v>ER</v>
      </c>
    </row>
    <row r="1998" spans="1:12" x14ac:dyDescent="0.25">
      <c r="A1998">
        <f t="shared" si="372"/>
        <v>1997</v>
      </c>
      <c r="B1998">
        <f t="shared" ca="1" si="373"/>
        <v>42</v>
      </c>
      <c r="C1998" t="str">
        <f t="shared" ca="1" si="374"/>
        <v>Male</v>
      </c>
      <c r="D1998" s="1">
        <f t="shared" ca="1" si="375"/>
        <v>45614</v>
      </c>
      <c r="E1998" s="1">
        <f t="shared" ca="1" si="376"/>
        <v>45621</v>
      </c>
      <c r="F1998" t="str">
        <f t="shared" ca="1" si="377"/>
        <v>Diabetes</v>
      </c>
      <c r="G1998" t="str">
        <f t="shared" ca="1" si="378"/>
        <v>Medication</v>
      </c>
      <c r="H1998">
        <f t="shared" ca="1" si="379"/>
        <v>7</v>
      </c>
      <c r="I1998" t="str">
        <f t="shared" ca="1" si="380"/>
        <v>Yes</v>
      </c>
      <c r="J1998">
        <f t="shared" ca="1" si="381"/>
        <v>4</v>
      </c>
      <c r="K1998" t="str">
        <f t="shared" ca="1" si="382"/>
        <v>Private</v>
      </c>
      <c r="L1998" t="str">
        <f t="shared" ca="1" si="383"/>
        <v>Cardiology</v>
      </c>
    </row>
    <row r="1999" spans="1:12" x14ac:dyDescent="0.25">
      <c r="A1999">
        <f t="shared" si="372"/>
        <v>1998</v>
      </c>
      <c r="B1999">
        <f t="shared" ca="1" si="373"/>
        <v>87</v>
      </c>
      <c r="C1999" t="str">
        <f t="shared" ca="1" si="374"/>
        <v>Female</v>
      </c>
      <c r="D1999" s="1">
        <f t="shared" ca="1" si="375"/>
        <v>45378</v>
      </c>
      <c r="E1999" s="1">
        <f t="shared" ca="1" si="376"/>
        <v>45385</v>
      </c>
      <c r="F1999" t="str">
        <f t="shared" ca="1" si="377"/>
        <v>Diabetes</v>
      </c>
      <c r="G1999" t="str">
        <f t="shared" ca="1" si="378"/>
        <v>Therapy</v>
      </c>
      <c r="H1999">
        <f t="shared" ca="1" si="379"/>
        <v>7</v>
      </c>
      <c r="I1999" t="str">
        <f t="shared" ca="1" si="380"/>
        <v>No</v>
      </c>
      <c r="J1999">
        <f t="shared" ca="1" si="381"/>
        <v>0</v>
      </c>
      <c r="K1999" t="str">
        <f t="shared" ca="1" si="382"/>
        <v>Public</v>
      </c>
      <c r="L1999" t="str">
        <f t="shared" ca="1" si="383"/>
        <v>ICU</v>
      </c>
    </row>
    <row r="2000" spans="1:12" x14ac:dyDescent="0.25">
      <c r="A2000">
        <f t="shared" si="372"/>
        <v>1999</v>
      </c>
      <c r="B2000">
        <f t="shared" ca="1" si="373"/>
        <v>36</v>
      </c>
      <c r="C2000" t="str">
        <f t="shared" ca="1" si="374"/>
        <v>Female</v>
      </c>
      <c r="D2000" s="1">
        <f t="shared" ca="1" si="375"/>
        <v>45455</v>
      </c>
      <c r="E2000" s="1">
        <f t="shared" ca="1" si="376"/>
        <v>45463</v>
      </c>
      <c r="F2000" t="str">
        <f t="shared" ca="1" si="377"/>
        <v>Stroke</v>
      </c>
      <c r="G2000" t="str">
        <f t="shared" ca="1" si="378"/>
        <v>Medication</v>
      </c>
      <c r="H2000">
        <f t="shared" ca="1" si="379"/>
        <v>8</v>
      </c>
      <c r="I2000" t="str">
        <f t="shared" ca="1" si="380"/>
        <v>No</v>
      </c>
      <c r="J2000">
        <f t="shared" ca="1" si="381"/>
        <v>3</v>
      </c>
      <c r="K2000" t="str">
        <f t="shared" ca="1" si="382"/>
        <v>Public</v>
      </c>
      <c r="L2000" t="str">
        <f t="shared" ca="1" si="383"/>
        <v>ICU</v>
      </c>
    </row>
    <row r="2001" spans="1:12" x14ac:dyDescent="0.25">
      <c r="A2001">
        <f t="shared" si="372"/>
        <v>2000</v>
      </c>
      <c r="B2001">
        <f t="shared" ca="1" si="373"/>
        <v>78</v>
      </c>
      <c r="C2001" t="str">
        <f t="shared" ca="1" si="374"/>
        <v>Male</v>
      </c>
      <c r="D2001" s="1">
        <f t="shared" ca="1" si="375"/>
        <v>45588</v>
      </c>
      <c r="E2001" s="1">
        <f t="shared" ca="1" si="376"/>
        <v>45601</v>
      </c>
      <c r="F2001" t="str">
        <f t="shared" ca="1" si="377"/>
        <v>Diabetes</v>
      </c>
      <c r="G2001" t="str">
        <f t="shared" ca="1" si="378"/>
        <v>Surgery</v>
      </c>
      <c r="H2001">
        <f t="shared" ca="1" si="379"/>
        <v>13</v>
      </c>
      <c r="I2001" t="str">
        <f t="shared" ca="1" si="380"/>
        <v>No</v>
      </c>
      <c r="J2001">
        <f t="shared" ca="1" si="381"/>
        <v>0</v>
      </c>
      <c r="K2001" t="str">
        <f t="shared" ca="1" si="382"/>
        <v>None</v>
      </c>
      <c r="L2001" t="str">
        <f t="shared" ca="1" si="383"/>
        <v>General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56D8-FE2F-4356-AEDC-0751B75AC544}">
  <dimension ref="A1:L2001"/>
  <sheetViews>
    <sheetView tabSelected="1" workbookViewId="0">
      <selection activeCell="F4" sqref="F4"/>
    </sheetView>
  </sheetViews>
  <sheetFormatPr defaultRowHeight="15" x14ac:dyDescent="0.25"/>
  <cols>
    <col min="4" max="4" width="14.85546875" customWidth="1"/>
    <col min="5" max="5" width="20.7109375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71</v>
      </c>
      <c r="C2" t="s">
        <v>26</v>
      </c>
      <c r="D2" s="1">
        <v>45602</v>
      </c>
      <c r="E2" s="1">
        <v>45605</v>
      </c>
      <c r="F2" t="s">
        <v>18</v>
      </c>
      <c r="G2" t="s">
        <v>23</v>
      </c>
      <c r="H2">
        <v>3</v>
      </c>
      <c r="I2" t="s">
        <v>20</v>
      </c>
      <c r="J2">
        <v>3</v>
      </c>
      <c r="K2" t="s">
        <v>24</v>
      </c>
      <c r="L2" t="s">
        <v>30</v>
      </c>
    </row>
    <row r="3" spans="1:12" x14ac:dyDescent="0.25">
      <c r="A3">
        <v>2</v>
      </c>
      <c r="B3">
        <v>27</v>
      </c>
      <c r="C3" t="s">
        <v>26</v>
      </c>
      <c r="D3" s="1">
        <v>45481</v>
      </c>
      <c r="E3" s="1">
        <v>45491</v>
      </c>
      <c r="F3" t="s">
        <v>13</v>
      </c>
      <c r="G3" t="s">
        <v>19</v>
      </c>
      <c r="H3">
        <v>10</v>
      </c>
      <c r="I3" t="s">
        <v>15</v>
      </c>
      <c r="J3">
        <v>0</v>
      </c>
      <c r="K3" t="s">
        <v>21</v>
      </c>
      <c r="L3" t="s">
        <v>30</v>
      </c>
    </row>
    <row r="4" spans="1:12" x14ac:dyDescent="0.25">
      <c r="A4">
        <v>3</v>
      </c>
      <c r="B4">
        <v>60</v>
      </c>
      <c r="C4" t="s">
        <v>12</v>
      </c>
      <c r="D4" s="1">
        <v>45438</v>
      </c>
      <c r="E4" s="1">
        <v>45450</v>
      </c>
      <c r="F4" t="s">
        <v>31</v>
      </c>
      <c r="G4" t="s">
        <v>19</v>
      </c>
      <c r="H4">
        <v>12</v>
      </c>
      <c r="I4" t="s">
        <v>15</v>
      </c>
      <c r="J4">
        <v>1</v>
      </c>
      <c r="K4" t="s">
        <v>21</v>
      </c>
      <c r="L4" t="s">
        <v>30</v>
      </c>
    </row>
    <row r="5" spans="1:12" x14ac:dyDescent="0.25">
      <c r="A5">
        <v>4</v>
      </c>
      <c r="B5">
        <v>34</v>
      </c>
      <c r="C5" t="s">
        <v>12</v>
      </c>
      <c r="D5" s="1">
        <v>45335</v>
      </c>
      <c r="E5" s="1">
        <v>45341</v>
      </c>
      <c r="F5" t="s">
        <v>27</v>
      </c>
      <c r="G5" t="s">
        <v>23</v>
      </c>
      <c r="H5">
        <v>6</v>
      </c>
      <c r="I5" t="s">
        <v>20</v>
      </c>
      <c r="J5">
        <v>1</v>
      </c>
      <c r="K5" t="s">
        <v>21</v>
      </c>
      <c r="L5" t="s">
        <v>22</v>
      </c>
    </row>
    <row r="6" spans="1:12" x14ac:dyDescent="0.25">
      <c r="A6">
        <v>5</v>
      </c>
      <c r="B6">
        <v>23</v>
      </c>
      <c r="C6" t="s">
        <v>26</v>
      </c>
      <c r="D6" s="1">
        <v>45532</v>
      </c>
      <c r="E6" s="1">
        <v>45539</v>
      </c>
      <c r="F6" t="s">
        <v>27</v>
      </c>
      <c r="G6" t="s">
        <v>14</v>
      </c>
      <c r="H6">
        <v>7</v>
      </c>
      <c r="I6" t="s">
        <v>15</v>
      </c>
      <c r="J6">
        <v>1</v>
      </c>
      <c r="K6" t="s">
        <v>24</v>
      </c>
      <c r="L6" t="s">
        <v>30</v>
      </c>
    </row>
    <row r="7" spans="1:12" x14ac:dyDescent="0.25">
      <c r="A7">
        <v>6</v>
      </c>
      <c r="B7">
        <v>37</v>
      </c>
      <c r="C7" t="s">
        <v>26</v>
      </c>
      <c r="D7" s="1">
        <v>45512</v>
      </c>
      <c r="E7" s="1">
        <v>45514</v>
      </c>
      <c r="F7" t="s">
        <v>13</v>
      </c>
      <c r="G7" t="s">
        <v>23</v>
      </c>
      <c r="H7">
        <v>2</v>
      </c>
      <c r="I7" t="s">
        <v>20</v>
      </c>
      <c r="J7">
        <v>1</v>
      </c>
      <c r="K7" t="s">
        <v>21</v>
      </c>
      <c r="L7" t="s">
        <v>25</v>
      </c>
    </row>
    <row r="8" spans="1:12" x14ac:dyDescent="0.25">
      <c r="A8">
        <v>7</v>
      </c>
      <c r="B8">
        <v>75</v>
      </c>
      <c r="C8" t="s">
        <v>12</v>
      </c>
      <c r="D8" s="1">
        <v>45517</v>
      </c>
      <c r="E8" s="1">
        <v>45526</v>
      </c>
      <c r="F8" t="s">
        <v>18</v>
      </c>
      <c r="G8" t="s">
        <v>14</v>
      </c>
      <c r="H8">
        <v>9</v>
      </c>
      <c r="I8" t="s">
        <v>15</v>
      </c>
      <c r="J8">
        <v>1</v>
      </c>
      <c r="K8" t="s">
        <v>24</v>
      </c>
      <c r="L8" t="s">
        <v>22</v>
      </c>
    </row>
    <row r="9" spans="1:12" x14ac:dyDescent="0.25">
      <c r="A9">
        <v>8</v>
      </c>
      <c r="B9">
        <v>23</v>
      </c>
      <c r="C9" t="s">
        <v>12</v>
      </c>
      <c r="D9" s="1">
        <v>45598</v>
      </c>
      <c r="E9" s="1">
        <v>45604</v>
      </c>
      <c r="F9" t="s">
        <v>31</v>
      </c>
      <c r="G9" t="s">
        <v>14</v>
      </c>
      <c r="H9">
        <v>6</v>
      </c>
      <c r="I9" t="s">
        <v>15</v>
      </c>
      <c r="J9">
        <v>1</v>
      </c>
      <c r="K9" t="s">
        <v>16</v>
      </c>
      <c r="L9" t="s">
        <v>22</v>
      </c>
    </row>
    <row r="10" spans="1:12" x14ac:dyDescent="0.25">
      <c r="A10">
        <v>9</v>
      </c>
      <c r="B10">
        <v>73</v>
      </c>
      <c r="C10" t="s">
        <v>12</v>
      </c>
      <c r="D10" s="1">
        <v>45521</v>
      </c>
      <c r="E10" s="1">
        <v>45527</v>
      </c>
      <c r="F10" t="s">
        <v>31</v>
      </c>
      <c r="G10" t="s">
        <v>14</v>
      </c>
      <c r="H10">
        <v>6</v>
      </c>
      <c r="I10" t="s">
        <v>20</v>
      </c>
      <c r="J10">
        <v>2</v>
      </c>
      <c r="K10" t="s">
        <v>16</v>
      </c>
      <c r="L10" t="s">
        <v>30</v>
      </c>
    </row>
    <row r="11" spans="1:12" x14ac:dyDescent="0.25">
      <c r="A11">
        <v>10</v>
      </c>
      <c r="B11">
        <v>53</v>
      </c>
      <c r="C11" t="s">
        <v>26</v>
      </c>
      <c r="D11" s="1">
        <v>45478</v>
      </c>
      <c r="E11" s="1">
        <v>45480</v>
      </c>
      <c r="F11" t="s">
        <v>28</v>
      </c>
      <c r="G11" t="s">
        <v>23</v>
      </c>
      <c r="H11">
        <v>2</v>
      </c>
      <c r="I11" t="s">
        <v>15</v>
      </c>
      <c r="J11">
        <v>1</v>
      </c>
      <c r="K11" t="s">
        <v>24</v>
      </c>
      <c r="L11" t="s">
        <v>25</v>
      </c>
    </row>
    <row r="12" spans="1:12" x14ac:dyDescent="0.25">
      <c r="A12">
        <v>11</v>
      </c>
      <c r="B12">
        <v>36</v>
      </c>
      <c r="C12" t="s">
        <v>12</v>
      </c>
      <c r="D12" s="1">
        <v>45349</v>
      </c>
      <c r="E12" s="1">
        <v>45355</v>
      </c>
      <c r="F12" t="s">
        <v>31</v>
      </c>
      <c r="G12" t="s">
        <v>14</v>
      </c>
      <c r="H12">
        <v>6</v>
      </c>
      <c r="I12" t="s">
        <v>15</v>
      </c>
      <c r="J12">
        <v>2</v>
      </c>
      <c r="K12" t="s">
        <v>16</v>
      </c>
      <c r="L12" t="s">
        <v>25</v>
      </c>
    </row>
    <row r="13" spans="1:12" x14ac:dyDescent="0.25">
      <c r="A13">
        <v>12</v>
      </c>
      <c r="B13">
        <v>25</v>
      </c>
      <c r="C13" t="s">
        <v>26</v>
      </c>
      <c r="D13" s="1">
        <v>45408</v>
      </c>
      <c r="E13" s="1">
        <v>45412</v>
      </c>
      <c r="F13" t="s">
        <v>18</v>
      </c>
      <c r="G13" t="s">
        <v>19</v>
      </c>
      <c r="H13">
        <v>4</v>
      </c>
      <c r="I13" t="s">
        <v>20</v>
      </c>
      <c r="J13">
        <v>2</v>
      </c>
      <c r="K13" t="s">
        <v>21</v>
      </c>
      <c r="L13" t="s">
        <v>30</v>
      </c>
    </row>
    <row r="14" spans="1:12" x14ac:dyDescent="0.25">
      <c r="A14">
        <v>13</v>
      </c>
      <c r="B14">
        <v>61</v>
      </c>
      <c r="C14" t="s">
        <v>12</v>
      </c>
      <c r="D14" s="1">
        <v>45380</v>
      </c>
      <c r="E14" s="1">
        <v>45393</v>
      </c>
      <c r="F14" t="s">
        <v>27</v>
      </c>
      <c r="G14" t="s">
        <v>19</v>
      </c>
      <c r="H14">
        <v>13</v>
      </c>
      <c r="I14" t="s">
        <v>15</v>
      </c>
      <c r="J14">
        <v>0</v>
      </c>
      <c r="K14" t="s">
        <v>16</v>
      </c>
      <c r="L14" t="s">
        <v>30</v>
      </c>
    </row>
    <row r="15" spans="1:12" x14ac:dyDescent="0.25">
      <c r="A15">
        <v>14</v>
      </c>
      <c r="B15">
        <v>56</v>
      </c>
      <c r="C15" t="s">
        <v>12</v>
      </c>
      <c r="D15" s="1">
        <v>45392</v>
      </c>
      <c r="E15" s="1">
        <v>45405</v>
      </c>
      <c r="F15" t="s">
        <v>27</v>
      </c>
      <c r="G15" t="s">
        <v>19</v>
      </c>
      <c r="H15">
        <v>13</v>
      </c>
      <c r="I15" t="s">
        <v>15</v>
      </c>
      <c r="J15">
        <v>2</v>
      </c>
      <c r="K15" t="s">
        <v>24</v>
      </c>
      <c r="L15" t="s">
        <v>25</v>
      </c>
    </row>
    <row r="16" spans="1:12" x14ac:dyDescent="0.25">
      <c r="A16">
        <v>15</v>
      </c>
      <c r="B16">
        <v>46</v>
      </c>
      <c r="C16" t="s">
        <v>26</v>
      </c>
      <c r="D16" s="1">
        <v>45335</v>
      </c>
      <c r="E16" s="1">
        <v>45347</v>
      </c>
      <c r="F16" t="s">
        <v>31</v>
      </c>
      <c r="G16" t="s">
        <v>23</v>
      </c>
      <c r="H16">
        <v>12</v>
      </c>
      <c r="I16" t="s">
        <v>15</v>
      </c>
      <c r="J16">
        <v>0</v>
      </c>
      <c r="K16" t="s">
        <v>21</v>
      </c>
      <c r="L16" t="s">
        <v>25</v>
      </c>
    </row>
    <row r="17" spans="1:12" x14ac:dyDescent="0.25">
      <c r="A17">
        <v>16</v>
      </c>
      <c r="B17">
        <v>39</v>
      </c>
      <c r="C17" t="s">
        <v>12</v>
      </c>
      <c r="D17" s="1">
        <v>45607</v>
      </c>
      <c r="E17" s="1">
        <v>45611</v>
      </c>
      <c r="F17" t="s">
        <v>27</v>
      </c>
      <c r="G17" t="s">
        <v>19</v>
      </c>
      <c r="H17">
        <v>4</v>
      </c>
      <c r="I17" t="s">
        <v>15</v>
      </c>
      <c r="J17">
        <v>1</v>
      </c>
      <c r="K17" t="s">
        <v>21</v>
      </c>
      <c r="L17" t="s">
        <v>17</v>
      </c>
    </row>
    <row r="18" spans="1:12" x14ac:dyDescent="0.25">
      <c r="A18">
        <v>17</v>
      </c>
      <c r="B18">
        <v>29</v>
      </c>
      <c r="C18" t="s">
        <v>12</v>
      </c>
      <c r="D18" s="1">
        <v>45308</v>
      </c>
      <c r="E18" s="1">
        <v>45321</v>
      </c>
      <c r="F18" t="s">
        <v>18</v>
      </c>
      <c r="G18" t="s">
        <v>23</v>
      </c>
      <c r="H18">
        <v>13</v>
      </c>
      <c r="I18" t="s">
        <v>15</v>
      </c>
      <c r="J18">
        <v>0</v>
      </c>
      <c r="K18" t="s">
        <v>24</v>
      </c>
      <c r="L18" t="s">
        <v>29</v>
      </c>
    </row>
    <row r="19" spans="1:12" x14ac:dyDescent="0.25">
      <c r="A19">
        <v>18</v>
      </c>
      <c r="B19">
        <v>59</v>
      </c>
      <c r="C19" t="s">
        <v>26</v>
      </c>
      <c r="D19" s="1">
        <v>45333</v>
      </c>
      <c r="E19" s="1">
        <v>45342</v>
      </c>
      <c r="F19" t="s">
        <v>13</v>
      </c>
      <c r="G19" t="s">
        <v>14</v>
      </c>
      <c r="H19">
        <v>9</v>
      </c>
      <c r="I19" t="s">
        <v>15</v>
      </c>
      <c r="J19">
        <v>0</v>
      </c>
      <c r="K19" t="s">
        <v>24</v>
      </c>
      <c r="L19" t="s">
        <v>17</v>
      </c>
    </row>
    <row r="20" spans="1:12" x14ac:dyDescent="0.25">
      <c r="A20">
        <v>19</v>
      </c>
      <c r="B20">
        <v>26</v>
      </c>
      <c r="C20" t="s">
        <v>26</v>
      </c>
      <c r="D20" s="1">
        <v>45313</v>
      </c>
      <c r="E20" s="1">
        <v>45322</v>
      </c>
      <c r="F20" t="s">
        <v>18</v>
      </c>
      <c r="G20" t="s">
        <v>19</v>
      </c>
      <c r="H20">
        <v>9</v>
      </c>
      <c r="I20" t="s">
        <v>15</v>
      </c>
      <c r="J20">
        <v>0</v>
      </c>
      <c r="K20" t="s">
        <v>24</v>
      </c>
      <c r="L20" t="s">
        <v>29</v>
      </c>
    </row>
    <row r="21" spans="1:12" x14ac:dyDescent="0.25">
      <c r="A21">
        <v>20</v>
      </c>
      <c r="B21">
        <v>89</v>
      </c>
      <c r="C21" t="s">
        <v>26</v>
      </c>
      <c r="D21" s="1">
        <v>45587</v>
      </c>
      <c r="E21" s="1">
        <v>45594</v>
      </c>
      <c r="F21" t="s">
        <v>27</v>
      </c>
      <c r="G21" t="s">
        <v>23</v>
      </c>
      <c r="H21">
        <v>7</v>
      </c>
      <c r="I21" t="s">
        <v>20</v>
      </c>
      <c r="J21">
        <v>1</v>
      </c>
      <c r="K21" t="s">
        <v>24</v>
      </c>
      <c r="L21" t="s">
        <v>29</v>
      </c>
    </row>
    <row r="22" spans="1:12" x14ac:dyDescent="0.25">
      <c r="A22">
        <v>21</v>
      </c>
      <c r="B22">
        <v>54</v>
      </c>
      <c r="C22" t="s">
        <v>12</v>
      </c>
      <c r="D22" s="1">
        <v>45378</v>
      </c>
      <c r="E22" s="1">
        <v>45389</v>
      </c>
      <c r="F22" t="s">
        <v>18</v>
      </c>
      <c r="G22" t="s">
        <v>19</v>
      </c>
      <c r="H22">
        <v>11</v>
      </c>
      <c r="I22" t="s">
        <v>15</v>
      </c>
      <c r="J22">
        <v>0</v>
      </c>
      <c r="K22" t="s">
        <v>16</v>
      </c>
      <c r="L22" t="s">
        <v>25</v>
      </c>
    </row>
    <row r="23" spans="1:12" x14ac:dyDescent="0.25">
      <c r="A23">
        <v>22</v>
      </c>
      <c r="B23">
        <v>39</v>
      </c>
      <c r="C23" t="s">
        <v>12</v>
      </c>
      <c r="D23" s="1">
        <v>45648</v>
      </c>
      <c r="E23" s="1">
        <v>45650</v>
      </c>
      <c r="F23" t="s">
        <v>28</v>
      </c>
      <c r="G23" t="s">
        <v>19</v>
      </c>
      <c r="H23">
        <v>2</v>
      </c>
      <c r="I23" t="s">
        <v>15</v>
      </c>
      <c r="J23">
        <v>1</v>
      </c>
      <c r="K23" t="s">
        <v>24</v>
      </c>
      <c r="L23" t="s">
        <v>22</v>
      </c>
    </row>
    <row r="24" spans="1:12" x14ac:dyDescent="0.25">
      <c r="A24">
        <v>23</v>
      </c>
      <c r="B24">
        <v>90</v>
      </c>
      <c r="C24" t="s">
        <v>12</v>
      </c>
      <c r="D24" s="1">
        <v>45295</v>
      </c>
      <c r="E24" s="1">
        <v>45297</v>
      </c>
      <c r="F24" t="s">
        <v>28</v>
      </c>
      <c r="G24" t="s">
        <v>23</v>
      </c>
      <c r="H24">
        <v>2</v>
      </c>
      <c r="I24" t="s">
        <v>20</v>
      </c>
      <c r="J24">
        <v>1</v>
      </c>
      <c r="K24" t="s">
        <v>16</v>
      </c>
      <c r="L24" t="s">
        <v>29</v>
      </c>
    </row>
    <row r="25" spans="1:12" x14ac:dyDescent="0.25">
      <c r="A25">
        <v>24</v>
      </c>
      <c r="B25">
        <v>63</v>
      </c>
      <c r="C25" t="s">
        <v>26</v>
      </c>
      <c r="D25" s="1">
        <v>45638</v>
      </c>
      <c r="E25" s="1">
        <v>45641</v>
      </c>
      <c r="F25" t="s">
        <v>28</v>
      </c>
      <c r="G25" t="s">
        <v>14</v>
      </c>
      <c r="H25">
        <v>3</v>
      </c>
      <c r="I25" t="s">
        <v>15</v>
      </c>
      <c r="J25">
        <v>3</v>
      </c>
      <c r="K25" t="s">
        <v>21</v>
      </c>
      <c r="L25" t="s">
        <v>30</v>
      </c>
    </row>
    <row r="26" spans="1:12" x14ac:dyDescent="0.25">
      <c r="A26">
        <v>25</v>
      </c>
      <c r="B26">
        <v>86</v>
      </c>
      <c r="C26" t="s">
        <v>12</v>
      </c>
      <c r="D26" s="1">
        <v>45511</v>
      </c>
      <c r="E26" s="1">
        <v>45516</v>
      </c>
      <c r="F26" t="s">
        <v>27</v>
      </c>
      <c r="G26" t="s">
        <v>19</v>
      </c>
      <c r="H26">
        <v>5</v>
      </c>
      <c r="I26" t="s">
        <v>15</v>
      </c>
      <c r="J26">
        <v>1</v>
      </c>
      <c r="K26" t="s">
        <v>21</v>
      </c>
      <c r="L26" t="s">
        <v>29</v>
      </c>
    </row>
    <row r="27" spans="1:12" x14ac:dyDescent="0.25">
      <c r="A27">
        <v>26</v>
      </c>
      <c r="B27">
        <v>64</v>
      </c>
      <c r="C27" t="s">
        <v>12</v>
      </c>
      <c r="D27" s="1">
        <v>45338</v>
      </c>
      <c r="E27" s="1">
        <v>45352</v>
      </c>
      <c r="F27" t="s">
        <v>28</v>
      </c>
      <c r="G27" t="s">
        <v>19</v>
      </c>
      <c r="H27">
        <v>14</v>
      </c>
      <c r="I27" t="s">
        <v>15</v>
      </c>
      <c r="J27">
        <v>2</v>
      </c>
      <c r="K27" t="s">
        <v>24</v>
      </c>
      <c r="L27" t="s">
        <v>29</v>
      </c>
    </row>
    <row r="28" spans="1:12" x14ac:dyDescent="0.25">
      <c r="A28">
        <v>27</v>
      </c>
      <c r="B28">
        <v>62</v>
      </c>
      <c r="C28" t="s">
        <v>12</v>
      </c>
      <c r="D28" s="1">
        <v>45433</v>
      </c>
      <c r="E28" s="1">
        <v>45447</v>
      </c>
      <c r="F28" t="s">
        <v>31</v>
      </c>
      <c r="G28" t="s">
        <v>19</v>
      </c>
      <c r="H28">
        <v>14</v>
      </c>
      <c r="I28" t="s">
        <v>15</v>
      </c>
      <c r="J28">
        <v>2</v>
      </c>
      <c r="K28" t="s">
        <v>21</v>
      </c>
      <c r="L28" t="s">
        <v>25</v>
      </c>
    </row>
    <row r="29" spans="1:12" x14ac:dyDescent="0.25">
      <c r="A29">
        <v>28</v>
      </c>
      <c r="B29">
        <v>28</v>
      </c>
      <c r="C29" t="s">
        <v>12</v>
      </c>
      <c r="D29" s="1">
        <v>45562</v>
      </c>
      <c r="E29" s="1">
        <v>45572</v>
      </c>
      <c r="F29" t="s">
        <v>13</v>
      </c>
      <c r="G29" t="s">
        <v>19</v>
      </c>
      <c r="H29">
        <v>10</v>
      </c>
      <c r="I29" t="s">
        <v>15</v>
      </c>
      <c r="J29">
        <v>2</v>
      </c>
      <c r="K29" t="s">
        <v>24</v>
      </c>
      <c r="L29" t="s">
        <v>17</v>
      </c>
    </row>
    <row r="30" spans="1:12" x14ac:dyDescent="0.25">
      <c r="A30">
        <v>29</v>
      </c>
      <c r="B30">
        <v>69</v>
      </c>
      <c r="C30" t="s">
        <v>26</v>
      </c>
      <c r="D30" s="1">
        <v>45611</v>
      </c>
      <c r="E30" s="1">
        <v>45618</v>
      </c>
      <c r="F30" t="s">
        <v>31</v>
      </c>
      <c r="G30" t="s">
        <v>19</v>
      </c>
      <c r="H30">
        <v>7</v>
      </c>
      <c r="I30" t="s">
        <v>15</v>
      </c>
      <c r="J30">
        <v>1</v>
      </c>
      <c r="K30" t="s">
        <v>21</v>
      </c>
      <c r="L30" t="s">
        <v>30</v>
      </c>
    </row>
    <row r="31" spans="1:12" x14ac:dyDescent="0.25">
      <c r="A31">
        <v>30</v>
      </c>
      <c r="B31">
        <v>88</v>
      </c>
      <c r="C31" t="s">
        <v>12</v>
      </c>
      <c r="D31" s="1">
        <v>45563</v>
      </c>
      <c r="E31" s="1">
        <v>45577</v>
      </c>
      <c r="F31" t="s">
        <v>27</v>
      </c>
      <c r="G31" t="s">
        <v>23</v>
      </c>
      <c r="H31">
        <v>14</v>
      </c>
      <c r="I31" t="s">
        <v>15</v>
      </c>
      <c r="J31">
        <v>0</v>
      </c>
      <c r="K31" t="s">
        <v>24</v>
      </c>
      <c r="L31" t="s">
        <v>25</v>
      </c>
    </row>
    <row r="32" spans="1:12" x14ac:dyDescent="0.25">
      <c r="A32">
        <v>31</v>
      </c>
      <c r="B32">
        <v>73</v>
      </c>
      <c r="C32" t="s">
        <v>12</v>
      </c>
      <c r="D32" s="1">
        <v>45610</v>
      </c>
      <c r="E32" s="1">
        <v>45613</v>
      </c>
      <c r="F32" t="s">
        <v>13</v>
      </c>
      <c r="G32" t="s">
        <v>23</v>
      </c>
      <c r="H32">
        <v>3</v>
      </c>
      <c r="I32" t="s">
        <v>15</v>
      </c>
      <c r="J32">
        <v>4</v>
      </c>
      <c r="K32" t="s">
        <v>21</v>
      </c>
      <c r="L32" t="s">
        <v>25</v>
      </c>
    </row>
    <row r="33" spans="1:12" x14ac:dyDescent="0.25">
      <c r="A33">
        <v>32</v>
      </c>
      <c r="B33">
        <v>26</v>
      </c>
      <c r="C33" t="s">
        <v>12</v>
      </c>
      <c r="D33" s="1">
        <v>45294</v>
      </c>
      <c r="E33" s="1">
        <v>45302</v>
      </c>
      <c r="F33" t="s">
        <v>13</v>
      </c>
      <c r="G33" t="s">
        <v>19</v>
      </c>
      <c r="H33">
        <v>8</v>
      </c>
      <c r="I33" t="s">
        <v>15</v>
      </c>
      <c r="J33">
        <v>4</v>
      </c>
      <c r="K33" t="s">
        <v>16</v>
      </c>
      <c r="L33" t="s">
        <v>30</v>
      </c>
    </row>
    <row r="34" spans="1:12" x14ac:dyDescent="0.25">
      <c r="A34">
        <v>33</v>
      </c>
      <c r="B34">
        <v>36</v>
      </c>
      <c r="C34" t="s">
        <v>26</v>
      </c>
      <c r="D34" s="1">
        <v>45601</v>
      </c>
      <c r="E34" s="1">
        <v>45615</v>
      </c>
      <c r="F34" t="s">
        <v>27</v>
      </c>
      <c r="G34" t="s">
        <v>19</v>
      </c>
      <c r="H34">
        <v>14</v>
      </c>
      <c r="I34" t="s">
        <v>20</v>
      </c>
      <c r="J34">
        <v>1</v>
      </c>
      <c r="K34" t="s">
        <v>24</v>
      </c>
      <c r="L34" t="s">
        <v>30</v>
      </c>
    </row>
    <row r="35" spans="1:12" x14ac:dyDescent="0.25">
      <c r="A35">
        <v>34</v>
      </c>
      <c r="B35">
        <v>32</v>
      </c>
      <c r="C35" t="s">
        <v>12</v>
      </c>
      <c r="D35" s="1">
        <v>45409</v>
      </c>
      <c r="E35" s="1">
        <v>45412</v>
      </c>
      <c r="F35" t="s">
        <v>13</v>
      </c>
      <c r="G35" t="s">
        <v>19</v>
      </c>
      <c r="H35">
        <v>3</v>
      </c>
      <c r="I35" t="s">
        <v>20</v>
      </c>
      <c r="J35">
        <v>1</v>
      </c>
      <c r="K35" t="s">
        <v>21</v>
      </c>
      <c r="L35" t="s">
        <v>17</v>
      </c>
    </row>
    <row r="36" spans="1:12" x14ac:dyDescent="0.25">
      <c r="A36">
        <v>35</v>
      </c>
      <c r="B36">
        <v>67</v>
      </c>
      <c r="C36" t="s">
        <v>12</v>
      </c>
      <c r="D36" s="1">
        <v>45294</v>
      </c>
      <c r="E36" s="1">
        <v>45301</v>
      </c>
      <c r="F36" t="s">
        <v>18</v>
      </c>
      <c r="G36" t="s">
        <v>23</v>
      </c>
      <c r="H36">
        <v>7</v>
      </c>
      <c r="I36" t="s">
        <v>20</v>
      </c>
      <c r="J36">
        <v>3</v>
      </c>
      <c r="K36" t="s">
        <v>24</v>
      </c>
      <c r="L36" t="s">
        <v>29</v>
      </c>
    </row>
    <row r="37" spans="1:12" x14ac:dyDescent="0.25">
      <c r="A37">
        <v>36</v>
      </c>
      <c r="B37">
        <v>41</v>
      </c>
      <c r="C37" t="s">
        <v>26</v>
      </c>
      <c r="D37" s="1">
        <v>45450</v>
      </c>
      <c r="E37" s="1">
        <v>45464</v>
      </c>
      <c r="F37" t="s">
        <v>27</v>
      </c>
      <c r="G37" t="s">
        <v>14</v>
      </c>
      <c r="H37">
        <v>14</v>
      </c>
      <c r="I37" t="s">
        <v>15</v>
      </c>
      <c r="J37">
        <v>4</v>
      </c>
      <c r="K37" t="s">
        <v>21</v>
      </c>
      <c r="L37" t="s">
        <v>30</v>
      </c>
    </row>
    <row r="38" spans="1:12" x14ac:dyDescent="0.25">
      <c r="A38">
        <v>37</v>
      </c>
      <c r="B38">
        <v>33</v>
      </c>
      <c r="C38" t="s">
        <v>26</v>
      </c>
      <c r="D38" s="1">
        <v>45302</v>
      </c>
      <c r="E38" s="1">
        <v>45303</v>
      </c>
      <c r="F38" t="s">
        <v>31</v>
      </c>
      <c r="G38" t="s">
        <v>19</v>
      </c>
      <c r="H38">
        <v>1</v>
      </c>
      <c r="I38" t="s">
        <v>15</v>
      </c>
      <c r="J38">
        <v>0</v>
      </c>
      <c r="K38" t="s">
        <v>16</v>
      </c>
      <c r="L38" t="s">
        <v>29</v>
      </c>
    </row>
    <row r="39" spans="1:12" x14ac:dyDescent="0.25">
      <c r="A39">
        <v>38</v>
      </c>
      <c r="B39">
        <v>55</v>
      </c>
      <c r="C39" t="s">
        <v>12</v>
      </c>
      <c r="D39" s="1">
        <v>45578</v>
      </c>
      <c r="E39" s="1">
        <v>45584</v>
      </c>
      <c r="F39" t="s">
        <v>18</v>
      </c>
      <c r="G39" t="s">
        <v>19</v>
      </c>
      <c r="H39">
        <v>6</v>
      </c>
      <c r="I39" t="s">
        <v>15</v>
      </c>
      <c r="J39">
        <v>0</v>
      </c>
      <c r="K39" t="s">
        <v>24</v>
      </c>
      <c r="L39" t="s">
        <v>30</v>
      </c>
    </row>
    <row r="40" spans="1:12" x14ac:dyDescent="0.25">
      <c r="A40">
        <v>39</v>
      </c>
      <c r="B40">
        <v>58</v>
      </c>
      <c r="C40" t="s">
        <v>26</v>
      </c>
      <c r="D40" s="1">
        <v>45304</v>
      </c>
      <c r="E40" s="1">
        <v>45314</v>
      </c>
      <c r="F40" t="s">
        <v>31</v>
      </c>
      <c r="G40" t="s">
        <v>14</v>
      </c>
      <c r="H40">
        <v>10</v>
      </c>
      <c r="I40" t="s">
        <v>15</v>
      </c>
      <c r="J40">
        <v>4</v>
      </c>
      <c r="K40" t="s">
        <v>21</v>
      </c>
      <c r="L40" t="s">
        <v>17</v>
      </c>
    </row>
    <row r="41" spans="1:12" x14ac:dyDescent="0.25">
      <c r="A41">
        <v>40</v>
      </c>
      <c r="B41">
        <v>45</v>
      </c>
      <c r="C41" t="s">
        <v>12</v>
      </c>
      <c r="D41" s="1">
        <v>45513</v>
      </c>
      <c r="E41" s="1">
        <v>45519</v>
      </c>
      <c r="F41" t="s">
        <v>18</v>
      </c>
      <c r="G41" t="s">
        <v>14</v>
      </c>
      <c r="H41">
        <v>6</v>
      </c>
      <c r="I41" t="s">
        <v>15</v>
      </c>
      <c r="J41">
        <v>3</v>
      </c>
      <c r="K41" t="s">
        <v>24</v>
      </c>
      <c r="L41" t="s">
        <v>30</v>
      </c>
    </row>
    <row r="42" spans="1:12" x14ac:dyDescent="0.25">
      <c r="A42">
        <v>41</v>
      </c>
      <c r="B42">
        <v>35</v>
      </c>
      <c r="C42" t="s">
        <v>12</v>
      </c>
      <c r="D42" s="1">
        <v>45359</v>
      </c>
      <c r="E42" s="1">
        <v>45366</v>
      </c>
      <c r="F42" t="s">
        <v>18</v>
      </c>
      <c r="G42" t="s">
        <v>23</v>
      </c>
      <c r="H42">
        <v>7</v>
      </c>
      <c r="I42" t="s">
        <v>15</v>
      </c>
      <c r="J42">
        <v>3</v>
      </c>
      <c r="K42" t="s">
        <v>16</v>
      </c>
      <c r="L42" t="s">
        <v>17</v>
      </c>
    </row>
    <row r="43" spans="1:12" x14ac:dyDescent="0.25">
      <c r="A43">
        <v>42</v>
      </c>
      <c r="B43">
        <v>22</v>
      </c>
      <c r="C43" t="s">
        <v>12</v>
      </c>
      <c r="D43" s="1">
        <v>45582</v>
      </c>
      <c r="E43" s="1">
        <v>45590</v>
      </c>
      <c r="F43" t="s">
        <v>28</v>
      </c>
      <c r="G43" t="s">
        <v>19</v>
      </c>
      <c r="H43">
        <v>8</v>
      </c>
      <c r="I43" t="s">
        <v>15</v>
      </c>
      <c r="J43">
        <v>0</v>
      </c>
      <c r="K43" t="s">
        <v>21</v>
      </c>
      <c r="L43" t="s">
        <v>17</v>
      </c>
    </row>
    <row r="44" spans="1:12" x14ac:dyDescent="0.25">
      <c r="A44">
        <v>43</v>
      </c>
      <c r="B44">
        <v>89</v>
      </c>
      <c r="C44" t="s">
        <v>26</v>
      </c>
      <c r="D44" s="1">
        <v>45603</v>
      </c>
      <c r="E44" s="1">
        <v>45608</v>
      </c>
      <c r="F44" t="s">
        <v>13</v>
      </c>
      <c r="G44" t="s">
        <v>19</v>
      </c>
      <c r="H44">
        <v>5</v>
      </c>
      <c r="I44" t="s">
        <v>15</v>
      </c>
      <c r="J44">
        <v>2</v>
      </c>
      <c r="K44" t="s">
        <v>24</v>
      </c>
      <c r="L44" t="s">
        <v>30</v>
      </c>
    </row>
    <row r="45" spans="1:12" x14ac:dyDescent="0.25">
      <c r="A45">
        <v>44</v>
      </c>
      <c r="B45">
        <v>28</v>
      </c>
      <c r="C45" t="s">
        <v>26</v>
      </c>
      <c r="D45" s="1">
        <v>45559</v>
      </c>
      <c r="E45" s="1">
        <v>45570</v>
      </c>
      <c r="F45" t="s">
        <v>28</v>
      </c>
      <c r="G45" t="s">
        <v>14</v>
      </c>
      <c r="H45">
        <v>11</v>
      </c>
      <c r="I45" t="s">
        <v>15</v>
      </c>
      <c r="J45">
        <v>3</v>
      </c>
      <c r="K45" t="s">
        <v>21</v>
      </c>
      <c r="L45" t="s">
        <v>29</v>
      </c>
    </row>
    <row r="46" spans="1:12" x14ac:dyDescent="0.25">
      <c r="A46">
        <v>45</v>
      </c>
      <c r="B46">
        <v>73</v>
      </c>
      <c r="C46" t="s">
        <v>12</v>
      </c>
      <c r="D46" s="1">
        <v>45598</v>
      </c>
      <c r="E46" s="1">
        <v>45604</v>
      </c>
      <c r="F46" t="s">
        <v>27</v>
      </c>
      <c r="G46" t="s">
        <v>14</v>
      </c>
      <c r="H46">
        <v>6</v>
      </c>
      <c r="I46" t="s">
        <v>15</v>
      </c>
      <c r="J46">
        <v>1</v>
      </c>
      <c r="K46" t="s">
        <v>21</v>
      </c>
      <c r="L46" t="s">
        <v>22</v>
      </c>
    </row>
    <row r="47" spans="1:12" x14ac:dyDescent="0.25">
      <c r="A47">
        <v>46</v>
      </c>
      <c r="B47">
        <v>82</v>
      </c>
      <c r="C47" t="s">
        <v>26</v>
      </c>
      <c r="D47" s="1">
        <v>45642</v>
      </c>
      <c r="E47" s="1">
        <v>45656</v>
      </c>
      <c r="F47" t="s">
        <v>27</v>
      </c>
      <c r="G47" t="s">
        <v>14</v>
      </c>
      <c r="H47">
        <v>14</v>
      </c>
      <c r="I47" t="s">
        <v>15</v>
      </c>
      <c r="J47">
        <v>4</v>
      </c>
      <c r="K47" t="s">
        <v>16</v>
      </c>
      <c r="L47" t="s">
        <v>29</v>
      </c>
    </row>
    <row r="48" spans="1:12" x14ac:dyDescent="0.25">
      <c r="A48">
        <v>47</v>
      </c>
      <c r="B48">
        <v>44</v>
      </c>
      <c r="C48" t="s">
        <v>12</v>
      </c>
      <c r="D48" s="1">
        <v>45555</v>
      </c>
      <c r="E48" s="1">
        <v>45558</v>
      </c>
      <c r="F48" t="s">
        <v>13</v>
      </c>
      <c r="G48" t="s">
        <v>14</v>
      </c>
      <c r="H48">
        <v>3</v>
      </c>
      <c r="I48" t="s">
        <v>15</v>
      </c>
      <c r="J48">
        <v>1</v>
      </c>
      <c r="K48" t="s">
        <v>21</v>
      </c>
      <c r="L48" t="s">
        <v>30</v>
      </c>
    </row>
    <row r="49" spans="1:12" x14ac:dyDescent="0.25">
      <c r="A49">
        <v>48</v>
      </c>
      <c r="B49">
        <v>76</v>
      </c>
      <c r="C49" t="s">
        <v>26</v>
      </c>
      <c r="D49" s="1">
        <v>45390</v>
      </c>
      <c r="E49" s="1">
        <v>45395</v>
      </c>
      <c r="F49" t="s">
        <v>13</v>
      </c>
      <c r="G49" t="s">
        <v>19</v>
      </c>
      <c r="H49">
        <v>5</v>
      </c>
      <c r="I49" t="s">
        <v>15</v>
      </c>
      <c r="J49">
        <v>4</v>
      </c>
      <c r="K49" t="s">
        <v>16</v>
      </c>
      <c r="L49" t="s">
        <v>30</v>
      </c>
    </row>
    <row r="50" spans="1:12" x14ac:dyDescent="0.25">
      <c r="A50">
        <v>49</v>
      </c>
      <c r="B50">
        <v>53</v>
      </c>
      <c r="C50" t="s">
        <v>12</v>
      </c>
      <c r="D50" s="1">
        <v>45506</v>
      </c>
      <c r="E50" s="1">
        <v>45519</v>
      </c>
      <c r="F50" t="s">
        <v>18</v>
      </c>
      <c r="G50" t="s">
        <v>14</v>
      </c>
      <c r="H50">
        <v>13</v>
      </c>
      <c r="I50" t="s">
        <v>15</v>
      </c>
      <c r="J50">
        <v>0</v>
      </c>
      <c r="K50" t="s">
        <v>16</v>
      </c>
      <c r="L50" t="s">
        <v>29</v>
      </c>
    </row>
    <row r="51" spans="1:12" x14ac:dyDescent="0.25">
      <c r="A51">
        <v>50</v>
      </c>
      <c r="B51">
        <v>81</v>
      </c>
      <c r="C51" t="s">
        <v>12</v>
      </c>
      <c r="D51" s="1">
        <v>45416</v>
      </c>
      <c r="E51" s="1">
        <v>45421</v>
      </c>
      <c r="F51" t="s">
        <v>27</v>
      </c>
      <c r="G51" t="s">
        <v>19</v>
      </c>
      <c r="H51">
        <v>5</v>
      </c>
      <c r="I51" t="s">
        <v>20</v>
      </c>
      <c r="J51">
        <v>2</v>
      </c>
      <c r="K51" t="s">
        <v>24</v>
      </c>
      <c r="L51" t="s">
        <v>22</v>
      </c>
    </row>
    <row r="52" spans="1:12" x14ac:dyDescent="0.25">
      <c r="A52">
        <v>51</v>
      </c>
      <c r="B52">
        <v>83</v>
      </c>
      <c r="C52" t="s">
        <v>26</v>
      </c>
      <c r="D52" s="1">
        <v>45292</v>
      </c>
      <c r="E52" s="1">
        <v>45306</v>
      </c>
      <c r="F52" t="s">
        <v>18</v>
      </c>
      <c r="G52" t="s">
        <v>19</v>
      </c>
      <c r="H52">
        <v>14</v>
      </c>
      <c r="I52" t="s">
        <v>15</v>
      </c>
      <c r="J52">
        <v>4</v>
      </c>
      <c r="K52" t="s">
        <v>21</v>
      </c>
      <c r="L52" t="s">
        <v>17</v>
      </c>
    </row>
    <row r="53" spans="1:12" x14ac:dyDescent="0.25">
      <c r="A53">
        <v>52</v>
      </c>
      <c r="B53">
        <v>38</v>
      </c>
      <c r="C53" t="s">
        <v>12</v>
      </c>
      <c r="D53" s="1">
        <v>45610</v>
      </c>
      <c r="E53" s="1">
        <v>45613</v>
      </c>
      <c r="F53" t="s">
        <v>18</v>
      </c>
      <c r="G53" t="s">
        <v>14</v>
      </c>
      <c r="H53">
        <v>3</v>
      </c>
      <c r="I53" t="s">
        <v>15</v>
      </c>
      <c r="J53">
        <v>2</v>
      </c>
      <c r="K53" t="s">
        <v>21</v>
      </c>
      <c r="L53" t="s">
        <v>30</v>
      </c>
    </row>
    <row r="54" spans="1:12" x14ac:dyDescent="0.25">
      <c r="A54">
        <v>53</v>
      </c>
      <c r="B54">
        <v>30</v>
      </c>
      <c r="C54" t="s">
        <v>26</v>
      </c>
      <c r="D54" s="1">
        <v>45584</v>
      </c>
      <c r="E54" s="1">
        <v>45598</v>
      </c>
      <c r="F54" t="s">
        <v>18</v>
      </c>
      <c r="G54" t="s">
        <v>14</v>
      </c>
      <c r="H54">
        <v>14</v>
      </c>
      <c r="I54" t="s">
        <v>15</v>
      </c>
      <c r="J54">
        <v>0</v>
      </c>
      <c r="K54" t="s">
        <v>21</v>
      </c>
      <c r="L54" t="s">
        <v>29</v>
      </c>
    </row>
    <row r="55" spans="1:12" x14ac:dyDescent="0.25">
      <c r="A55">
        <v>54</v>
      </c>
      <c r="B55">
        <v>42</v>
      </c>
      <c r="C55" t="s">
        <v>12</v>
      </c>
      <c r="D55" s="1">
        <v>45406</v>
      </c>
      <c r="E55" s="1">
        <v>45408</v>
      </c>
      <c r="F55" t="s">
        <v>31</v>
      </c>
      <c r="G55" t="s">
        <v>23</v>
      </c>
      <c r="H55">
        <v>2</v>
      </c>
      <c r="I55" t="s">
        <v>15</v>
      </c>
      <c r="J55">
        <v>3</v>
      </c>
      <c r="K55" t="s">
        <v>21</v>
      </c>
      <c r="L55" t="s">
        <v>25</v>
      </c>
    </row>
    <row r="56" spans="1:12" x14ac:dyDescent="0.25">
      <c r="A56">
        <v>55</v>
      </c>
      <c r="B56">
        <v>44</v>
      </c>
      <c r="C56" t="s">
        <v>26</v>
      </c>
      <c r="D56" s="1">
        <v>45568</v>
      </c>
      <c r="E56" s="1">
        <v>45570</v>
      </c>
      <c r="F56" t="s">
        <v>28</v>
      </c>
      <c r="G56" t="s">
        <v>19</v>
      </c>
      <c r="H56">
        <v>2</v>
      </c>
      <c r="I56" t="s">
        <v>20</v>
      </c>
      <c r="J56">
        <v>1</v>
      </c>
      <c r="K56" t="s">
        <v>21</v>
      </c>
      <c r="L56" t="s">
        <v>29</v>
      </c>
    </row>
    <row r="57" spans="1:12" x14ac:dyDescent="0.25">
      <c r="A57">
        <v>56</v>
      </c>
      <c r="B57">
        <v>47</v>
      </c>
      <c r="C57" t="s">
        <v>12</v>
      </c>
      <c r="D57" s="1">
        <v>45645</v>
      </c>
      <c r="E57" s="1">
        <v>45648</v>
      </c>
      <c r="F57" t="s">
        <v>27</v>
      </c>
      <c r="G57" t="s">
        <v>19</v>
      </c>
      <c r="H57">
        <v>3</v>
      </c>
      <c r="I57" t="s">
        <v>15</v>
      </c>
      <c r="J57">
        <v>3</v>
      </c>
      <c r="K57" t="s">
        <v>24</v>
      </c>
      <c r="L57" t="s">
        <v>25</v>
      </c>
    </row>
    <row r="58" spans="1:12" x14ac:dyDescent="0.25">
      <c r="A58">
        <v>57</v>
      </c>
      <c r="B58">
        <v>43</v>
      </c>
      <c r="C58" t="s">
        <v>26</v>
      </c>
      <c r="D58" s="1">
        <v>45516</v>
      </c>
      <c r="E58" s="1">
        <v>45519</v>
      </c>
      <c r="F58" t="s">
        <v>27</v>
      </c>
      <c r="G58" t="s">
        <v>14</v>
      </c>
      <c r="H58">
        <v>3</v>
      </c>
      <c r="I58" t="s">
        <v>15</v>
      </c>
      <c r="J58">
        <v>0</v>
      </c>
      <c r="K58" t="s">
        <v>16</v>
      </c>
      <c r="L58" t="s">
        <v>25</v>
      </c>
    </row>
    <row r="59" spans="1:12" x14ac:dyDescent="0.25">
      <c r="A59">
        <v>58</v>
      </c>
      <c r="B59">
        <v>48</v>
      </c>
      <c r="C59" t="s">
        <v>26</v>
      </c>
      <c r="D59" s="1">
        <v>45585</v>
      </c>
      <c r="E59" s="1">
        <v>45598</v>
      </c>
      <c r="F59" t="s">
        <v>13</v>
      </c>
      <c r="G59" t="s">
        <v>14</v>
      </c>
      <c r="H59">
        <v>13</v>
      </c>
      <c r="I59" t="s">
        <v>20</v>
      </c>
      <c r="J59">
        <v>1</v>
      </c>
      <c r="K59" t="s">
        <v>16</v>
      </c>
      <c r="L59" t="s">
        <v>25</v>
      </c>
    </row>
    <row r="60" spans="1:12" x14ac:dyDescent="0.25">
      <c r="A60">
        <v>59</v>
      </c>
      <c r="B60">
        <v>20</v>
      </c>
      <c r="C60" t="s">
        <v>12</v>
      </c>
      <c r="D60" s="1">
        <v>45554</v>
      </c>
      <c r="E60" s="1">
        <v>45569</v>
      </c>
      <c r="F60" t="s">
        <v>31</v>
      </c>
      <c r="G60" t="s">
        <v>14</v>
      </c>
      <c r="H60">
        <v>15</v>
      </c>
      <c r="I60" t="s">
        <v>20</v>
      </c>
      <c r="J60">
        <v>3</v>
      </c>
      <c r="K60" t="s">
        <v>24</v>
      </c>
      <c r="L60" t="s">
        <v>30</v>
      </c>
    </row>
    <row r="61" spans="1:12" x14ac:dyDescent="0.25">
      <c r="A61">
        <v>60</v>
      </c>
      <c r="B61">
        <v>71</v>
      </c>
      <c r="C61" t="s">
        <v>26</v>
      </c>
      <c r="D61" s="1">
        <v>45596</v>
      </c>
      <c r="E61" s="1">
        <v>45601</v>
      </c>
      <c r="F61" t="s">
        <v>28</v>
      </c>
      <c r="G61" t="s">
        <v>19</v>
      </c>
      <c r="H61">
        <v>5</v>
      </c>
      <c r="I61" t="s">
        <v>20</v>
      </c>
      <c r="J61">
        <v>2</v>
      </c>
      <c r="K61" t="s">
        <v>21</v>
      </c>
      <c r="L61" t="s">
        <v>29</v>
      </c>
    </row>
    <row r="62" spans="1:12" x14ac:dyDescent="0.25">
      <c r="A62">
        <v>61</v>
      </c>
      <c r="B62">
        <v>66</v>
      </c>
      <c r="C62" t="s">
        <v>12</v>
      </c>
      <c r="D62" s="1">
        <v>45615</v>
      </c>
      <c r="E62" s="1">
        <v>45626</v>
      </c>
      <c r="F62" t="s">
        <v>27</v>
      </c>
      <c r="G62" t="s">
        <v>23</v>
      </c>
      <c r="H62">
        <v>11</v>
      </c>
      <c r="I62" t="s">
        <v>15</v>
      </c>
      <c r="J62">
        <v>3</v>
      </c>
      <c r="K62" t="s">
        <v>24</v>
      </c>
      <c r="L62" t="s">
        <v>29</v>
      </c>
    </row>
    <row r="63" spans="1:12" x14ac:dyDescent="0.25">
      <c r="A63">
        <v>62</v>
      </c>
      <c r="B63">
        <v>73</v>
      </c>
      <c r="C63" t="s">
        <v>26</v>
      </c>
      <c r="D63" s="1">
        <v>45579</v>
      </c>
      <c r="E63" s="1">
        <v>45586</v>
      </c>
      <c r="F63" t="s">
        <v>28</v>
      </c>
      <c r="G63" t="s">
        <v>19</v>
      </c>
      <c r="H63">
        <v>7</v>
      </c>
      <c r="I63" t="s">
        <v>20</v>
      </c>
      <c r="J63">
        <v>3</v>
      </c>
      <c r="K63" t="s">
        <v>16</v>
      </c>
      <c r="L63" t="s">
        <v>17</v>
      </c>
    </row>
    <row r="64" spans="1:12" x14ac:dyDescent="0.25">
      <c r="A64">
        <v>63</v>
      </c>
      <c r="B64">
        <v>53</v>
      </c>
      <c r="C64" t="s">
        <v>12</v>
      </c>
      <c r="D64" s="1">
        <v>45443</v>
      </c>
      <c r="E64" s="1">
        <v>45444</v>
      </c>
      <c r="F64" t="s">
        <v>28</v>
      </c>
      <c r="G64" t="s">
        <v>19</v>
      </c>
      <c r="H64">
        <v>1</v>
      </c>
      <c r="I64" t="s">
        <v>15</v>
      </c>
      <c r="J64">
        <v>0</v>
      </c>
      <c r="K64" t="s">
        <v>21</v>
      </c>
      <c r="L64" t="s">
        <v>17</v>
      </c>
    </row>
    <row r="65" spans="1:12" x14ac:dyDescent="0.25">
      <c r="A65">
        <v>64</v>
      </c>
      <c r="B65">
        <v>57</v>
      </c>
      <c r="C65" t="s">
        <v>12</v>
      </c>
      <c r="D65" s="1">
        <v>45457</v>
      </c>
      <c r="E65" s="1">
        <v>45465</v>
      </c>
      <c r="F65" t="s">
        <v>27</v>
      </c>
      <c r="G65" t="s">
        <v>19</v>
      </c>
      <c r="H65">
        <v>8</v>
      </c>
      <c r="I65" t="s">
        <v>20</v>
      </c>
      <c r="J65">
        <v>2</v>
      </c>
      <c r="K65" t="s">
        <v>16</v>
      </c>
      <c r="L65" t="s">
        <v>22</v>
      </c>
    </row>
    <row r="66" spans="1:12" x14ac:dyDescent="0.25">
      <c r="A66">
        <v>65</v>
      </c>
      <c r="B66">
        <v>28</v>
      </c>
      <c r="C66" t="s">
        <v>12</v>
      </c>
      <c r="D66" s="1">
        <v>45475</v>
      </c>
      <c r="E66" s="1">
        <v>45480</v>
      </c>
      <c r="F66" t="s">
        <v>31</v>
      </c>
      <c r="G66" t="s">
        <v>14</v>
      </c>
      <c r="H66">
        <v>5</v>
      </c>
      <c r="I66" t="s">
        <v>20</v>
      </c>
      <c r="J66">
        <v>4</v>
      </c>
      <c r="K66" t="s">
        <v>24</v>
      </c>
      <c r="L66" t="s">
        <v>30</v>
      </c>
    </row>
    <row r="67" spans="1:12" x14ac:dyDescent="0.25">
      <c r="A67">
        <v>66</v>
      </c>
      <c r="B67">
        <v>45</v>
      </c>
      <c r="C67" t="s">
        <v>12</v>
      </c>
      <c r="D67" s="1">
        <v>45394</v>
      </c>
      <c r="E67" s="1">
        <v>45407</v>
      </c>
      <c r="F67" t="s">
        <v>27</v>
      </c>
      <c r="G67" t="s">
        <v>19</v>
      </c>
      <c r="H67">
        <v>13</v>
      </c>
      <c r="I67" t="s">
        <v>15</v>
      </c>
      <c r="J67">
        <v>2</v>
      </c>
      <c r="K67" t="s">
        <v>21</v>
      </c>
      <c r="L67" t="s">
        <v>29</v>
      </c>
    </row>
    <row r="68" spans="1:12" x14ac:dyDescent="0.25">
      <c r="A68">
        <v>67</v>
      </c>
      <c r="B68">
        <v>82</v>
      </c>
      <c r="C68" t="s">
        <v>12</v>
      </c>
      <c r="D68" s="1">
        <v>45407</v>
      </c>
      <c r="E68" s="1">
        <v>45421</v>
      </c>
      <c r="F68" t="s">
        <v>31</v>
      </c>
      <c r="G68" t="s">
        <v>14</v>
      </c>
      <c r="H68">
        <v>14</v>
      </c>
      <c r="I68" t="s">
        <v>20</v>
      </c>
      <c r="J68">
        <v>1</v>
      </c>
      <c r="K68" t="s">
        <v>16</v>
      </c>
      <c r="L68" t="s">
        <v>30</v>
      </c>
    </row>
    <row r="69" spans="1:12" x14ac:dyDescent="0.25">
      <c r="A69">
        <v>68</v>
      </c>
      <c r="B69">
        <v>48</v>
      </c>
      <c r="C69" t="s">
        <v>12</v>
      </c>
      <c r="D69" s="1">
        <v>45460</v>
      </c>
      <c r="E69" s="1">
        <v>45463</v>
      </c>
      <c r="F69" t="s">
        <v>18</v>
      </c>
      <c r="G69" t="s">
        <v>19</v>
      </c>
      <c r="H69">
        <v>3</v>
      </c>
      <c r="I69" t="s">
        <v>15</v>
      </c>
      <c r="J69">
        <v>4</v>
      </c>
      <c r="K69" t="s">
        <v>24</v>
      </c>
      <c r="L69" t="s">
        <v>22</v>
      </c>
    </row>
    <row r="70" spans="1:12" x14ac:dyDescent="0.25">
      <c r="A70">
        <v>69</v>
      </c>
      <c r="B70">
        <v>47</v>
      </c>
      <c r="C70" t="s">
        <v>26</v>
      </c>
      <c r="D70" s="1">
        <v>45526</v>
      </c>
      <c r="E70" s="1">
        <v>45533</v>
      </c>
      <c r="F70" t="s">
        <v>18</v>
      </c>
      <c r="G70" t="s">
        <v>19</v>
      </c>
      <c r="H70">
        <v>7</v>
      </c>
      <c r="I70" t="s">
        <v>15</v>
      </c>
      <c r="J70">
        <v>3</v>
      </c>
      <c r="K70" t="s">
        <v>21</v>
      </c>
      <c r="L70" t="s">
        <v>29</v>
      </c>
    </row>
    <row r="71" spans="1:12" x14ac:dyDescent="0.25">
      <c r="A71">
        <v>70</v>
      </c>
      <c r="B71">
        <v>57</v>
      </c>
      <c r="C71" t="s">
        <v>12</v>
      </c>
      <c r="D71" s="1">
        <v>45576</v>
      </c>
      <c r="E71" s="1">
        <v>45585</v>
      </c>
      <c r="F71" t="s">
        <v>31</v>
      </c>
      <c r="G71" t="s">
        <v>19</v>
      </c>
      <c r="H71">
        <v>9</v>
      </c>
      <c r="I71" t="s">
        <v>15</v>
      </c>
      <c r="J71">
        <v>4</v>
      </c>
      <c r="K71" t="s">
        <v>24</v>
      </c>
      <c r="L71" t="s">
        <v>17</v>
      </c>
    </row>
    <row r="72" spans="1:12" x14ac:dyDescent="0.25">
      <c r="A72">
        <v>71</v>
      </c>
      <c r="B72">
        <v>66</v>
      </c>
      <c r="C72" t="s">
        <v>26</v>
      </c>
      <c r="D72" s="1">
        <v>45360</v>
      </c>
      <c r="E72" s="1">
        <v>45374</v>
      </c>
      <c r="F72" t="s">
        <v>18</v>
      </c>
      <c r="G72" t="s">
        <v>23</v>
      </c>
      <c r="H72">
        <v>14</v>
      </c>
      <c r="I72" t="s">
        <v>20</v>
      </c>
      <c r="J72">
        <v>0</v>
      </c>
      <c r="K72" t="s">
        <v>24</v>
      </c>
      <c r="L72" t="s">
        <v>25</v>
      </c>
    </row>
    <row r="73" spans="1:12" x14ac:dyDescent="0.25">
      <c r="A73">
        <v>72</v>
      </c>
      <c r="B73">
        <v>38</v>
      </c>
      <c r="C73" t="s">
        <v>26</v>
      </c>
      <c r="D73" s="1">
        <v>45395</v>
      </c>
      <c r="E73" s="1">
        <v>45399</v>
      </c>
      <c r="F73" t="s">
        <v>18</v>
      </c>
      <c r="G73" t="s">
        <v>14</v>
      </c>
      <c r="H73">
        <v>4</v>
      </c>
      <c r="I73" t="s">
        <v>15</v>
      </c>
      <c r="J73">
        <v>3</v>
      </c>
      <c r="K73" t="s">
        <v>16</v>
      </c>
      <c r="L73" t="s">
        <v>22</v>
      </c>
    </row>
    <row r="74" spans="1:12" x14ac:dyDescent="0.25">
      <c r="A74">
        <v>73</v>
      </c>
      <c r="B74">
        <v>74</v>
      </c>
      <c r="C74" t="s">
        <v>26</v>
      </c>
      <c r="D74" s="1">
        <v>45643</v>
      </c>
      <c r="E74" s="1">
        <v>45646</v>
      </c>
      <c r="F74" t="s">
        <v>27</v>
      </c>
      <c r="G74" t="s">
        <v>19</v>
      </c>
      <c r="H74">
        <v>3</v>
      </c>
      <c r="I74" t="s">
        <v>15</v>
      </c>
      <c r="J74">
        <v>4</v>
      </c>
      <c r="K74" t="s">
        <v>21</v>
      </c>
      <c r="L74" t="s">
        <v>25</v>
      </c>
    </row>
    <row r="75" spans="1:12" x14ac:dyDescent="0.25">
      <c r="A75">
        <v>74</v>
      </c>
      <c r="B75">
        <v>49</v>
      </c>
      <c r="C75" t="s">
        <v>26</v>
      </c>
      <c r="D75" s="1">
        <v>45534</v>
      </c>
      <c r="E75" s="1">
        <v>45544</v>
      </c>
      <c r="F75" t="s">
        <v>27</v>
      </c>
      <c r="G75" t="s">
        <v>14</v>
      </c>
      <c r="H75">
        <v>10</v>
      </c>
      <c r="I75" t="s">
        <v>15</v>
      </c>
      <c r="J75">
        <v>2</v>
      </c>
      <c r="K75" t="s">
        <v>24</v>
      </c>
      <c r="L75" t="s">
        <v>17</v>
      </c>
    </row>
    <row r="76" spans="1:12" x14ac:dyDescent="0.25">
      <c r="A76">
        <v>75</v>
      </c>
      <c r="B76">
        <v>21</v>
      </c>
      <c r="C76" t="s">
        <v>12</v>
      </c>
      <c r="D76" s="1">
        <v>45463</v>
      </c>
      <c r="E76" s="1">
        <v>45478</v>
      </c>
      <c r="F76" t="s">
        <v>27</v>
      </c>
      <c r="G76" t="s">
        <v>23</v>
      </c>
      <c r="H76">
        <v>15</v>
      </c>
      <c r="I76" t="s">
        <v>20</v>
      </c>
      <c r="J76">
        <v>2</v>
      </c>
      <c r="K76" t="s">
        <v>21</v>
      </c>
      <c r="L76" t="s">
        <v>17</v>
      </c>
    </row>
    <row r="77" spans="1:12" x14ac:dyDescent="0.25">
      <c r="A77">
        <v>76</v>
      </c>
      <c r="B77">
        <v>28</v>
      </c>
      <c r="C77" t="s">
        <v>26</v>
      </c>
      <c r="D77" s="1">
        <v>45307</v>
      </c>
      <c r="E77" s="1">
        <v>45320</v>
      </c>
      <c r="F77" t="s">
        <v>13</v>
      </c>
      <c r="G77" t="s">
        <v>19</v>
      </c>
      <c r="H77">
        <v>13</v>
      </c>
      <c r="I77" t="s">
        <v>20</v>
      </c>
      <c r="J77">
        <v>3</v>
      </c>
      <c r="K77" t="s">
        <v>21</v>
      </c>
      <c r="L77" t="s">
        <v>25</v>
      </c>
    </row>
    <row r="78" spans="1:12" x14ac:dyDescent="0.25">
      <c r="A78">
        <v>77</v>
      </c>
      <c r="B78">
        <v>43</v>
      </c>
      <c r="C78" t="s">
        <v>26</v>
      </c>
      <c r="D78" s="1">
        <v>45612</v>
      </c>
      <c r="E78" s="1">
        <v>45615</v>
      </c>
      <c r="F78" t="s">
        <v>31</v>
      </c>
      <c r="G78" t="s">
        <v>14</v>
      </c>
      <c r="H78">
        <v>3</v>
      </c>
      <c r="I78" t="s">
        <v>15</v>
      </c>
      <c r="J78">
        <v>1</v>
      </c>
      <c r="K78" t="s">
        <v>21</v>
      </c>
      <c r="L78" t="s">
        <v>29</v>
      </c>
    </row>
    <row r="79" spans="1:12" x14ac:dyDescent="0.25">
      <c r="A79">
        <v>78</v>
      </c>
      <c r="B79">
        <v>69</v>
      </c>
      <c r="C79" t="s">
        <v>26</v>
      </c>
      <c r="D79" s="1">
        <v>45333</v>
      </c>
      <c r="E79" s="1">
        <v>45343</v>
      </c>
      <c r="F79" t="s">
        <v>18</v>
      </c>
      <c r="G79" t="s">
        <v>19</v>
      </c>
      <c r="H79">
        <v>10</v>
      </c>
      <c r="I79" t="s">
        <v>15</v>
      </c>
      <c r="J79">
        <v>1</v>
      </c>
      <c r="K79" t="s">
        <v>21</v>
      </c>
      <c r="L79" t="s">
        <v>25</v>
      </c>
    </row>
    <row r="80" spans="1:12" x14ac:dyDescent="0.25">
      <c r="A80">
        <v>79</v>
      </c>
      <c r="B80">
        <v>61</v>
      </c>
      <c r="C80" t="s">
        <v>26</v>
      </c>
      <c r="D80" s="1">
        <v>45338</v>
      </c>
      <c r="E80" s="1">
        <v>45343</v>
      </c>
      <c r="F80" t="s">
        <v>31</v>
      </c>
      <c r="G80" t="s">
        <v>23</v>
      </c>
      <c r="H80">
        <v>5</v>
      </c>
      <c r="I80" t="s">
        <v>20</v>
      </c>
      <c r="J80">
        <v>4</v>
      </c>
      <c r="K80" t="s">
        <v>24</v>
      </c>
      <c r="L80" t="s">
        <v>25</v>
      </c>
    </row>
    <row r="81" spans="1:12" x14ac:dyDescent="0.25">
      <c r="A81">
        <v>80</v>
      </c>
      <c r="B81">
        <v>39</v>
      </c>
      <c r="C81" t="s">
        <v>12</v>
      </c>
      <c r="D81" s="1">
        <v>45553</v>
      </c>
      <c r="E81" s="1">
        <v>45566</v>
      </c>
      <c r="F81" t="s">
        <v>27</v>
      </c>
      <c r="G81" t="s">
        <v>23</v>
      </c>
      <c r="H81">
        <v>13</v>
      </c>
      <c r="I81" t="s">
        <v>20</v>
      </c>
      <c r="J81">
        <v>1</v>
      </c>
      <c r="K81" t="s">
        <v>16</v>
      </c>
      <c r="L81" t="s">
        <v>29</v>
      </c>
    </row>
    <row r="82" spans="1:12" x14ac:dyDescent="0.25">
      <c r="A82">
        <v>81</v>
      </c>
      <c r="B82">
        <v>56</v>
      </c>
      <c r="C82" t="s">
        <v>12</v>
      </c>
      <c r="D82" s="1">
        <v>45300</v>
      </c>
      <c r="E82" s="1">
        <v>45313</v>
      </c>
      <c r="F82" t="s">
        <v>31</v>
      </c>
      <c r="G82" t="s">
        <v>19</v>
      </c>
      <c r="H82">
        <v>13</v>
      </c>
      <c r="I82" t="s">
        <v>15</v>
      </c>
      <c r="J82">
        <v>4</v>
      </c>
      <c r="K82" t="s">
        <v>21</v>
      </c>
      <c r="L82" t="s">
        <v>29</v>
      </c>
    </row>
    <row r="83" spans="1:12" x14ac:dyDescent="0.25">
      <c r="A83">
        <v>82</v>
      </c>
      <c r="B83">
        <v>39</v>
      </c>
      <c r="C83" t="s">
        <v>12</v>
      </c>
      <c r="D83" s="1">
        <v>45499</v>
      </c>
      <c r="E83" s="1">
        <v>45513</v>
      </c>
      <c r="F83" t="s">
        <v>18</v>
      </c>
      <c r="G83" t="s">
        <v>14</v>
      </c>
      <c r="H83">
        <v>14</v>
      </c>
      <c r="I83" t="s">
        <v>15</v>
      </c>
      <c r="J83">
        <v>0</v>
      </c>
      <c r="K83" t="s">
        <v>24</v>
      </c>
      <c r="L83" t="s">
        <v>29</v>
      </c>
    </row>
    <row r="84" spans="1:12" x14ac:dyDescent="0.25">
      <c r="A84">
        <v>83</v>
      </c>
      <c r="B84">
        <v>45</v>
      </c>
      <c r="C84" t="s">
        <v>12</v>
      </c>
      <c r="D84" s="1">
        <v>45408</v>
      </c>
      <c r="E84" s="1">
        <v>45414</v>
      </c>
      <c r="F84" t="s">
        <v>13</v>
      </c>
      <c r="G84" t="s">
        <v>14</v>
      </c>
      <c r="H84">
        <v>6</v>
      </c>
      <c r="I84" t="s">
        <v>15</v>
      </c>
      <c r="J84">
        <v>4</v>
      </c>
      <c r="K84" t="s">
        <v>21</v>
      </c>
      <c r="L84" t="s">
        <v>17</v>
      </c>
    </row>
    <row r="85" spans="1:12" x14ac:dyDescent="0.25">
      <c r="A85">
        <v>84</v>
      </c>
      <c r="B85">
        <v>22</v>
      </c>
      <c r="C85" t="s">
        <v>26</v>
      </c>
      <c r="D85" s="1">
        <v>45649</v>
      </c>
      <c r="E85" s="1">
        <v>45662</v>
      </c>
      <c r="F85" t="s">
        <v>28</v>
      </c>
      <c r="G85" t="s">
        <v>14</v>
      </c>
      <c r="H85">
        <v>13</v>
      </c>
      <c r="I85" t="s">
        <v>15</v>
      </c>
      <c r="J85">
        <v>2</v>
      </c>
      <c r="K85" t="s">
        <v>24</v>
      </c>
      <c r="L85" t="s">
        <v>30</v>
      </c>
    </row>
    <row r="86" spans="1:12" x14ac:dyDescent="0.25">
      <c r="A86">
        <v>85</v>
      </c>
      <c r="B86">
        <v>86</v>
      </c>
      <c r="C86" t="s">
        <v>26</v>
      </c>
      <c r="D86" s="1">
        <v>45576</v>
      </c>
      <c r="E86" s="1">
        <v>45579</v>
      </c>
      <c r="F86" t="s">
        <v>27</v>
      </c>
      <c r="G86" t="s">
        <v>14</v>
      </c>
      <c r="H86">
        <v>3</v>
      </c>
      <c r="I86" t="s">
        <v>15</v>
      </c>
      <c r="J86">
        <v>2</v>
      </c>
      <c r="K86" t="s">
        <v>16</v>
      </c>
      <c r="L86" t="s">
        <v>29</v>
      </c>
    </row>
    <row r="87" spans="1:12" x14ac:dyDescent="0.25">
      <c r="A87">
        <v>86</v>
      </c>
      <c r="B87">
        <v>25</v>
      </c>
      <c r="C87" t="s">
        <v>26</v>
      </c>
      <c r="D87" s="1">
        <v>45531</v>
      </c>
      <c r="E87" s="1">
        <v>45537</v>
      </c>
      <c r="F87" t="s">
        <v>27</v>
      </c>
      <c r="G87" t="s">
        <v>14</v>
      </c>
      <c r="H87">
        <v>6</v>
      </c>
      <c r="I87" t="s">
        <v>20</v>
      </c>
      <c r="J87">
        <v>3</v>
      </c>
      <c r="K87" t="s">
        <v>24</v>
      </c>
      <c r="L87" t="s">
        <v>30</v>
      </c>
    </row>
    <row r="88" spans="1:12" x14ac:dyDescent="0.25">
      <c r="A88">
        <v>87</v>
      </c>
      <c r="B88">
        <v>58</v>
      </c>
      <c r="C88" t="s">
        <v>12</v>
      </c>
      <c r="D88" s="1">
        <v>45563</v>
      </c>
      <c r="E88" s="1">
        <v>45576</v>
      </c>
      <c r="F88" t="s">
        <v>31</v>
      </c>
      <c r="G88" t="s">
        <v>19</v>
      </c>
      <c r="H88">
        <v>13</v>
      </c>
      <c r="I88" t="s">
        <v>20</v>
      </c>
      <c r="J88">
        <v>0</v>
      </c>
      <c r="K88" t="s">
        <v>16</v>
      </c>
      <c r="L88" t="s">
        <v>22</v>
      </c>
    </row>
    <row r="89" spans="1:12" x14ac:dyDescent="0.25">
      <c r="A89">
        <v>88</v>
      </c>
      <c r="B89">
        <v>83</v>
      </c>
      <c r="C89" t="s">
        <v>12</v>
      </c>
      <c r="D89" s="1">
        <v>45591</v>
      </c>
      <c r="E89" s="1">
        <v>45593</v>
      </c>
      <c r="F89" t="s">
        <v>27</v>
      </c>
      <c r="G89" t="s">
        <v>14</v>
      </c>
      <c r="H89">
        <v>2</v>
      </c>
      <c r="I89" t="s">
        <v>15</v>
      </c>
      <c r="J89">
        <v>2</v>
      </c>
      <c r="K89" t="s">
        <v>16</v>
      </c>
      <c r="L89" t="s">
        <v>29</v>
      </c>
    </row>
    <row r="90" spans="1:12" x14ac:dyDescent="0.25">
      <c r="A90">
        <v>89</v>
      </c>
      <c r="B90">
        <v>43</v>
      </c>
      <c r="C90" t="s">
        <v>12</v>
      </c>
      <c r="D90" s="1">
        <v>45583</v>
      </c>
      <c r="E90" s="1">
        <v>45590</v>
      </c>
      <c r="F90" t="s">
        <v>27</v>
      </c>
      <c r="G90" t="s">
        <v>19</v>
      </c>
      <c r="H90">
        <v>7</v>
      </c>
      <c r="I90" t="s">
        <v>20</v>
      </c>
      <c r="J90">
        <v>2</v>
      </c>
      <c r="K90" t="s">
        <v>21</v>
      </c>
      <c r="L90" t="s">
        <v>29</v>
      </c>
    </row>
    <row r="91" spans="1:12" x14ac:dyDescent="0.25">
      <c r="A91">
        <v>90</v>
      </c>
      <c r="B91">
        <v>76</v>
      </c>
      <c r="C91" t="s">
        <v>26</v>
      </c>
      <c r="D91" s="1">
        <v>45546</v>
      </c>
      <c r="E91" s="1">
        <v>45556</v>
      </c>
      <c r="F91" t="s">
        <v>13</v>
      </c>
      <c r="G91" t="s">
        <v>19</v>
      </c>
      <c r="H91">
        <v>10</v>
      </c>
      <c r="I91" t="s">
        <v>20</v>
      </c>
      <c r="J91">
        <v>4</v>
      </c>
      <c r="K91" t="s">
        <v>16</v>
      </c>
      <c r="L91" t="s">
        <v>30</v>
      </c>
    </row>
    <row r="92" spans="1:12" x14ac:dyDescent="0.25">
      <c r="A92">
        <v>91</v>
      </c>
      <c r="B92">
        <v>21</v>
      </c>
      <c r="C92" t="s">
        <v>26</v>
      </c>
      <c r="D92" s="1">
        <v>45493</v>
      </c>
      <c r="E92" s="1">
        <v>45503</v>
      </c>
      <c r="F92" t="s">
        <v>18</v>
      </c>
      <c r="G92" t="s">
        <v>19</v>
      </c>
      <c r="H92">
        <v>10</v>
      </c>
      <c r="I92" t="s">
        <v>15</v>
      </c>
      <c r="J92">
        <v>4</v>
      </c>
      <c r="K92" t="s">
        <v>24</v>
      </c>
      <c r="L92" t="s">
        <v>22</v>
      </c>
    </row>
    <row r="93" spans="1:12" x14ac:dyDescent="0.25">
      <c r="A93">
        <v>92</v>
      </c>
      <c r="B93">
        <v>48</v>
      </c>
      <c r="C93" t="s">
        <v>12</v>
      </c>
      <c r="D93" s="1">
        <v>45388</v>
      </c>
      <c r="E93" s="1">
        <v>45402</v>
      </c>
      <c r="F93" t="s">
        <v>31</v>
      </c>
      <c r="G93" t="s">
        <v>19</v>
      </c>
      <c r="H93">
        <v>14</v>
      </c>
      <c r="I93" t="s">
        <v>15</v>
      </c>
      <c r="J93">
        <v>2</v>
      </c>
      <c r="K93" t="s">
        <v>21</v>
      </c>
      <c r="L93" t="s">
        <v>25</v>
      </c>
    </row>
    <row r="94" spans="1:12" x14ac:dyDescent="0.25">
      <c r="A94">
        <v>93</v>
      </c>
      <c r="B94">
        <v>38</v>
      </c>
      <c r="C94" t="s">
        <v>26</v>
      </c>
      <c r="D94" s="1">
        <v>45636</v>
      </c>
      <c r="E94" s="1">
        <v>45643</v>
      </c>
      <c r="F94" t="s">
        <v>13</v>
      </c>
      <c r="G94" t="s">
        <v>23</v>
      </c>
      <c r="H94">
        <v>7</v>
      </c>
      <c r="I94" t="s">
        <v>15</v>
      </c>
      <c r="J94">
        <v>1</v>
      </c>
      <c r="K94" t="s">
        <v>16</v>
      </c>
      <c r="L94" t="s">
        <v>17</v>
      </c>
    </row>
    <row r="95" spans="1:12" x14ac:dyDescent="0.25">
      <c r="A95">
        <v>94</v>
      </c>
      <c r="B95">
        <v>49</v>
      </c>
      <c r="C95" t="s">
        <v>26</v>
      </c>
      <c r="D95" s="1">
        <v>45396</v>
      </c>
      <c r="E95" s="1">
        <v>45400</v>
      </c>
      <c r="F95" t="s">
        <v>18</v>
      </c>
      <c r="G95" t="s">
        <v>14</v>
      </c>
      <c r="H95">
        <v>4</v>
      </c>
      <c r="I95" t="s">
        <v>20</v>
      </c>
      <c r="J95">
        <v>2</v>
      </c>
      <c r="K95" t="s">
        <v>21</v>
      </c>
      <c r="L95" t="s">
        <v>29</v>
      </c>
    </row>
    <row r="96" spans="1:12" x14ac:dyDescent="0.25">
      <c r="A96">
        <v>95</v>
      </c>
      <c r="B96">
        <v>24</v>
      </c>
      <c r="C96" t="s">
        <v>26</v>
      </c>
      <c r="D96" s="1">
        <v>45616</v>
      </c>
      <c r="E96" s="1">
        <v>45623</v>
      </c>
      <c r="F96" t="s">
        <v>18</v>
      </c>
      <c r="G96" t="s">
        <v>23</v>
      </c>
      <c r="H96">
        <v>7</v>
      </c>
      <c r="I96" t="s">
        <v>15</v>
      </c>
      <c r="J96">
        <v>2</v>
      </c>
      <c r="K96" t="s">
        <v>16</v>
      </c>
      <c r="L96" t="s">
        <v>22</v>
      </c>
    </row>
    <row r="97" spans="1:12" x14ac:dyDescent="0.25">
      <c r="A97">
        <v>96</v>
      </c>
      <c r="B97">
        <v>67</v>
      </c>
      <c r="C97" t="s">
        <v>26</v>
      </c>
      <c r="D97" s="1">
        <v>45393</v>
      </c>
      <c r="E97" s="1">
        <v>45405</v>
      </c>
      <c r="F97" t="s">
        <v>28</v>
      </c>
      <c r="G97" t="s">
        <v>19</v>
      </c>
      <c r="H97">
        <v>12</v>
      </c>
      <c r="I97" t="s">
        <v>15</v>
      </c>
      <c r="J97">
        <v>4</v>
      </c>
      <c r="K97" t="s">
        <v>21</v>
      </c>
      <c r="L97" t="s">
        <v>25</v>
      </c>
    </row>
    <row r="98" spans="1:12" x14ac:dyDescent="0.25">
      <c r="A98">
        <v>97</v>
      </c>
      <c r="B98">
        <v>88</v>
      </c>
      <c r="C98" t="s">
        <v>12</v>
      </c>
      <c r="D98" s="1">
        <v>45541</v>
      </c>
      <c r="E98" s="1">
        <v>45550</v>
      </c>
      <c r="F98" t="s">
        <v>28</v>
      </c>
      <c r="G98" t="s">
        <v>23</v>
      </c>
      <c r="H98">
        <v>9</v>
      </c>
      <c r="I98" t="s">
        <v>20</v>
      </c>
      <c r="J98">
        <v>3</v>
      </c>
      <c r="K98" t="s">
        <v>16</v>
      </c>
      <c r="L98" t="s">
        <v>29</v>
      </c>
    </row>
    <row r="99" spans="1:12" x14ac:dyDescent="0.25">
      <c r="A99">
        <v>98</v>
      </c>
      <c r="B99">
        <v>75</v>
      </c>
      <c r="C99" t="s">
        <v>26</v>
      </c>
      <c r="D99" s="1">
        <v>45356</v>
      </c>
      <c r="E99" s="1">
        <v>45365</v>
      </c>
      <c r="F99" t="s">
        <v>27</v>
      </c>
      <c r="G99" t="s">
        <v>14</v>
      </c>
      <c r="H99">
        <v>9</v>
      </c>
      <c r="I99" t="s">
        <v>15</v>
      </c>
      <c r="J99">
        <v>1</v>
      </c>
      <c r="K99" t="s">
        <v>21</v>
      </c>
      <c r="L99" t="s">
        <v>22</v>
      </c>
    </row>
    <row r="100" spans="1:12" x14ac:dyDescent="0.25">
      <c r="A100">
        <v>99</v>
      </c>
      <c r="B100">
        <v>73</v>
      </c>
      <c r="C100" t="s">
        <v>26</v>
      </c>
      <c r="D100" s="1">
        <v>45348</v>
      </c>
      <c r="E100" s="1">
        <v>45359</v>
      </c>
      <c r="F100" t="s">
        <v>31</v>
      </c>
      <c r="G100" t="s">
        <v>14</v>
      </c>
      <c r="H100">
        <v>11</v>
      </c>
      <c r="I100" t="s">
        <v>15</v>
      </c>
      <c r="J100">
        <v>4</v>
      </c>
      <c r="K100" t="s">
        <v>24</v>
      </c>
      <c r="L100" t="s">
        <v>22</v>
      </c>
    </row>
    <row r="101" spans="1:12" x14ac:dyDescent="0.25">
      <c r="A101">
        <v>100</v>
      </c>
      <c r="B101">
        <v>37</v>
      </c>
      <c r="C101" t="s">
        <v>12</v>
      </c>
      <c r="D101" s="1">
        <v>45375</v>
      </c>
      <c r="E101" s="1">
        <v>45390</v>
      </c>
      <c r="F101" t="s">
        <v>13</v>
      </c>
      <c r="G101" t="s">
        <v>14</v>
      </c>
      <c r="H101">
        <v>15</v>
      </c>
      <c r="I101" t="s">
        <v>15</v>
      </c>
      <c r="J101">
        <v>1</v>
      </c>
      <c r="K101" t="s">
        <v>16</v>
      </c>
      <c r="L101" t="s">
        <v>30</v>
      </c>
    </row>
    <row r="102" spans="1:12" x14ac:dyDescent="0.25">
      <c r="A102">
        <v>101</v>
      </c>
      <c r="B102">
        <v>28</v>
      </c>
      <c r="C102" t="s">
        <v>26</v>
      </c>
      <c r="D102" s="1">
        <v>45565</v>
      </c>
      <c r="E102" s="1">
        <v>45575</v>
      </c>
      <c r="F102" t="s">
        <v>31</v>
      </c>
      <c r="G102" t="s">
        <v>23</v>
      </c>
      <c r="H102">
        <v>10</v>
      </c>
      <c r="I102" t="s">
        <v>15</v>
      </c>
      <c r="J102">
        <v>3</v>
      </c>
      <c r="K102" t="s">
        <v>16</v>
      </c>
      <c r="L102" t="s">
        <v>25</v>
      </c>
    </row>
    <row r="103" spans="1:12" x14ac:dyDescent="0.25">
      <c r="A103">
        <v>102</v>
      </c>
      <c r="B103">
        <v>38</v>
      </c>
      <c r="C103" t="s">
        <v>26</v>
      </c>
      <c r="D103" s="1">
        <v>45337</v>
      </c>
      <c r="E103" s="1">
        <v>45340</v>
      </c>
      <c r="F103" t="s">
        <v>18</v>
      </c>
      <c r="G103" t="s">
        <v>14</v>
      </c>
      <c r="H103">
        <v>3</v>
      </c>
      <c r="I103" t="s">
        <v>15</v>
      </c>
      <c r="J103">
        <v>4</v>
      </c>
      <c r="K103" t="s">
        <v>16</v>
      </c>
      <c r="L103" t="s">
        <v>30</v>
      </c>
    </row>
    <row r="104" spans="1:12" x14ac:dyDescent="0.25">
      <c r="A104">
        <v>103</v>
      </c>
      <c r="B104">
        <v>89</v>
      </c>
      <c r="C104" t="s">
        <v>26</v>
      </c>
      <c r="D104" s="1">
        <v>45318</v>
      </c>
      <c r="E104" s="1">
        <v>45319</v>
      </c>
      <c r="F104" t="s">
        <v>27</v>
      </c>
      <c r="G104" t="s">
        <v>23</v>
      </c>
      <c r="H104">
        <v>1</v>
      </c>
      <c r="I104" t="s">
        <v>15</v>
      </c>
      <c r="J104">
        <v>2</v>
      </c>
      <c r="K104" t="s">
        <v>16</v>
      </c>
      <c r="L104" t="s">
        <v>22</v>
      </c>
    </row>
    <row r="105" spans="1:12" x14ac:dyDescent="0.25">
      <c r="A105">
        <v>104</v>
      </c>
      <c r="B105">
        <v>55</v>
      </c>
      <c r="C105" t="s">
        <v>12</v>
      </c>
      <c r="D105" s="1">
        <v>45516</v>
      </c>
      <c r="E105" s="1">
        <v>45523</v>
      </c>
      <c r="F105" t="s">
        <v>28</v>
      </c>
      <c r="G105" t="s">
        <v>23</v>
      </c>
      <c r="H105">
        <v>7</v>
      </c>
      <c r="I105" t="s">
        <v>15</v>
      </c>
      <c r="J105">
        <v>2</v>
      </c>
      <c r="K105" t="s">
        <v>16</v>
      </c>
      <c r="L105" t="s">
        <v>29</v>
      </c>
    </row>
    <row r="106" spans="1:12" x14ac:dyDescent="0.25">
      <c r="A106">
        <v>105</v>
      </c>
      <c r="B106">
        <v>23</v>
      </c>
      <c r="C106" t="s">
        <v>12</v>
      </c>
      <c r="D106" s="1">
        <v>45314</v>
      </c>
      <c r="E106" s="1">
        <v>45325</v>
      </c>
      <c r="F106" t="s">
        <v>13</v>
      </c>
      <c r="G106" t="s">
        <v>14</v>
      </c>
      <c r="H106">
        <v>11</v>
      </c>
      <c r="I106" t="s">
        <v>15</v>
      </c>
      <c r="J106">
        <v>3</v>
      </c>
      <c r="K106" t="s">
        <v>16</v>
      </c>
      <c r="L106" t="s">
        <v>17</v>
      </c>
    </row>
    <row r="107" spans="1:12" x14ac:dyDescent="0.25">
      <c r="A107">
        <v>106</v>
      </c>
      <c r="B107">
        <v>23</v>
      </c>
      <c r="C107" t="s">
        <v>12</v>
      </c>
      <c r="D107" s="1">
        <v>45602</v>
      </c>
      <c r="E107" s="1">
        <v>45607</v>
      </c>
      <c r="F107" t="s">
        <v>18</v>
      </c>
      <c r="G107" t="s">
        <v>19</v>
      </c>
      <c r="H107">
        <v>5</v>
      </c>
      <c r="I107" t="s">
        <v>15</v>
      </c>
      <c r="J107">
        <v>0</v>
      </c>
      <c r="K107" t="s">
        <v>21</v>
      </c>
      <c r="L107" t="s">
        <v>30</v>
      </c>
    </row>
    <row r="108" spans="1:12" x14ac:dyDescent="0.25">
      <c r="A108">
        <v>107</v>
      </c>
      <c r="B108">
        <v>66</v>
      </c>
      <c r="C108" t="s">
        <v>12</v>
      </c>
      <c r="D108" s="1">
        <v>45364</v>
      </c>
      <c r="E108" s="1">
        <v>45379</v>
      </c>
      <c r="F108" t="s">
        <v>31</v>
      </c>
      <c r="G108" t="s">
        <v>23</v>
      </c>
      <c r="H108">
        <v>15</v>
      </c>
      <c r="I108" t="s">
        <v>20</v>
      </c>
      <c r="J108">
        <v>1</v>
      </c>
      <c r="K108" t="s">
        <v>24</v>
      </c>
      <c r="L108" t="s">
        <v>30</v>
      </c>
    </row>
    <row r="109" spans="1:12" x14ac:dyDescent="0.25">
      <c r="A109">
        <v>108</v>
      </c>
      <c r="B109">
        <v>80</v>
      </c>
      <c r="C109" t="s">
        <v>12</v>
      </c>
      <c r="D109" s="1">
        <v>45642</v>
      </c>
      <c r="E109" s="1">
        <v>45649</v>
      </c>
      <c r="F109" t="s">
        <v>27</v>
      </c>
      <c r="G109" t="s">
        <v>19</v>
      </c>
      <c r="H109">
        <v>7</v>
      </c>
      <c r="I109" t="s">
        <v>15</v>
      </c>
      <c r="J109">
        <v>4</v>
      </c>
      <c r="K109" t="s">
        <v>21</v>
      </c>
      <c r="L109" t="s">
        <v>30</v>
      </c>
    </row>
    <row r="110" spans="1:12" x14ac:dyDescent="0.25">
      <c r="A110">
        <v>109</v>
      </c>
      <c r="B110">
        <v>39</v>
      </c>
      <c r="C110" t="s">
        <v>12</v>
      </c>
      <c r="D110" s="1">
        <v>45490</v>
      </c>
      <c r="E110" s="1">
        <v>45503</v>
      </c>
      <c r="F110" t="s">
        <v>13</v>
      </c>
      <c r="G110" t="s">
        <v>14</v>
      </c>
      <c r="H110">
        <v>13</v>
      </c>
      <c r="I110" t="s">
        <v>15</v>
      </c>
      <c r="J110">
        <v>2</v>
      </c>
      <c r="K110" t="s">
        <v>21</v>
      </c>
      <c r="L110" t="s">
        <v>25</v>
      </c>
    </row>
    <row r="111" spans="1:12" x14ac:dyDescent="0.25">
      <c r="A111">
        <v>110</v>
      </c>
      <c r="B111">
        <v>75</v>
      </c>
      <c r="C111" t="s">
        <v>26</v>
      </c>
      <c r="D111" s="1">
        <v>45472</v>
      </c>
      <c r="E111" s="1">
        <v>45478</v>
      </c>
      <c r="F111" t="s">
        <v>27</v>
      </c>
      <c r="G111" t="s">
        <v>14</v>
      </c>
      <c r="H111">
        <v>6</v>
      </c>
      <c r="I111" t="s">
        <v>20</v>
      </c>
      <c r="J111">
        <v>0</v>
      </c>
      <c r="K111" t="s">
        <v>24</v>
      </c>
      <c r="L111" t="s">
        <v>17</v>
      </c>
    </row>
    <row r="112" spans="1:12" x14ac:dyDescent="0.25">
      <c r="A112">
        <v>111</v>
      </c>
      <c r="B112">
        <v>58</v>
      </c>
      <c r="C112" t="s">
        <v>12</v>
      </c>
      <c r="D112" s="1">
        <v>45642</v>
      </c>
      <c r="E112" s="1">
        <v>45653</v>
      </c>
      <c r="F112" t="s">
        <v>31</v>
      </c>
      <c r="G112" t="s">
        <v>23</v>
      </c>
      <c r="H112">
        <v>11</v>
      </c>
      <c r="I112" t="s">
        <v>15</v>
      </c>
      <c r="J112">
        <v>2</v>
      </c>
      <c r="K112" t="s">
        <v>16</v>
      </c>
      <c r="L112" t="s">
        <v>22</v>
      </c>
    </row>
    <row r="113" spans="1:12" x14ac:dyDescent="0.25">
      <c r="A113">
        <v>112</v>
      </c>
      <c r="B113">
        <v>83</v>
      </c>
      <c r="C113" t="s">
        <v>26</v>
      </c>
      <c r="D113" s="1">
        <v>45330</v>
      </c>
      <c r="E113" s="1">
        <v>45342</v>
      </c>
      <c r="F113" t="s">
        <v>13</v>
      </c>
      <c r="G113" t="s">
        <v>14</v>
      </c>
      <c r="H113">
        <v>12</v>
      </c>
      <c r="I113" t="s">
        <v>15</v>
      </c>
      <c r="J113">
        <v>3</v>
      </c>
      <c r="K113" t="s">
        <v>21</v>
      </c>
      <c r="L113" t="s">
        <v>17</v>
      </c>
    </row>
    <row r="114" spans="1:12" x14ac:dyDescent="0.25">
      <c r="A114">
        <v>113</v>
      </c>
      <c r="B114">
        <v>22</v>
      </c>
      <c r="C114" t="s">
        <v>12</v>
      </c>
      <c r="D114" s="1">
        <v>45428</v>
      </c>
      <c r="E114" s="1">
        <v>45430</v>
      </c>
      <c r="F114" t="s">
        <v>27</v>
      </c>
      <c r="G114" t="s">
        <v>19</v>
      </c>
      <c r="H114">
        <v>2</v>
      </c>
      <c r="I114" t="s">
        <v>15</v>
      </c>
      <c r="J114">
        <v>3</v>
      </c>
      <c r="K114" t="s">
        <v>24</v>
      </c>
      <c r="L114" t="s">
        <v>29</v>
      </c>
    </row>
    <row r="115" spans="1:12" x14ac:dyDescent="0.25">
      <c r="A115">
        <v>114</v>
      </c>
      <c r="B115">
        <v>48</v>
      </c>
      <c r="C115" t="s">
        <v>12</v>
      </c>
      <c r="D115" s="1">
        <v>45399</v>
      </c>
      <c r="E115" s="1">
        <v>45414</v>
      </c>
      <c r="F115" t="s">
        <v>31</v>
      </c>
      <c r="G115" t="s">
        <v>14</v>
      </c>
      <c r="H115">
        <v>15</v>
      </c>
      <c r="I115" t="s">
        <v>15</v>
      </c>
      <c r="J115">
        <v>1</v>
      </c>
      <c r="K115" t="s">
        <v>24</v>
      </c>
      <c r="L115" t="s">
        <v>30</v>
      </c>
    </row>
    <row r="116" spans="1:12" x14ac:dyDescent="0.25">
      <c r="A116">
        <v>115</v>
      </c>
      <c r="B116">
        <v>89</v>
      </c>
      <c r="C116" t="s">
        <v>26</v>
      </c>
      <c r="D116" s="1">
        <v>45484</v>
      </c>
      <c r="E116" s="1">
        <v>45492</v>
      </c>
      <c r="F116" t="s">
        <v>31</v>
      </c>
      <c r="G116" t="s">
        <v>14</v>
      </c>
      <c r="H116">
        <v>8</v>
      </c>
      <c r="I116" t="s">
        <v>20</v>
      </c>
      <c r="J116">
        <v>4</v>
      </c>
      <c r="K116" t="s">
        <v>16</v>
      </c>
      <c r="L116" t="s">
        <v>22</v>
      </c>
    </row>
    <row r="117" spans="1:12" x14ac:dyDescent="0.25">
      <c r="A117">
        <v>116</v>
      </c>
      <c r="B117">
        <v>85</v>
      </c>
      <c r="C117" t="s">
        <v>12</v>
      </c>
      <c r="D117" s="1">
        <v>45639</v>
      </c>
      <c r="E117" s="1">
        <v>45653</v>
      </c>
      <c r="F117" t="s">
        <v>28</v>
      </c>
      <c r="G117" t="s">
        <v>19</v>
      </c>
      <c r="H117">
        <v>14</v>
      </c>
      <c r="I117" t="s">
        <v>20</v>
      </c>
      <c r="J117">
        <v>1</v>
      </c>
      <c r="K117" t="s">
        <v>16</v>
      </c>
      <c r="L117" t="s">
        <v>17</v>
      </c>
    </row>
    <row r="118" spans="1:12" x14ac:dyDescent="0.25">
      <c r="A118">
        <v>117</v>
      </c>
      <c r="B118">
        <v>83</v>
      </c>
      <c r="C118" t="s">
        <v>26</v>
      </c>
      <c r="D118" s="1">
        <v>45651</v>
      </c>
      <c r="E118" s="1">
        <v>45665</v>
      </c>
      <c r="F118" t="s">
        <v>31</v>
      </c>
      <c r="G118" t="s">
        <v>14</v>
      </c>
      <c r="H118">
        <v>14</v>
      </c>
      <c r="I118" t="s">
        <v>15</v>
      </c>
      <c r="J118">
        <v>1</v>
      </c>
      <c r="K118" t="s">
        <v>21</v>
      </c>
      <c r="L118" t="s">
        <v>29</v>
      </c>
    </row>
    <row r="119" spans="1:12" x14ac:dyDescent="0.25">
      <c r="A119">
        <v>118</v>
      </c>
      <c r="B119">
        <v>39</v>
      </c>
      <c r="C119" t="s">
        <v>26</v>
      </c>
      <c r="D119" s="1">
        <v>45536</v>
      </c>
      <c r="E119" s="1">
        <v>45538</v>
      </c>
      <c r="F119" t="s">
        <v>13</v>
      </c>
      <c r="G119" t="s">
        <v>19</v>
      </c>
      <c r="H119">
        <v>2</v>
      </c>
      <c r="I119" t="s">
        <v>15</v>
      </c>
      <c r="J119">
        <v>0</v>
      </c>
      <c r="K119" t="s">
        <v>16</v>
      </c>
      <c r="L119" t="s">
        <v>29</v>
      </c>
    </row>
    <row r="120" spans="1:12" x14ac:dyDescent="0.25">
      <c r="A120">
        <v>119</v>
      </c>
      <c r="B120">
        <v>29</v>
      </c>
      <c r="C120" t="s">
        <v>26</v>
      </c>
      <c r="D120" s="1">
        <v>45425</v>
      </c>
      <c r="E120" s="1">
        <v>45434</v>
      </c>
      <c r="F120" t="s">
        <v>28</v>
      </c>
      <c r="G120" t="s">
        <v>14</v>
      </c>
      <c r="H120">
        <v>9</v>
      </c>
      <c r="I120" t="s">
        <v>15</v>
      </c>
      <c r="J120">
        <v>2</v>
      </c>
      <c r="K120" t="s">
        <v>16</v>
      </c>
      <c r="L120" t="s">
        <v>29</v>
      </c>
    </row>
    <row r="121" spans="1:12" x14ac:dyDescent="0.25">
      <c r="A121">
        <v>120</v>
      </c>
      <c r="B121">
        <v>58</v>
      </c>
      <c r="C121" t="s">
        <v>12</v>
      </c>
      <c r="D121" s="1">
        <v>45559</v>
      </c>
      <c r="E121" s="1">
        <v>45573</v>
      </c>
      <c r="F121" t="s">
        <v>27</v>
      </c>
      <c r="G121" t="s">
        <v>14</v>
      </c>
      <c r="H121">
        <v>14</v>
      </c>
      <c r="I121" t="s">
        <v>15</v>
      </c>
      <c r="J121">
        <v>4</v>
      </c>
      <c r="K121" t="s">
        <v>24</v>
      </c>
      <c r="L121" t="s">
        <v>29</v>
      </c>
    </row>
    <row r="122" spans="1:12" x14ac:dyDescent="0.25">
      <c r="A122">
        <v>121</v>
      </c>
      <c r="B122">
        <v>62</v>
      </c>
      <c r="C122" t="s">
        <v>26</v>
      </c>
      <c r="D122" s="1">
        <v>45595</v>
      </c>
      <c r="E122" s="1">
        <v>45610</v>
      </c>
      <c r="F122" t="s">
        <v>18</v>
      </c>
      <c r="G122" t="s">
        <v>19</v>
      </c>
      <c r="H122">
        <v>15</v>
      </c>
      <c r="I122" t="s">
        <v>20</v>
      </c>
      <c r="J122">
        <v>3</v>
      </c>
      <c r="K122" t="s">
        <v>21</v>
      </c>
      <c r="L122" t="s">
        <v>25</v>
      </c>
    </row>
    <row r="123" spans="1:12" x14ac:dyDescent="0.25">
      <c r="A123">
        <v>122</v>
      </c>
      <c r="B123">
        <v>31</v>
      </c>
      <c r="C123" t="s">
        <v>26</v>
      </c>
      <c r="D123" s="1">
        <v>45643</v>
      </c>
      <c r="E123" s="1">
        <v>45656</v>
      </c>
      <c r="F123" t="s">
        <v>18</v>
      </c>
      <c r="G123" t="s">
        <v>23</v>
      </c>
      <c r="H123">
        <v>13</v>
      </c>
      <c r="I123" t="s">
        <v>20</v>
      </c>
      <c r="J123">
        <v>4</v>
      </c>
      <c r="K123" t="s">
        <v>21</v>
      </c>
      <c r="L123" t="s">
        <v>22</v>
      </c>
    </row>
    <row r="124" spans="1:12" x14ac:dyDescent="0.25">
      <c r="A124">
        <v>123</v>
      </c>
      <c r="B124">
        <v>55</v>
      </c>
      <c r="C124" t="s">
        <v>12</v>
      </c>
      <c r="D124" s="1">
        <v>45544</v>
      </c>
      <c r="E124" s="1">
        <v>45557</v>
      </c>
      <c r="F124" t="s">
        <v>28</v>
      </c>
      <c r="G124" t="s">
        <v>19</v>
      </c>
      <c r="H124">
        <v>13</v>
      </c>
      <c r="I124" t="s">
        <v>15</v>
      </c>
      <c r="J124">
        <v>4</v>
      </c>
      <c r="K124" t="s">
        <v>16</v>
      </c>
      <c r="L124" t="s">
        <v>30</v>
      </c>
    </row>
    <row r="125" spans="1:12" x14ac:dyDescent="0.25">
      <c r="A125">
        <v>124</v>
      </c>
      <c r="B125">
        <v>69</v>
      </c>
      <c r="C125" t="s">
        <v>12</v>
      </c>
      <c r="D125" s="1">
        <v>45489</v>
      </c>
      <c r="E125" s="1">
        <v>45503</v>
      </c>
      <c r="F125" t="s">
        <v>31</v>
      </c>
      <c r="G125" t="s">
        <v>23</v>
      </c>
      <c r="H125">
        <v>14</v>
      </c>
      <c r="I125" t="s">
        <v>15</v>
      </c>
      <c r="J125">
        <v>2</v>
      </c>
      <c r="K125" t="s">
        <v>21</v>
      </c>
      <c r="L125" t="s">
        <v>17</v>
      </c>
    </row>
    <row r="126" spans="1:12" x14ac:dyDescent="0.25">
      <c r="A126">
        <v>125</v>
      </c>
      <c r="B126">
        <v>49</v>
      </c>
      <c r="C126" t="s">
        <v>12</v>
      </c>
      <c r="D126" s="1">
        <v>45353</v>
      </c>
      <c r="E126" s="1">
        <v>45355</v>
      </c>
      <c r="F126" t="s">
        <v>28</v>
      </c>
      <c r="G126" t="s">
        <v>19</v>
      </c>
      <c r="H126">
        <v>2</v>
      </c>
      <c r="I126" t="s">
        <v>15</v>
      </c>
      <c r="J126">
        <v>4</v>
      </c>
      <c r="K126" t="s">
        <v>16</v>
      </c>
      <c r="L126" t="s">
        <v>25</v>
      </c>
    </row>
    <row r="127" spans="1:12" x14ac:dyDescent="0.25">
      <c r="A127">
        <v>126</v>
      </c>
      <c r="B127">
        <v>67</v>
      </c>
      <c r="C127" t="s">
        <v>12</v>
      </c>
      <c r="D127" s="1">
        <v>45593</v>
      </c>
      <c r="E127" s="1">
        <v>45606</v>
      </c>
      <c r="F127" t="s">
        <v>27</v>
      </c>
      <c r="G127" t="s">
        <v>23</v>
      </c>
      <c r="H127">
        <v>13</v>
      </c>
      <c r="I127" t="s">
        <v>15</v>
      </c>
      <c r="J127">
        <v>2</v>
      </c>
      <c r="K127" t="s">
        <v>21</v>
      </c>
      <c r="L127" t="s">
        <v>17</v>
      </c>
    </row>
    <row r="128" spans="1:12" x14ac:dyDescent="0.25">
      <c r="A128">
        <v>127</v>
      </c>
      <c r="B128">
        <v>28</v>
      </c>
      <c r="C128" t="s">
        <v>12</v>
      </c>
      <c r="D128" s="1">
        <v>45507</v>
      </c>
      <c r="E128" s="1">
        <v>45520</v>
      </c>
      <c r="F128" t="s">
        <v>31</v>
      </c>
      <c r="G128" t="s">
        <v>19</v>
      </c>
      <c r="H128">
        <v>13</v>
      </c>
      <c r="I128" t="s">
        <v>15</v>
      </c>
      <c r="J128">
        <v>1</v>
      </c>
      <c r="K128" t="s">
        <v>16</v>
      </c>
      <c r="L128" t="s">
        <v>17</v>
      </c>
    </row>
    <row r="129" spans="1:12" x14ac:dyDescent="0.25">
      <c r="A129">
        <v>128</v>
      </c>
      <c r="B129">
        <v>74</v>
      </c>
      <c r="C129" t="s">
        <v>26</v>
      </c>
      <c r="D129" s="1">
        <v>45588</v>
      </c>
      <c r="E129" s="1">
        <v>45591</v>
      </c>
      <c r="F129" t="s">
        <v>27</v>
      </c>
      <c r="G129" t="s">
        <v>14</v>
      </c>
      <c r="H129">
        <v>3</v>
      </c>
      <c r="I129" t="s">
        <v>15</v>
      </c>
      <c r="J129">
        <v>2</v>
      </c>
      <c r="K129" t="s">
        <v>24</v>
      </c>
      <c r="L129" t="s">
        <v>25</v>
      </c>
    </row>
    <row r="130" spans="1:12" x14ac:dyDescent="0.25">
      <c r="A130">
        <v>129</v>
      </c>
      <c r="B130">
        <v>79</v>
      </c>
      <c r="C130" t="s">
        <v>26</v>
      </c>
      <c r="D130" s="1">
        <v>45632</v>
      </c>
      <c r="E130" s="1">
        <v>45642</v>
      </c>
      <c r="F130" t="s">
        <v>31</v>
      </c>
      <c r="G130" t="s">
        <v>19</v>
      </c>
      <c r="H130">
        <v>10</v>
      </c>
      <c r="I130" t="s">
        <v>15</v>
      </c>
      <c r="J130">
        <v>4</v>
      </c>
      <c r="K130" t="s">
        <v>16</v>
      </c>
      <c r="L130" t="s">
        <v>30</v>
      </c>
    </row>
    <row r="131" spans="1:12" x14ac:dyDescent="0.25">
      <c r="A131">
        <v>130</v>
      </c>
      <c r="B131">
        <v>69</v>
      </c>
      <c r="C131" t="s">
        <v>12</v>
      </c>
      <c r="D131" s="1">
        <v>45470</v>
      </c>
      <c r="E131" s="1">
        <v>45485</v>
      </c>
      <c r="F131" t="s">
        <v>28</v>
      </c>
      <c r="G131" t="s">
        <v>23</v>
      </c>
      <c r="H131">
        <v>15</v>
      </c>
      <c r="I131" t="s">
        <v>15</v>
      </c>
      <c r="J131">
        <v>3</v>
      </c>
      <c r="K131" t="s">
        <v>24</v>
      </c>
      <c r="L131" t="s">
        <v>30</v>
      </c>
    </row>
    <row r="132" spans="1:12" x14ac:dyDescent="0.25">
      <c r="A132">
        <v>131</v>
      </c>
      <c r="B132">
        <v>59</v>
      </c>
      <c r="C132" t="s">
        <v>12</v>
      </c>
      <c r="D132" s="1">
        <v>45538</v>
      </c>
      <c r="E132" s="1">
        <v>45542</v>
      </c>
      <c r="F132" t="s">
        <v>13</v>
      </c>
      <c r="G132" t="s">
        <v>19</v>
      </c>
      <c r="H132">
        <v>4</v>
      </c>
      <c r="I132" t="s">
        <v>20</v>
      </c>
      <c r="J132">
        <v>4</v>
      </c>
      <c r="K132" t="s">
        <v>24</v>
      </c>
      <c r="L132" t="s">
        <v>30</v>
      </c>
    </row>
    <row r="133" spans="1:12" x14ac:dyDescent="0.25">
      <c r="A133">
        <v>132</v>
      </c>
      <c r="B133">
        <v>26</v>
      </c>
      <c r="C133" t="s">
        <v>26</v>
      </c>
      <c r="D133" s="1">
        <v>45537</v>
      </c>
      <c r="E133" s="1">
        <v>45544</v>
      </c>
      <c r="F133" t="s">
        <v>13</v>
      </c>
      <c r="G133" t="s">
        <v>14</v>
      </c>
      <c r="H133">
        <v>7</v>
      </c>
      <c r="I133" t="s">
        <v>20</v>
      </c>
      <c r="J133">
        <v>2</v>
      </c>
      <c r="K133" t="s">
        <v>21</v>
      </c>
      <c r="L133" t="s">
        <v>29</v>
      </c>
    </row>
    <row r="134" spans="1:12" x14ac:dyDescent="0.25">
      <c r="A134">
        <v>133</v>
      </c>
      <c r="B134">
        <v>31</v>
      </c>
      <c r="C134" t="s">
        <v>12</v>
      </c>
      <c r="D134" s="1">
        <v>45390</v>
      </c>
      <c r="E134" s="1">
        <v>45397</v>
      </c>
      <c r="F134" t="s">
        <v>31</v>
      </c>
      <c r="G134" t="s">
        <v>14</v>
      </c>
      <c r="H134">
        <v>7</v>
      </c>
      <c r="I134" t="s">
        <v>15</v>
      </c>
      <c r="J134">
        <v>1</v>
      </c>
      <c r="K134" t="s">
        <v>24</v>
      </c>
      <c r="L134" t="s">
        <v>22</v>
      </c>
    </row>
    <row r="135" spans="1:12" x14ac:dyDescent="0.25">
      <c r="A135">
        <v>134</v>
      </c>
      <c r="B135">
        <v>28</v>
      </c>
      <c r="C135" t="s">
        <v>26</v>
      </c>
      <c r="D135" s="1">
        <v>45425</v>
      </c>
      <c r="E135" s="1">
        <v>45438</v>
      </c>
      <c r="F135" t="s">
        <v>27</v>
      </c>
      <c r="G135" t="s">
        <v>19</v>
      </c>
      <c r="H135">
        <v>13</v>
      </c>
      <c r="I135" t="s">
        <v>15</v>
      </c>
      <c r="J135">
        <v>0</v>
      </c>
      <c r="K135" t="s">
        <v>16</v>
      </c>
      <c r="L135" t="s">
        <v>29</v>
      </c>
    </row>
    <row r="136" spans="1:12" x14ac:dyDescent="0.25">
      <c r="A136">
        <v>135</v>
      </c>
      <c r="B136">
        <v>24</v>
      </c>
      <c r="C136" t="s">
        <v>12</v>
      </c>
      <c r="D136" s="1">
        <v>45569</v>
      </c>
      <c r="E136" s="1">
        <v>45579</v>
      </c>
      <c r="F136" t="s">
        <v>18</v>
      </c>
      <c r="G136" t="s">
        <v>19</v>
      </c>
      <c r="H136">
        <v>10</v>
      </c>
      <c r="I136" t="s">
        <v>20</v>
      </c>
      <c r="J136">
        <v>1</v>
      </c>
      <c r="K136" t="s">
        <v>24</v>
      </c>
      <c r="L136" t="s">
        <v>22</v>
      </c>
    </row>
    <row r="137" spans="1:12" x14ac:dyDescent="0.25">
      <c r="A137">
        <v>136</v>
      </c>
      <c r="B137">
        <v>82</v>
      </c>
      <c r="C137" t="s">
        <v>12</v>
      </c>
      <c r="D137" s="1">
        <v>45426</v>
      </c>
      <c r="E137" s="1">
        <v>45430</v>
      </c>
      <c r="F137" t="s">
        <v>13</v>
      </c>
      <c r="G137" t="s">
        <v>23</v>
      </c>
      <c r="H137">
        <v>4</v>
      </c>
      <c r="I137" t="s">
        <v>15</v>
      </c>
      <c r="J137">
        <v>1</v>
      </c>
      <c r="K137" t="s">
        <v>24</v>
      </c>
      <c r="L137" t="s">
        <v>22</v>
      </c>
    </row>
    <row r="138" spans="1:12" x14ac:dyDescent="0.25">
      <c r="A138">
        <v>137</v>
      </c>
      <c r="B138">
        <v>38</v>
      </c>
      <c r="C138" t="s">
        <v>26</v>
      </c>
      <c r="D138" s="1">
        <v>45477</v>
      </c>
      <c r="E138" s="1">
        <v>45482</v>
      </c>
      <c r="F138" t="s">
        <v>27</v>
      </c>
      <c r="G138" t="s">
        <v>23</v>
      </c>
      <c r="H138">
        <v>5</v>
      </c>
      <c r="I138" t="s">
        <v>20</v>
      </c>
      <c r="J138">
        <v>3</v>
      </c>
      <c r="K138" t="s">
        <v>21</v>
      </c>
      <c r="L138" t="s">
        <v>29</v>
      </c>
    </row>
    <row r="139" spans="1:12" x14ac:dyDescent="0.25">
      <c r="A139">
        <v>138</v>
      </c>
      <c r="B139">
        <v>78</v>
      </c>
      <c r="C139" t="s">
        <v>26</v>
      </c>
      <c r="D139" s="1">
        <v>45369</v>
      </c>
      <c r="E139" s="1">
        <v>45370</v>
      </c>
      <c r="F139" t="s">
        <v>28</v>
      </c>
      <c r="G139" t="s">
        <v>19</v>
      </c>
      <c r="H139">
        <v>1</v>
      </c>
      <c r="I139" t="s">
        <v>15</v>
      </c>
      <c r="J139">
        <v>2</v>
      </c>
      <c r="K139" t="s">
        <v>21</v>
      </c>
      <c r="L139" t="s">
        <v>17</v>
      </c>
    </row>
    <row r="140" spans="1:12" x14ac:dyDescent="0.25">
      <c r="A140">
        <v>139</v>
      </c>
      <c r="B140">
        <v>69</v>
      </c>
      <c r="C140" t="s">
        <v>26</v>
      </c>
      <c r="D140" s="1">
        <v>45379</v>
      </c>
      <c r="E140" s="1">
        <v>45380</v>
      </c>
      <c r="F140" t="s">
        <v>28</v>
      </c>
      <c r="G140" t="s">
        <v>19</v>
      </c>
      <c r="H140">
        <v>1</v>
      </c>
      <c r="I140" t="s">
        <v>15</v>
      </c>
      <c r="J140">
        <v>4</v>
      </c>
      <c r="K140" t="s">
        <v>21</v>
      </c>
      <c r="L140" t="s">
        <v>29</v>
      </c>
    </row>
    <row r="141" spans="1:12" x14ac:dyDescent="0.25">
      <c r="A141">
        <v>140</v>
      </c>
      <c r="B141">
        <v>40</v>
      </c>
      <c r="C141" t="s">
        <v>26</v>
      </c>
      <c r="D141" s="1">
        <v>45422</v>
      </c>
      <c r="E141" s="1">
        <v>45428</v>
      </c>
      <c r="F141" t="s">
        <v>31</v>
      </c>
      <c r="G141" t="s">
        <v>14</v>
      </c>
      <c r="H141">
        <v>6</v>
      </c>
      <c r="I141" t="s">
        <v>15</v>
      </c>
      <c r="J141">
        <v>3</v>
      </c>
      <c r="K141" t="s">
        <v>24</v>
      </c>
      <c r="L141" t="s">
        <v>17</v>
      </c>
    </row>
    <row r="142" spans="1:12" x14ac:dyDescent="0.25">
      <c r="A142">
        <v>141</v>
      </c>
      <c r="B142">
        <v>35</v>
      </c>
      <c r="C142" t="s">
        <v>26</v>
      </c>
      <c r="D142" s="1">
        <v>45361</v>
      </c>
      <c r="E142" s="1">
        <v>45372</v>
      </c>
      <c r="F142" t="s">
        <v>18</v>
      </c>
      <c r="G142" t="s">
        <v>14</v>
      </c>
      <c r="H142">
        <v>11</v>
      </c>
      <c r="I142" t="s">
        <v>15</v>
      </c>
      <c r="J142">
        <v>3</v>
      </c>
      <c r="K142" t="s">
        <v>21</v>
      </c>
      <c r="L142" t="s">
        <v>25</v>
      </c>
    </row>
    <row r="143" spans="1:12" x14ac:dyDescent="0.25">
      <c r="A143">
        <v>142</v>
      </c>
      <c r="B143">
        <v>60</v>
      </c>
      <c r="C143" t="s">
        <v>26</v>
      </c>
      <c r="D143" s="1">
        <v>45591</v>
      </c>
      <c r="E143" s="1">
        <v>45606</v>
      </c>
      <c r="F143" t="s">
        <v>18</v>
      </c>
      <c r="G143" t="s">
        <v>19</v>
      </c>
      <c r="H143">
        <v>15</v>
      </c>
      <c r="I143" t="s">
        <v>15</v>
      </c>
      <c r="J143">
        <v>1</v>
      </c>
      <c r="K143" t="s">
        <v>24</v>
      </c>
      <c r="L143" t="s">
        <v>25</v>
      </c>
    </row>
    <row r="144" spans="1:12" x14ac:dyDescent="0.25">
      <c r="A144">
        <v>143</v>
      </c>
      <c r="B144">
        <v>37</v>
      </c>
      <c r="C144" t="s">
        <v>26</v>
      </c>
      <c r="D144" s="1">
        <v>45431</v>
      </c>
      <c r="E144" s="1">
        <v>45435</v>
      </c>
      <c r="F144" t="s">
        <v>13</v>
      </c>
      <c r="G144" t="s">
        <v>19</v>
      </c>
      <c r="H144">
        <v>4</v>
      </c>
      <c r="I144" t="s">
        <v>15</v>
      </c>
      <c r="J144">
        <v>1</v>
      </c>
      <c r="K144" t="s">
        <v>24</v>
      </c>
      <c r="L144" t="s">
        <v>22</v>
      </c>
    </row>
    <row r="145" spans="1:12" x14ac:dyDescent="0.25">
      <c r="A145">
        <v>144</v>
      </c>
      <c r="B145">
        <v>59</v>
      </c>
      <c r="C145" t="s">
        <v>26</v>
      </c>
      <c r="D145" s="1">
        <v>45434</v>
      </c>
      <c r="E145" s="1">
        <v>45437</v>
      </c>
      <c r="F145" t="s">
        <v>18</v>
      </c>
      <c r="G145" t="s">
        <v>23</v>
      </c>
      <c r="H145">
        <v>3</v>
      </c>
      <c r="I145" t="s">
        <v>15</v>
      </c>
      <c r="J145">
        <v>2</v>
      </c>
      <c r="K145" t="s">
        <v>21</v>
      </c>
      <c r="L145" t="s">
        <v>29</v>
      </c>
    </row>
    <row r="146" spans="1:12" x14ac:dyDescent="0.25">
      <c r="A146">
        <v>145</v>
      </c>
      <c r="B146">
        <v>30</v>
      </c>
      <c r="C146" t="s">
        <v>12</v>
      </c>
      <c r="D146" s="1">
        <v>45328</v>
      </c>
      <c r="E146" s="1">
        <v>45342</v>
      </c>
      <c r="F146" t="s">
        <v>13</v>
      </c>
      <c r="G146" t="s">
        <v>19</v>
      </c>
      <c r="H146">
        <v>14</v>
      </c>
      <c r="I146" t="s">
        <v>15</v>
      </c>
      <c r="J146">
        <v>1</v>
      </c>
      <c r="K146" t="s">
        <v>24</v>
      </c>
      <c r="L146" t="s">
        <v>25</v>
      </c>
    </row>
    <row r="147" spans="1:12" x14ac:dyDescent="0.25">
      <c r="A147">
        <v>146</v>
      </c>
      <c r="B147">
        <v>50</v>
      </c>
      <c r="C147" t="s">
        <v>26</v>
      </c>
      <c r="D147" s="1">
        <v>45497</v>
      </c>
      <c r="E147" s="1">
        <v>45501</v>
      </c>
      <c r="F147" t="s">
        <v>28</v>
      </c>
      <c r="G147" t="s">
        <v>23</v>
      </c>
      <c r="H147">
        <v>4</v>
      </c>
      <c r="I147" t="s">
        <v>20</v>
      </c>
      <c r="J147">
        <v>1</v>
      </c>
      <c r="K147" t="s">
        <v>24</v>
      </c>
      <c r="L147" t="s">
        <v>22</v>
      </c>
    </row>
    <row r="148" spans="1:12" x14ac:dyDescent="0.25">
      <c r="A148">
        <v>147</v>
      </c>
      <c r="B148">
        <v>53</v>
      </c>
      <c r="C148" t="s">
        <v>26</v>
      </c>
      <c r="D148" s="1">
        <v>45602</v>
      </c>
      <c r="E148" s="1">
        <v>45615</v>
      </c>
      <c r="F148" t="s">
        <v>28</v>
      </c>
      <c r="G148" t="s">
        <v>23</v>
      </c>
      <c r="H148">
        <v>13</v>
      </c>
      <c r="I148" t="s">
        <v>20</v>
      </c>
      <c r="J148">
        <v>4</v>
      </c>
      <c r="K148" t="s">
        <v>16</v>
      </c>
      <c r="L148" t="s">
        <v>29</v>
      </c>
    </row>
    <row r="149" spans="1:12" x14ac:dyDescent="0.25">
      <c r="A149">
        <v>148</v>
      </c>
      <c r="B149">
        <v>88</v>
      </c>
      <c r="C149" t="s">
        <v>26</v>
      </c>
      <c r="D149" s="1">
        <v>45320</v>
      </c>
      <c r="E149" s="1">
        <v>45329</v>
      </c>
      <c r="F149" t="s">
        <v>18</v>
      </c>
      <c r="G149" t="s">
        <v>14</v>
      </c>
      <c r="H149">
        <v>9</v>
      </c>
      <c r="I149" t="s">
        <v>15</v>
      </c>
      <c r="J149">
        <v>3</v>
      </c>
      <c r="K149" t="s">
        <v>16</v>
      </c>
      <c r="L149" t="s">
        <v>30</v>
      </c>
    </row>
    <row r="150" spans="1:12" x14ac:dyDescent="0.25">
      <c r="A150">
        <v>149</v>
      </c>
      <c r="B150">
        <v>36</v>
      </c>
      <c r="C150" t="s">
        <v>12</v>
      </c>
      <c r="D150" s="1">
        <v>45594</v>
      </c>
      <c r="E150" s="1">
        <v>45603</v>
      </c>
      <c r="F150" t="s">
        <v>28</v>
      </c>
      <c r="G150" t="s">
        <v>23</v>
      </c>
      <c r="H150">
        <v>9</v>
      </c>
      <c r="I150" t="s">
        <v>15</v>
      </c>
      <c r="J150">
        <v>3</v>
      </c>
      <c r="K150" t="s">
        <v>21</v>
      </c>
      <c r="L150" t="s">
        <v>22</v>
      </c>
    </row>
    <row r="151" spans="1:12" x14ac:dyDescent="0.25">
      <c r="A151">
        <v>150</v>
      </c>
      <c r="B151">
        <v>46</v>
      </c>
      <c r="C151" t="s">
        <v>12</v>
      </c>
      <c r="D151" s="1">
        <v>45312</v>
      </c>
      <c r="E151" s="1">
        <v>45324</v>
      </c>
      <c r="F151" t="s">
        <v>28</v>
      </c>
      <c r="G151" t="s">
        <v>19</v>
      </c>
      <c r="H151">
        <v>12</v>
      </c>
      <c r="I151" t="s">
        <v>15</v>
      </c>
      <c r="J151">
        <v>2</v>
      </c>
      <c r="K151" t="s">
        <v>16</v>
      </c>
      <c r="L151" t="s">
        <v>25</v>
      </c>
    </row>
    <row r="152" spans="1:12" x14ac:dyDescent="0.25">
      <c r="A152">
        <v>151</v>
      </c>
      <c r="B152">
        <v>33</v>
      </c>
      <c r="C152" t="s">
        <v>12</v>
      </c>
      <c r="D152" s="1">
        <v>45355</v>
      </c>
      <c r="E152" s="1">
        <v>45367</v>
      </c>
      <c r="F152" t="s">
        <v>18</v>
      </c>
      <c r="G152" t="s">
        <v>19</v>
      </c>
      <c r="H152">
        <v>12</v>
      </c>
      <c r="I152" t="s">
        <v>15</v>
      </c>
      <c r="J152">
        <v>4</v>
      </c>
      <c r="K152" t="s">
        <v>24</v>
      </c>
      <c r="L152" t="s">
        <v>30</v>
      </c>
    </row>
    <row r="153" spans="1:12" x14ac:dyDescent="0.25">
      <c r="A153">
        <v>152</v>
      </c>
      <c r="B153">
        <v>54</v>
      </c>
      <c r="C153" t="s">
        <v>12</v>
      </c>
      <c r="D153" s="1">
        <v>45518</v>
      </c>
      <c r="E153" s="1">
        <v>45522</v>
      </c>
      <c r="F153" t="s">
        <v>31</v>
      </c>
      <c r="G153" t="s">
        <v>14</v>
      </c>
      <c r="H153">
        <v>4</v>
      </c>
      <c r="I153" t="s">
        <v>20</v>
      </c>
      <c r="J153">
        <v>3</v>
      </c>
      <c r="K153" t="s">
        <v>21</v>
      </c>
      <c r="L153" t="s">
        <v>17</v>
      </c>
    </row>
    <row r="154" spans="1:12" x14ac:dyDescent="0.25">
      <c r="A154">
        <v>153</v>
      </c>
      <c r="B154">
        <v>66</v>
      </c>
      <c r="C154" t="s">
        <v>26</v>
      </c>
      <c r="D154" s="1">
        <v>45376</v>
      </c>
      <c r="E154" s="1">
        <v>45384</v>
      </c>
      <c r="F154" t="s">
        <v>13</v>
      </c>
      <c r="G154" t="s">
        <v>19</v>
      </c>
      <c r="H154">
        <v>8</v>
      </c>
      <c r="I154" t="s">
        <v>15</v>
      </c>
      <c r="J154">
        <v>0</v>
      </c>
      <c r="K154" t="s">
        <v>16</v>
      </c>
      <c r="L154" t="s">
        <v>25</v>
      </c>
    </row>
    <row r="155" spans="1:12" x14ac:dyDescent="0.25">
      <c r="A155">
        <v>154</v>
      </c>
      <c r="B155">
        <v>79</v>
      </c>
      <c r="C155" t="s">
        <v>26</v>
      </c>
      <c r="D155" s="1">
        <v>45410</v>
      </c>
      <c r="E155" s="1">
        <v>45425</v>
      </c>
      <c r="F155" t="s">
        <v>13</v>
      </c>
      <c r="G155" t="s">
        <v>14</v>
      </c>
      <c r="H155">
        <v>15</v>
      </c>
      <c r="I155" t="s">
        <v>15</v>
      </c>
      <c r="J155">
        <v>3</v>
      </c>
      <c r="K155" t="s">
        <v>21</v>
      </c>
      <c r="L155" t="s">
        <v>30</v>
      </c>
    </row>
    <row r="156" spans="1:12" x14ac:dyDescent="0.25">
      <c r="A156">
        <v>155</v>
      </c>
      <c r="B156">
        <v>89</v>
      </c>
      <c r="C156" t="s">
        <v>26</v>
      </c>
      <c r="D156" s="1">
        <v>45345</v>
      </c>
      <c r="E156" s="1">
        <v>45349</v>
      </c>
      <c r="F156" t="s">
        <v>27</v>
      </c>
      <c r="G156" t="s">
        <v>23</v>
      </c>
      <c r="H156">
        <v>4</v>
      </c>
      <c r="I156" t="s">
        <v>15</v>
      </c>
      <c r="J156">
        <v>4</v>
      </c>
      <c r="K156" t="s">
        <v>21</v>
      </c>
      <c r="L156" t="s">
        <v>29</v>
      </c>
    </row>
    <row r="157" spans="1:12" x14ac:dyDescent="0.25">
      <c r="A157">
        <v>156</v>
      </c>
      <c r="B157">
        <v>57</v>
      </c>
      <c r="C157" t="s">
        <v>12</v>
      </c>
      <c r="D157" s="1">
        <v>45639</v>
      </c>
      <c r="E157" s="1">
        <v>45640</v>
      </c>
      <c r="F157" t="s">
        <v>18</v>
      </c>
      <c r="G157" t="s">
        <v>14</v>
      </c>
      <c r="H157">
        <v>1</v>
      </c>
      <c r="I157" t="s">
        <v>15</v>
      </c>
      <c r="J157">
        <v>0</v>
      </c>
      <c r="K157" t="s">
        <v>24</v>
      </c>
      <c r="L157" t="s">
        <v>25</v>
      </c>
    </row>
    <row r="158" spans="1:12" x14ac:dyDescent="0.25">
      <c r="A158">
        <v>157</v>
      </c>
      <c r="B158">
        <v>30</v>
      </c>
      <c r="C158" t="s">
        <v>26</v>
      </c>
      <c r="D158" s="1">
        <v>45452</v>
      </c>
      <c r="E158" s="1">
        <v>45463</v>
      </c>
      <c r="F158" t="s">
        <v>13</v>
      </c>
      <c r="G158" t="s">
        <v>19</v>
      </c>
      <c r="H158">
        <v>11</v>
      </c>
      <c r="I158" t="s">
        <v>20</v>
      </c>
      <c r="J158">
        <v>3</v>
      </c>
      <c r="K158" t="s">
        <v>24</v>
      </c>
      <c r="L158" t="s">
        <v>29</v>
      </c>
    </row>
    <row r="159" spans="1:12" x14ac:dyDescent="0.25">
      <c r="A159">
        <v>158</v>
      </c>
      <c r="B159">
        <v>32</v>
      </c>
      <c r="C159" t="s">
        <v>26</v>
      </c>
      <c r="D159" s="1">
        <v>45411</v>
      </c>
      <c r="E159" s="1">
        <v>45417</v>
      </c>
      <c r="F159" t="s">
        <v>27</v>
      </c>
      <c r="G159" t="s">
        <v>23</v>
      </c>
      <c r="H159">
        <v>6</v>
      </c>
      <c r="I159" t="s">
        <v>20</v>
      </c>
      <c r="J159">
        <v>2</v>
      </c>
      <c r="K159" t="s">
        <v>24</v>
      </c>
      <c r="L159" t="s">
        <v>17</v>
      </c>
    </row>
    <row r="160" spans="1:12" x14ac:dyDescent="0.25">
      <c r="A160">
        <v>159</v>
      </c>
      <c r="B160">
        <v>28</v>
      </c>
      <c r="C160" t="s">
        <v>26</v>
      </c>
      <c r="D160" s="1">
        <v>45575</v>
      </c>
      <c r="E160" s="1">
        <v>45584</v>
      </c>
      <c r="F160" t="s">
        <v>28</v>
      </c>
      <c r="G160" t="s">
        <v>23</v>
      </c>
      <c r="H160">
        <v>9</v>
      </c>
      <c r="I160" t="s">
        <v>15</v>
      </c>
      <c r="J160">
        <v>3</v>
      </c>
      <c r="K160" t="s">
        <v>21</v>
      </c>
      <c r="L160" t="s">
        <v>22</v>
      </c>
    </row>
    <row r="161" spans="1:12" x14ac:dyDescent="0.25">
      <c r="A161">
        <v>160</v>
      </c>
      <c r="B161">
        <v>23</v>
      </c>
      <c r="C161" t="s">
        <v>12</v>
      </c>
      <c r="D161" s="1">
        <v>45309</v>
      </c>
      <c r="E161" s="1">
        <v>45323</v>
      </c>
      <c r="F161" t="s">
        <v>13</v>
      </c>
      <c r="G161" t="s">
        <v>19</v>
      </c>
      <c r="H161">
        <v>14</v>
      </c>
      <c r="I161" t="s">
        <v>15</v>
      </c>
      <c r="J161">
        <v>4</v>
      </c>
      <c r="K161" t="s">
        <v>21</v>
      </c>
      <c r="L161" t="s">
        <v>22</v>
      </c>
    </row>
    <row r="162" spans="1:12" x14ac:dyDescent="0.25">
      <c r="A162">
        <v>161</v>
      </c>
      <c r="B162">
        <v>49</v>
      </c>
      <c r="C162" t="s">
        <v>12</v>
      </c>
      <c r="D162" s="1">
        <v>45629</v>
      </c>
      <c r="E162" s="1">
        <v>45643</v>
      </c>
      <c r="F162" t="s">
        <v>27</v>
      </c>
      <c r="G162" t="s">
        <v>23</v>
      </c>
      <c r="H162">
        <v>14</v>
      </c>
      <c r="I162" t="s">
        <v>20</v>
      </c>
      <c r="J162">
        <v>0</v>
      </c>
      <c r="K162" t="s">
        <v>24</v>
      </c>
      <c r="L162" t="s">
        <v>22</v>
      </c>
    </row>
    <row r="163" spans="1:12" x14ac:dyDescent="0.25">
      <c r="A163">
        <v>162</v>
      </c>
      <c r="B163">
        <v>37</v>
      </c>
      <c r="C163" t="s">
        <v>12</v>
      </c>
      <c r="D163" s="1">
        <v>45354</v>
      </c>
      <c r="E163" s="1">
        <v>45366</v>
      </c>
      <c r="F163" t="s">
        <v>18</v>
      </c>
      <c r="G163" t="s">
        <v>23</v>
      </c>
      <c r="H163">
        <v>12</v>
      </c>
      <c r="I163" t="s">
        <v>20</v>
      </c>
      <c r="J163">
        <v>4</v>
      </c>
      <c r="K163" t="s">
        <v>16</v>
      </c>
      <c r="L163" t="s">
        <v>22</v>
      </c>
    </row>
    <row r="164" spans="1:12" x14ac:dyDescent="0.25">
      <c r="A164">
        <v>163</v>
      </c>
      <c r="B164">
        <v>59</v>
      </c>
      <c r="C164" t="s">
        <v>12</v>
      </c>
      <c r="D164" s="1">
        <v>45613</v>
      </c>
      <c r="E164" s="1">
        <v>45619</v>
      </c>
      <c r="F164" t="s">
        <v>27</v>
      </c>
      <c r="G164" t="s">
        <v>23</v>
      </c>
      <c r="H164">
        <v>6</v>
      </c>
      <c r="I164" t="s">
        <v>15</v>
      </c>
      <c r="J164">
        <v>0</v>
      </c>
      <c r="K164" t="s">
        <v>24</v>
      </c>
      <c r="L164" t="s">
        <v>29</v>
      </c>
    </row>
    <row r="165" spans="1:12" x14ac:dyDescent="0.25">
      <c r="A165">
        <v>164</v>
      </c>
      <c r="B165">
        <v>46</v>
      </c>
      <c r="C165" t="s">
        <v>26</v>
      </c>
      <c r="D165" s="1">
        <v>45428</v>
      </c>
      <c r="E165" s="1">
        <v>45430</v>
      </c>
      <c r="F165" t="s">
        <v>18</v>
      </c>
      <c r="G165" t="s">
        <v>14</v>
      </c>
      <c r="H165">
        <v>2</v>
      </c>
      <c r="I165" t="s">
        <v>15</v>
      </c>
      <c r="J165">
        <v>0</v>
      </c>
      <c r="K165" t="s">
        <v>21</v>
      </c>
      <c r="L165" t="s">
        <v>29</v>
      </c>
    </row>
    <row r="166" spans="1:12" x14ac:dyDescent="0.25">
      <c r="A166">
        <v>165</v>
      </c>
      <c r="B166">
        <v>83</v>
      </c>
      <c r="C166" t="s">
        <v>12</v>
      </c>
      <c r="D166" s="1">
        <v>45394</v>
      </c>
      <c r="E166" s="1">
        <v>45401</v>
      </c>
      <c r="F166" t="s">
        <v>28</v>
      </c>
      <c r="G166" t="s">
        <v>23</v>
      </c>
      <c r="H166">
        <v>7</v>
      </c>
      <c r="I166" t="s">
        <v>15</v>
      </c>
      <c r="J166">
        <v>0</v>
      </c>
      <c r="K166" t="s">
        <v>16</v>
      </c>
      <c r="L166" t="s">
        <v>17</v>
      </c>
    </row>
    <row r="167" spans="1:12" x14ac:dyDescent="0.25">
      <c r="A167">
        <v>166</v>
      </c>
      <c r="B167">
        <v>48</v>
      </c>
      <c r="C167" t="s">
        <v>26</v>
      </c>
      <c r="D167" s="1">
        <v>45460</v>
      </c>
      <c r="E167" s="1">
        <v>45473</v>
      </c>
      <c r="F167" t="s">
        <v>28</v>
      </c>
      <c r="G167" t="s">
        <v>14</v>
      </c>
      <c r="H167">
        <v>13</v>
      </c>
      <c r="I167" t="s">
        <v>15</v>
      </c>
      <c r="J167">
        <v>1</v>
      </c>
      <c r="K167" t="s">
        <v>16</v>
      </c>
      <c r="L167" t="s">
        <v>29</v>
      </c>
    </row>
    <row r="168" spans="1:12" x14ac:dyDescent="0.25">
      <c r="A168">
        <v>167</v>
      </c>
      <c r="B168">
        <v>57</v>
      </c>
      <c r="C168" t="s">
        <v>26</v>
      </c>
      <c r="D168" s="1">
        <v>45404</v>
      </c>
      <c r="E168" s="1">
        <v>45407</v>
      </c>
      <c r="F168" t="s">
        <v>13</v>
      </c>
      <c r="G168" t="s">
        <v>14</v>
      </c>
      <c r="H168">
        <v>3</v>
      </c>
      <c r="I168" t="s">
        <v>15</v>
      </c>
      <c r="J168">
        <v>4</v>
      </c>
      <c r="K168" t="s">
        <v>24</v>
      </c>
      <c r="L168" t="s">
        <v>17</v>
      </c>
    </row>
    <row r="169" spans="1:12" x14ac:dyDescent="0.25">
      <c r="A169">
        <v>168</v>
      </c>
      <c r="B169">
        <v>73</v>
      </c>
      <c r="C169" t="s">
        <v>26</v>
      </c>
      <c r="D169" s="1">
        <v>45554</v>
      </c>
      <c r="E169" s="1">
        <v>45559</v>
      </c>
      <c r="F169" t="s">
        <v>31</v>
      </c>
      <c r="G169" t="s">
        <v>14</v>
      </c>
      <c r="H169">
        <v>5</v>
      </c>
      <c r="I169" t="s">
        <v>20</v>
      </c>
      <c r="J169">
        <v>4</v>
      </c>
      <c r="K169" t="s">
        <v>21</v>
      </c>
      <c r="L169" t="s">
        <v>25</v>
      </c>
    </row>
    <row r="170" spans="1:12" x14ac:dyDescent="0.25">
      <c r="A170">
        <v>169</v>
      </c>
      <c r="B170">
        <v>85</v>
      </c>
      <c r="C170" t="s">
        <v>26</v>
      </c>
      <c r="D170" s="1">
        <v>45408</v>
      </c>
      <c r="E170" s="1">
        <v>45421</v>
      </c>
      <c r="F170" t="s">
        <v>31</v>
      </c>
      <c r="G170" t="s">
        <v>23</v>
      </c>
      <c r="H170">
        <v>13</v>
      </c>
      <c r="I170" t="s">
        <v>15</v>
      </c>
      <c r="J170">
        <v>3</v>
      </c>
      <c r="K170" t="s">
        <v>16</v>
      </c>
      <c r="L170" t="s">
        <v>25</v>
      </c>
    </row>
    <row r="171" spans="1:12" x14ac:dyDescent="0.25">
      <c r="A171">
        <v>170</v>
      </c>
      <c r="B171">
        <v>55</v>
      </c>
      <c r="C171" t="s">
        <v>12</v>
      </c>
      <c r="D171" s="1">
        <v>45418</v>
      </c>
      <c r="E171" s="1">
        <v>45431</v>
      </c>
      <c r="F171" t="s">
        <v>28</v>
      </c>
      <c r="G171" t="s">
        <v>14</v>
      </c>
      <c r="H171">
        <v>13</v>
      </c>
      <c r="I171" t="s">
        <v>15</v>
      </c>
      <c r="J171">
        <v>3</v>
      </c>
      <c r="K171" t="s">
        <v>24</v>
      </c>
      <c r="L171" t="s">
        <v>25</v>
      </c>
    </row>
    <row r="172" spans="1:12" x14ac:dyDescent="0.25">
      <c r="A172">
        <v>171</v>
      </c>
      <c r="B172">
        <v>82</v>
      </c>
      <c r="C172" t="s">
        <v>12</v>
      </c>
      <c r="D172" s="1">
        <v>45595</v>
      </c>
      <c r="E172" s="1">
        <v>45596</v>
      </c>
      <c r="F172" t="s">
        <v>27</v>
      </c>
      <c r="G172" t="s">
        <v>19</v>
      </c>
      <c r="H172">
        <v>1</v>
      </c>
      <c r="I172" t="s">
        <v>15</v>
      </c>
      <c r="J172">
        <v>3</v>
      </c>
      <c r="K172" t="s">
        <v>21</v>
      </c>
      <c r="L172" t="s">
        <v>30</v>
      </c>
    </row>
    <row r="173" spans="1:12" x14ac:dyDescent="0.25">
      <c r="A173">
        <v>172</v>
      </c>
      <c r="B173">
        <v>65</v>
      </c>
      <c r="C173" t="s">
        <v>26</v>
      </c>
      <c r="D173" s="1">
        <v>45620</v>
      </c>
      <c r="E173" s="1">
        <v>45632</v>
      </c>
      <c r="F173" t="s">
        <v>27</v>
      </c>
      <c r="G173" t="s">
        <v>19</v>
      </c>
      <c r="H173">
        <v>12</v>
      </c>
      <c r="I173" t="s">
        <v>15</v>
      </c>
      <c r="J173">
        <v>4</v>
      </c>
      <c r="K173" t="s">
        <v>21</v>
      </c>
      <c r="L173" t="s">
        <v>29</v>
      </c>
    </row>
    <row r="174" spans="1:12" x14ac:dyDescent="0.25">
      <c r="A174">
        <v>173</v>
      </c>
      <c r="B174">
        <v>85</v>
      </c>
      <c r="C174" t="s">
        <v>12</v>
      </c>
      <c r="D174" s="1">
        <v>45357</v>
      </c>
      <c r="E174" s="1">
        <v>45362</v>
      </c>
      <c r="F174" t="s">
        <v>18</v>
      </c>
      <c r="G174" t="s">
        <v>19</v>
      </c>
      <c r="H174">
        <v>5</v>
      </c>
      <c r="I174" t="s">
        <v>20</v>
      </c>
      <c r="J174">
        <v>1</v>
      </c>
      <c r="K174" t="s">
        <v>21</v>
      </c>
      <c r="L174" t="s">
        <v>25</v>
      </c>
    </row>
    <row r="175" spans="1:12" x14ac:dyDescent="0.25">
      <c r="A175">
        <v>174</v>
      </c>
      <c r="B175">
        <v>84</v>
      </c>
      <c r="C175" t="s">
        <v>12</v>
      </c>
      <c r="D175" s="1">
        <v>45347</v>
      </c>
      <c r="E175" s="1">
        <v>45356</v>
      </c>
      <c r="F175" t="s">
        <v>27</v>
      </c>
      <c r="G175" t="s">
        <v>23</v>
      </c>
      <c r="H175">
        <v>9</v>
      </c>
      <c r="I175" t="s">
        <v>20</v>
      </c>
      <c r="J175">
        <v>4</v>
      </c>
      <c r="K175" t="s">
        <v>24</v>
      </c>
      <c r="L175" t="s">
        <v>30</v>
      </c>
    </row>
    <row r="176" spans="1:12" x14ac:dyDescent="0.25">
      <c r="A176">
        <v>175</v>
      </c>
      <c r="B176">
        <v>55</v>
      </c>
      <c r="C176" t="s">
        <v>26</v>
      </c>
      <c r="D176" s="1">
        <v>45652</v>
      </c>
      <c r="E176" s="1">
        <v>45656</v>
      </c>
      <c r="F176" t="s">
        <v>28</v>
      </c>
      <c r="G176" t="s">
        <v>19</v>
      </c>
      <c r="H176">
        <v>4</v>
      </c>
      <c r="I176" t="s">
        <v>15</v>
      </c>
      <c r="J176">
        <v>0</v>
      </c>
      <c r="K176" t="s">
        <v>16</v>
      </c>
      <c r="L176" t="s">
        <v>29</v>
      </c>
    </row>
    <row r="177" spans="1:12" x14ac:dyDescent="0.25">
      <c r="A177">
        <v>176</v>
      </c>
      <c r="B177">
        <v>36</v>
      </c>
      <c r="C177" t="s">
        <v>26</v>
      </c>
      <c r="D177" s="1">
        <v>45293</v>
      </c>
      <c r="E177" s="1">
        <v>45297</v>
      </c>
      <c r="F177" t="s">
        <v>18</v>
      </c>
      <c r="G177" t="s">
        <v>23</v>
      </c>
      <c r="H177">
        <v>4</v>
      </c>
      <c r="I177" t="s">
        <v>15</v>
      </c>
      <c r="J177">
        <v>0</v>
      </c>
      <c r="K177" t="s">
        <v>21</v>
      </c>
      <c r="L177" t="s">
        <v>22</v>
      </c>
    </row>
    <row r="178" spans="1:12" x14ac:dyDescent="0.25">
      <c r="A178">
        <v>177</v>
      </c>
      <c r="B178">
        <v>58</v>
      </c>
      <c r="C178" t="s">
        <v>12</v>
      </c>
      <c r="D178" s="1">
        <v>45611</v>
      </c>
      <c r="E178" s="1">
        <v>45613</v>
      </c>
      <c r="F178" t="s">
        <v>18</v>
      </c>
      <c r="G178" t="s">
        <v>14</v>
      </c>
      <c r="H178">
        <v>2</v>
      </c>
      <c r="I178" t="s">
        <v>15</v>
      </c>
      <c r="J178">
        <v>0</v>
      </c>
      <c r="K178" t="s">
        <v>21</v>
      </c>
      <c r="L178" t="s">
        <v>22</v>
      </c>
    </row>
    <row r="179" spans="1:12" x14ac:dyDescent="0.25">
      <c r="A179">
        <v>178</v>
      </c>
      <c r="B179">
        <v>66</v>
      </c>
      <c r="C179" t="s">
        <v>12</v>
      </c>
      <c r="D179" s="1">
        <v>45643</v>
      </c>
      <c r="E179" s="1">
        <v>45653</v>
      </c>
      <c r="F179" t="s">
        <v>27</v>
      </c>
      <c r="G179" t="s">
        <v>14</v>
      </c>
      <c r="H179">
        <v>10</v>
      </c>
      <c r="I179" t="s">
        <v>15</v>
      </c>
      <c r="J179">
        <v>1</v>
      </c>
      <c r="K179" t="s">
        <v>16</v>
      </c>
      <c r="L179" t="s">
        <v>25</v>
      </c>
    </row>
    <row r="180" spans="1:12" x14ac:dyDescent="0.25">
      <c r="A180">
        <v>179</v>
      </c>
      <c r="B180">
        <v>58</v>
      </c>
      <c r="C180" t="s">
        <v>26</v>
      </c>
      <c r="D180" s="1">
        <v>45558</v>
      </c>
      <c r="E180" s="1">
        <v>45571</v>
      </c>
      <c r="F180" t="s">
        <v>28</v>
      </c>
      <c r="G180" t="s">
        <v>23</v>
      </c>
      <c r="H180">
        <v>13</v>
      </c>
      <c r="I180" t="s">
        <v>20</v>
      </c>
      <c r="J180">
        <v>4</v>
      </c>
      <c r="K180" t="s">
        <v>16</v>
      </c>
      <c r="L180" t="s">
        <v>17</v>
      </c>
    </row>
    <row r="181" spans="1:12" x14ac:dyDescent="0.25">
      <c r="A181">
        <v>180</v>
      </c>
      <c r="B181">
        <v>26</v>
      </c>
      <c r="C181" t="s">
        <v>26</v>
      </c>
      <c r="D181" s="1">
        <v>45379</v>
      </c>
      <c r="E181" s="1">
        <v>45386</v>
      </c>
      <c r="F181" t="s">
        <v>13</v>
      </c>
      <c r="G181" t="s">
        <v>14</v>
      </c>
      <c r="H181">
        <v>7</v>
      </c>
      <c r="I181" t="s">
        <v>15</v>
      </c>
      <c r="J181">
        <v>2</v>
      </c>
      <c r="K181" t="s">
        <v>21</v>
      </c>
      <c r="L181" t="s">
        <v>25</v>
      </c>
    </row>
    <row r="182" spans="1:12" x14ac:dyDescent="0.25">
      <c r="A182">
        <v>181</v>
      </c>
      <c r="B182">
        <v>34</v>
      </c>
      <c r="C182" t="s">
        <v>12</v>
      </c>
      <c r="D182" s="1">
        <v>45349</v>
      </c>
      <c r="E182" s="1">
        <v>45363</v>
      </c>
      <c r="F182" t="s">
        <v>18</v>
      </c>
      <c r="G182" t="s">
        <v>14</v>
      </c>
      <c r="H182">
        <v>14</v>
      </c>
      <c r="I182" t="s">
        <v>15</v>
      </c>
      <c r="J182">
        <v>1</v>
      </c>
      <c r="K182" t="s">
        <v>24</v>
      </c>
      <c r="L182" t="s">
        <v>22</v>
      </c>
    </row>
    <row r="183" spans="1:12" x14ac:dyDescent="0.25">
      <c r="A183">
        <v>182</v>
      </c>
      <c r="B183">
        <v>62</v>
      </c>
      <c r="C183" t="s">
        <v>26</v>
      </c>
      <c r="D183" s="1">
        <v>45317</v>
      </c>
      <c r="E183" s="1">
        <v>45325</v>
      </c>
      <c r="F183" t="s">
        <v>31</v>
      </c>
      <c r="G183" t="s">
        <v>14</v>
      </c>
      <c r="H183">
        <v>8</v>
      </c>
      <c r="I183" t="s">
        <v>15</v>
      </c>
      <c r="J183">
        <v>0</v>
      </c>
      <c r="K183" t="s">
        <v>24</v>
      </c>
      <c r="L183" t="s">
        <v>30</v>
      </c>
    </row>
    <row r="184" spans="1:12" x14ac:dyDescent="0.25">
      <c r="A184">
        <v>183</v>
      </c>
      <c r="B184">
        <v>63</v>
      </c>
      <c r="C184" t="s">
        <v>26</v>
      </c>
      <c r="D184" s="1">
        <v>45653</v>
      </c>
      <c r="E184" s="1">
        <v>45655</v>
      </c>
      <c r="F184" t="s">
        <v>18</v>
      </c>
      <c r="G184" t="s">
        <v>19</v>
      </c>
      <c r="H184">
        <v>2</v>
      </c>
      <c r="I184" t="s">
        <v>20</v>
      </c>
      <c r="J184">
        <v>4</v>
      </c>
      <c r="K184" t="s">
        <v>24</v>
      </c>
      <c r="L184" t="s">
        <v>30</v>
      </c>
    </row>
    <row r="185" spans="1:12" x14ac:dyDescent="0.25">
      <c r="A185">
        <v>184</v>
      </c>
      <c r="B185">
        <v>69</v>
      </c>
      <c r="C185" t="s">
        <v>26</v>
      </c>
      <c r="D185" s="1">
        <v>45611</v>
      </c>
      <c r="E185" s="1">
        <v>45618</v>
      </c>
      <c r="F185" t="s">
        <v>18</v>
      </c>
      <c r="G185" t="s">
        <v>19</v>
      </c>
      <c r="H185">
        <v>7</v>
      </c>
      <c r="I185" t="s">
        <v>15</v>
      </c>
      <c r="J185">
        <v>1</v>
      </c>
      <c r="K185" t="s">
        <v>16</v>
      </c>
      <c r="L185" t="s">
        <v>29</v>
      </c>
    </row>
    <row r="186" spans="1:12" x14ac:dyDescent="0.25">
      <c r="A186">
        <v>185</v>
      </c>
      <c r="B186">
        <v>85</v>
      </c>
      <c r="C186" t="s">
        <v>12</v>
      </c>
      <c r="D186" s="1">
        <v>45414</v>
      </c>
      <c r="E186" s="1">
        <v>45429</v>
      </c>
      <c r="F186" t="s">
        <v>31</v>
      </c>
      <c r="G186" t="s">
        <v>14</v>
      </c>
      <c r="H186">
        <v>15</v>
      </c>
      <c r="I186" t="s">
        <v>20</v>
      </c>
      <c r="J186">
        <v>4</v>
      </c>
      <c r="K186" t="s">
        <v>21</v>
      </c>
      <c r="L186" t="s">
        <v>17</v>
      </c>
    </row>
    <row r="187" spans="1:12" x14ac:dyDescent="0.25">
      <c r="A187">
        <v>186</v>
      </c>
      <c r="B187">
        <v>70</v>
      </c>
      <c r="C187" t="s">
        <v>26</v>
      </c>
      <c r="D187" s="1">
        <v>45417</v>
      </c>
      <c r="E187" s="1">
        <v>45422</v>
      </c>
      <c r="F187" t="s">
        <v>13</v>
      </c>
      <c r="G187" t="s">
        <v>14</v>
      </c>
      <c r="H187">
        <v>5</v>
      </c>
      <c r="I187" t="s">
        <v>15</v>
      </c>
      <c r="J187">
        <v>0</v>
      </c>
      <c r="K187" t="s">
        <v>21</v>
      </c>
      <c r="L187" t="s">
        <v>29</v>
      </c>
    </row>
    <row r="188" spans="1:12" x14ac:dyDescent="0.25">
      <c r="A188">
        <v>187</v>
      </c>
      <c r="B188">
        <v>42</v>
      </c>
      <c r="C188" t="s">
        <v>26</v>
      </c>
      <c r="D188" s="1">
        <v>45329</v>
      </c>
      <c r="E188" s="1">
        <v>45333</v>
      </c>
      <c r="F188" t="s">
        <v>13</v>
      </c>
      <c r="G188" t="s">
        <v>19</v>
      </c>
      <c r="H188">
        <v>4</v>
      </c>
      <c r="I188" t="s">
        <v>15</v>
      </c>
      <c r="J188">
        <v>0</v>
      </c>
      <c r="K188" t="s">
        <v>24</v>
      </c>
      <c r="L188" t="s">
        <v>25</v>
      </c>
    </row>
    <row r="189" spans="1:12" x14ac:dyDescent="0.25">
      <c r="A189">
        <v>188</v>
      </c>
      <c r="B189">
        <v>36</v>
      </c>
      <c r="C189" t="s">
        <v>26</v>
      </c>
      <c r="D189" s="1">
        <v>45595</v>
      </c>
      <c r="E189" s="1">
        <v>45599</v>
      </c>
      <c r="F189" t="s">
        <v>31</v>
      </c>
      <c r="G189" t="s">
        <v>19</v>
      </c>
      <c r="H189">
        <v>4</v>
      </c>
      <c r="I189" t="s">
        <v>20</v>
      </c>
      <c r="J189">
        <v>1</v>
      </c>
      <c r="K189" t="s">
        <v>16</v>
      </c>
      <c r="L189" t="s">
        <v>29</v>
      </c>
    </row>
    <row r="190" spans="1:12" x14ac:dyDescent="0.25">
      <c r="A190">
        <v>189</v>
      </c>
      <c r="B190">
        <v>50</v>
      </c>
      <c r="C190" t="s">
        <v>26</v>
      </c>
      <c r="D190" s="1">
        <v>45575</v>
      </c>
      <c r="E190" s="1">
        <v>45576</v>
      </c>
      <c r="F190" t="s">
        <v>18</v>
      </c>
      <c r="G190" t="s">
        <v>19</v>
      </c>
      <c r="H190">
        <v>1</v>
      </c>
      <c r="I190" t="s">
        <v>15</v>
      </c>
      <c r="J190">
        <v>1</v>
      </c>
      <c r="K190" t="s">
        <v>21</v>
      </c>
      <c r="L190" t="s">
        <v>25</v>
      </c>
    </row>
    <row r="191" spans="1:12" x14ac:dyDescent="0.25">
      <c r="A191">
        <v>190</v>
      </c>
      <c r="B191">
        <v>84</v>
      </c>
      <c r="C191" t="s">
        <v>26</v>
      </c>
      <c r="D191" s="1">
        <v>45571</v>
      </c>
      <c r="E191" s="1">
        <v>45574</v>
      </c>
      <c r="F191" t="s">
        <v>27</v>
      </c>
      <c r="G191" t="s">
        <v>14</v>
      </c>
      <c r="H191">
        <v>3</v>
      </c>
      <c r="I191" t="s">
        <v>20</v>
      </c>
      <c r="J191">
        <v>3</v>
      </c>
      <c r="K191" t="s">
        <v>21</v>
      </c>
      <c r="L191" t="s">
        <v>30</v>
      </c>
    </row>
    <row r="192" spans="1:12" x14ac:dyDescent="0.25">
      <c r="A192">
        <v>191</v>
      </c>
      <c r="B192">
        <v>68</v>
      </c>
      <c r="C192" t="s">
        <v>12</v>
      </c>
      <c r="D192" s="1">
        <v>45540</v>
      </c>
      <c r="E192" s="1">
        <v>45552</v>
      </c>
      <c r="F192" t="s">
        <v>13</v>
      </c>
      <c r="G192" t="s">
        <v>23</v>
      </c>
      <c r="H192">
        <v>12</v>
      </c>
      <c r="I192" t="s">
        <v>15</v>
      </c>
      <c r="J192">
        <v>2</v>
      </c>
      <c r="K192" t="s">
        <v>24</v>
      </c>
      <c r="L192" t="s">
        <v>29</v>
      </c>
    </row>
    <row r="193" spans="1:12" x14ac:dyDescent="0.25">
      <c r="A193">
        <v>192</v>
      </c>
      <c r="B193">
        <v>31</v>
      </c>
      <c r="C193" t="s">
        <v>26</v>
      </c>
      <c r="D193" s="1">
        <v>45304</v>
      </c>
      <c r="E193" s="1">
        <v>45311</v>
      </c>
      <c r="F193" t="s">
        <v>13</v>
      </c>
      <c r="G193" t="s">
        <v>23</v>
      </c>
      <c r="H193">
        <v>7</v>
      </c>
      <c r="I193" t="s">
        <v>15</v>
      </c>
      <c r="J193">
        <v>1</v>
      </c>
      <c r="K193" t="s">
        <v>21</v>
      </c>
      <c r="L193" t="s">
        <v>30</v>
      </c>
    </row>
    <row r="194" spans="1:12" x14ac:dyDescent="0.25">
      <c r="A194">
        <v>193</v>
      </c>
      <c r="B194">
        <v>53</v>
      </c>
      <c r="C194" t="s">
        <v>12</v>
      </c>
      <c r="D194" s="1">
        <v>45524</v>
      </c>
      <c r="E194" s="1">
        <v>45538</v>
      </c>
      <c r="F194" t="s">
        <v>18</v>
      </c>
      <c r="G194" t="s">
        <v>19</v>
      </c>
      <c r="H194">
        <v>14</v>
      </c>
      <c r="I194" t="s">
        <v>15</v>
      </c>
      <c r="J194">
        <v>0</v>
      </c>
      <c r="K194" t="s">
        <v>16</v>
      </c>
      <c r="L194" t="s">
        <v>17</v>
      </c>
    </row>
    <row r="195" spans="1:12" x14ac:dyDescent="0.25">
      <c r="A195">
        <v>194</v>
      </c>
      <c r="B195">
        <v>63</v>
      </c>
      <c r="C195" t="s">
        <v>12</v>
      </c>
      <c r="D195" s="1">
        <v>45568</v>
      </c>
      <c r="E195" s="1">
        <v>45579</v>
      </c>
      <c r="F195" t="s">
        <v>27</v>
      </c>
      <c r="G195" t="s">
        <v>14</v>
      </c>
      <c r="H195">
        <v>11</v>
      </c>
      <c r="I195" t="s">
        <v>20</v>
      </c>
      <c r="J195">
        <v>3</v>
      </c>
      <c r="K195" t="s">
        <v>24</v>
      </c>
      <c r="L195" t="s">
        <v>25</v>
      </c>
    </row>
    <row r="196" spans="1:12" x14ac:dyDescent="0.25">
      <c r="A196">
        <v>195</v>
      </c>
      <c r="B196">
        <v>45</v>
      </c>
      <c r="C196" t="s">
        <v>26</v>
      </c>
      <c r="D196" s="1">
        <v>45645</v>
      </c>
      <c r="E196" s="1">
        <v>45651</v>
      </c>
      <c r="F196" t="s">
        <v>18</v>
      </c>
      <c r="G196" t="s">
        <v>14</v>
      </c>
      <c r="H196">
        <v>6</v>
      </c>
      <c r="I196" t="s">
        <v>15</v>
      </c>
      <c r="J196">
        <v>0</v>
      </c>
      <c r="K196" t="s">
        <v>16</v>
      </c>
      <c r="L196" t="s">
        <v>30</v>
      </c>
    </row>
    <row r="197" spans="1:12" x14ac:dyDescent="0.25">
      <c r="A197">
        <v>196</v>
      </c>
      <c r="B197">
        <v>69</v>
      </c>
      <c r="C197" t="s">
        <v>26</v>
      </c>
      <c r="D197" s="1">
        <v>45632</v>
      </c>
      <c r="E197" s="1">
        <v>45645</v>
      </c>
      <c r="F197" t="s">
        <v>13</v>
      </c>
      <c r="G197" t="s">
        <v>14</v>
      </c>
      <c r="H197">
        <v>13</v>
      </c>
      <c r="I197" t="s">
        <v>15</v>
      </c>
      <c r="J197">
        <v>4</v>
      </c>
      <c r="K197" t="s">
        <v>16</v>
      </c>
      <c r="L197" t="s">
        <v>25</v>
      </c>
    </row>
    <row r="198" spans="1:12" x14ac:dyDescent="0.25">
      <c r="A198">
        <v>197</v>
      </c>
      <c r="B198">
        <v>39</v>
      </c>
      <c r="C198" t="s">
        <v>26</v>
      </c>
      <c r="D198" s="1">
        <v>45479</v>
      </c>
      <c r="E198" s="1">
        <v>45482</v>
      </c>
      <c r="F198" t="s">
        <v>28</v>
      </c>
      <c r="G198" t="s">
        <v>14</v>
      </c>
      <c r="H198">
        <v>3</v>
      </c>
      <c r="I198" t="s">
        <v>15</v>
      </c>
      <c r="J198">
        <v>4</v>
      </c>
      <c r="K198" t="s">
        <v>24</v>
      </c>
      <c r="L198" t="s">
        <v>30</v>
      </c>
    </row>
    <row r="199" spans="1:12" x14ac:dyDescent="0.25">
      <c r="A199">
        <v>198</v>
      </c>
      <c r="B199">
        <v>83</v>
      </c>
      <c r="C199" t="s">
        <v>12</v>
      </c>
      <c r="D199" s="1">
        <v>45359</v>
      </c>
      <c r="E199" s="1">
        <v>45372</v>
      </c>
      <c r="F199" t="s">
        <v>31</v>
      </c>
      <c r="G199" t="s">
        <v>23</v>
      </c>
      <c r="H199">
        <v>13</v>
      </c>
      <c r="I199" t="s">
        <v>15</v>
      </c>
      <c r="J199">
        <v>3</v>
      </c>
      <c r="K199" t="s">
        <v>24</v>
      </c>
      <c r="L199" t="s">
        <v>17</v>
      </c>
    </row>
    <row r="200" spans="1:12" x14ac:dyDescent="0.25">
      <c r="A200">
        <v>199</v>
      </c>
      <c r="B200">
        <v>51</v>
      </c>
      <c r="C200" t="s">
        <v>26</v>
      </c>
      <c r="D200" s="1">
        <v>45408</v>
      </c>
      <c r="E200" s="1">
        <v>45418</v>
      </c>
      <c r="F200" t="s">
        <v>27</v>
      </c>
      <c r="G200" t="s">
        <v>14</v>
      </c>
      <c r="H200">
        <v>10</v>
      </c>
      <c r="I200" t="s">
        <v>15</v>
      </c>
      <c r="J200">
        <v>0</v>
      </c>
      <c r="K200" t="s">
        <v>16</v>
      </c>
      <c r="L200" t="s">
        <v>22</v>
      </c>
    </row>
    <row r="201" spans="1:12" x14ac:dyDescent="0.25">
      <c r="A201">
        <v>200</v>
      </c>
      <c r="B201">
        <v>71</v>
      </c>
      <c r="C201" t="s">
        <v>26</v>
      </c>
      <c r="D201" s="1">
        <v>45520</v>
      </c>
      <c r="E201" s="1">
        <v>45530</v>
      </c>
      <c r="F201" t="s">
        <v>27</v>
      </c>
      <c r="G201" t="s">
        <v>14</v>
      </c>
      <c r="H201">
        <v>10</v>
      </c>
      <c r="I201" t="s">
        <v>15</v>
      </c>
      <c r="J201">
        <v>3</v>
      </c>
      <c r="K201" t="s">
        <v>21</v>
      </c>
      <c r="L201" t="s">
        <v>17</v>
      </c>
    </row>
    <row r="202" spans="1:12" x14ac:dyDescent="0.25">
      <c r="A202">
        <v>201</v>
      </c>
      <c r="B202">
        <v>52</v>
      </c>
      <c r="C202" t="s">
        <v>12</v>
      </c>
      <c r="D202" s="1">
        <v>45301</v>
      </c>
      <c r="E202" s="1">
        <v>45314</v>
      </c>
      <c r="F202" t="s">
        <v>28</v>
      </c>
      <c r="G202" t="s">
        <v>14</v>
      </c>
      <c r="H202">
        <v>13</v>
      </c>
      <c r="I202" t="s">
        <v>15</v>
      </c>
      <c r="J202">
        <v>4</v>
      </c>
      <c r="K202" t="s">
        <v>21</v>
      </c>
      <c r="L202" t="s">
        <v>17</v>
      </c>
    </row>
    <row r="203" spans="1:12" x14ac:dyDescent="0.25">
      <c r="A203">
        <v>202</v>
      </c>
      <c r="B203">
        <v>46</v>
      </c>
      <c r="C203" t="s">
        <v>12</v>
      </c>
      <c r="D203" s="1">
        <v>45304</v>
      </c>
      <c r="E203" s="1">
        <v>45317</v>
      </c>
      <c r="F203" t="s">
        <v>28</v>
      </c>
      <c r="G203" t="s">
        <v>19</v>
      </c>
      <c r="H203">
        <v>13</v>
      </c>
      <c r="I203" t="s">
        <v>15</v>
      </c>
      <c r="J203">
        <v>2</v>
      </c>
      <c r="K203" t="s">
        <v>21</v>
      </c>
      <c r="L203" t="s">
        <v>30</v>
      </c>
    </row>
    <row r="204" spans="1:12" x14ac:dyDescent="0.25">
      <c r="A204">
        <v>203</v>
      </c>
      <c r="B204">
        <v>74</v>
      </c>
      <c r="C204" t="s">
        <v>12</v>
      </c>
      <c r="D204" s="1">
        <v>45607</v>
      </c>
      <c r="E204" s="1">
        <v>45608</v>
      </c>
      <c r="F204" t="s">
        <v>31</v>
      </c>
      <c r="G204" t="s">
        <v>19</v>
      </c>
      <c r="H204">
        <v>1</v>
      </c>
      <c r="I204" t="s">
        <v>20</v>
      </c>
      <c r="J204">
        <v>3</v>
      </c>
      <c r="K204" t="s">
        <v>16</v>
      </c>
      <c r="L204" t="s">
        <v>30</v>
      </c>
    </row>
    <row r="205" spans="1:12" x14ac:dyDescent="0.25">
      <c r="A205">
        <v>204</v>
      </c>
      <c r="B205">
        <v>65</v>
      </c>
      <c r="C205" t="s">
        <v>12</v>
      </c>
      <c r="D205" s="1">
        <v>45499</v>
      </c>
      <c r="E205" s="1">
        <v>45514</v>
      </c>
      <c r="F205" t="s">
        <v>31</v>
      </c>
      <c r="G205" t="s">
        <v>19</v>
      </c>
      <c r="H205">
        <v>15</v>
      </c>
      <c r="I205" t="s">
        <v>20</v>
      </c>
      <c r="J205">
        <v>0</v>
      </c>
      <c r="K205" t="s">
        <v>16</v>
      </c>
      <c r="L205" t="s">
        <v>29</v>
      </c>
    </row>
    <row r="206" spans="1:12" x14ac:dyDescent="0.25">
      <c r="A206">
        <v>205</v>
      </c>
      <c r="B206">
        <v>29</v>
      </c>
      <c r="C206" t="s">
        <v>12</v>
      </c>
      <c r="D206" s="1">
        <v>45656</v>
      </c>
      <c r="E206" s="1">
        <v>45657</v>
      </c>
      <c r="F206" t="s">
        <v>31</v>
      </c>
      <c r="G206" t="s">
        <v>19</v>
      </c>
      <c r="H206">
        <v>1</v>
      </c>
      <c r="I206" t="s">
        <v>15</v>
      </c>
      <c r="J206">
        <v>3</v>
      </c>
      <c r="K206" t="s">
        <v>21</v>
      </c>
      <c r="L206" t="s">
        <v>30</v>
      </c>
    </row>
    <row r="207" spans="1:12" x14ac:dyDescent="0.25">
      <c r="A207">
        <v>206</v>
      </c>
      <c r="B207">
        <v>54</v>
      </c>
      <c r="C207" t="s">
        <v>12</v>
      </c>
      <c r="D207" s="1">
        <v>45475</v>
      </c>
      <c r="E207" s="1">
        <v>45476</v>
      </c>
      <c r="F207" t="s">
        <v>27</v>
      </c>
      <c r="G207" t="s">
        <v>19</v>
      </c>
      <c r="H207">
        <v>1</v>
      </c>
      <c r="I207" t="s">
        <v>15</v>
      </c>
      <c r="J207">
        <v>4</v>
      </c>
      <c r="K207" t="s">
        <v>24</v>
      </c>
      <c r="L207" t="s">
        <v>25</v>
      </c>
    </row>
    <row r="208" spans="1:12" x14ac:dyDescent="0.25">
      <c r="A208">
        <v>207</v>
      </c>
      <c r="B208">
        <v>81</v>
      </c>
      <c r="C208" t="s">
        <v>26</v>
      </c>
      <c r="D208" s="1">
        <v>45635</v>
      </c>
      <c r="E208" s="1">
        <v>45640</v>
      </c>
      <c r="F208" t="s">
        <v>18</v>
      </c>
      <c r="G208" t="s">
        <v>19</v>
      </c>
      <c r="H208">
        <v>5</v>
      </c>
      <c r="I208" t="s">
        <v>15</v>
      </c>
      <c r="J208">
        <v>2</v>
      </c>
      <c r="K208" t="s">
        <v>16</v>
      </c>
      <c r="L208" t="s">
        <v>29</v>
      </c>
    </row>
    <row r="209" spans="1:12" x14ac:dyDescent="0.25">
      <c r="A209">
        <v>208</v>
      </c>
      <c r="B209">
        <v>37</v>
      </c>
      <c r="C209" t="s">
        <v>12</v>
      </c>
      <c r="D209" s="1">
        <v>45576</v>
      </c>
      <c r="E209" s="1">
        <v>45578</v>
      </c>
      <c r="F209" t="s">
        <v>18</v>
      </c>
      <c r="G209" t="s">
        <v>23</v>
      </c>
      <c r="H209">
        <v>2</v>
      </c>
      <c r="I209" t="s">
        <v>20</v>
      </c>
      <c r="J209">
        <v>0</v>
      </c>
      <c r="K209" t="s">
        <v>16</v>
      </c>
      <c r="L209" t="s">
        <v>25</v>
      </c>
    </row>
    <row r="210" spans="1:12" x14ac:dyDescent="0.25">
      <c r="A210">
        <v>209</v>
      </c>
      <c r="B210">
        <v>52</v>
      </c>
      <c r="C210" t="s">
        <v>26</v>
      </c>
      <c r="D210" s="1">
        <v>45546</v>
      </c>
      <c r="E210" s="1">
        <v>45552</v>
      </c>
      <c r="F210" t="s">
        <v>18</v>
      </c>
      <c r="G210" t="s">
        <v>14</v>
      </c>
      <c r="H210">
        <v>6</v>
      </c>
      <c r="I210" t="s">
        <v>15</v>
      </c>
      <c r="J210">
        <v>1</v>
      </c>
      <c r="K210" t="s">
        <v>21</v>
      </c>
      <c r="L210" t="s">
        <v>30</v>
      </c>
    </row>
    <row r="211" spans="1:12" x14ac:dyDescent="0.25">
      <c r="A211">
        <v>210</v>
      </c>
      <c r="B211">
        <v>61</v>
      </c>
      <c r="C211" t="s">
        <v>12</v>
      </c>
      <c r="D211" s="1">
        <v>45365</v>
      </c>
      <c r="E211" s="1">
        <v>45371</v>
      </c>
      <c r="F211" t="s">
        <v>18</v>
      </c>
      <c r="G211" t="s">
        <v>14</v>
      </c>
      <c r="H211">
        <v>6</v>
      </c>
      <c r="I211" t="s">
        <v>15</v>
      </c>
      <c r="J211">
        <v>1</v>
      </c>
      <c r="K211" t="s">
        <v>24</v>
      </c>
      <c r="L211" t="s">
        <v>30</v>
      </c>
    </row>
    <row r="212" spans="1:12" x14ac:dyDescent="0.25">
      <c r="A212">
        <v>211</v>
      </c>
      <c r="B212">
        <v>63</v>
      </c>
      <c r="C212" t="s">
        <v>12</v>
      </c>
      <c r="D212" s="1">
        <v>45656</v>
      </c>
      <c r="E212" s="1">
        <v>45659</v>
      </c>
      <c r="F212" t="s">
        <v>13</v>
      </c>
      <c r="G212" t="s">
        <v>23</v>
      </c>
      <c r="H212">
        <v>3</v>
      </c>
      <c r="I212" t="s">
        <v>15</v>
      </c>
      <c r="J212">
        <v>4</v>
      </c>
      <c r="K212" t="s">
        <v>24</v>
      </c>
      <c r="L212" t="s">
        <v>22</v>
      </c>
    </row>
    <row r="213" spans="1:12" x14ac:dyDescent="0.25">
      <c r="A213">
        <v>212</v>
      </c>
      <c r="B213">
        <v>80</v>
      </c>
      <c r="C213" t="s">
        <v>26</v>
      </c>
      <c r="D213" s="1">
        <v>45399</v>
      </c>
      <c r="E213" s="1">
        <v>45409</v>
      </c>
      <c r="F213" t="s">
        <v>18</v>
      </c>
      <c r="G213" t="s">
        <v>14</v>
      </c>
      <c r="H213">
        <v>10</v>
      </c>
      <c r="I213" t="s">
        <v>20</v>
      </c>
      <c r="J213">
        <v>4</v>
      </c>
      <c r="K213" t="s">
        <v>21</v>
      </c>
      <c r="L213" t="s">
        <v>17</v>
      </c>
    </row>
    <row r="214" spans="1:12" x14ac:dyDescent="0.25">
      <c r="A214">
        <v>213</v>
      </c>
      <c r="B214">
        <v>90</v>
      </c>
      <c r="C214" t="s">
        <v>26</v>
      </c>
      <c r="D214" s="1">
        <v>45507</v>
      </c>
      <c r="E214" s="1">
        <v>45510</v>
      </c>
      <c r="F214" t="s">
        <v>27</v>
      </c>
      <c r="G214" t="s">
        <v>14</v>
      </c>
      <c r="H214">
        <v>3</v>
      </c>
      <c r="I214" t="s">
        <v>15</v>
      </c>
      <c r="J214">
        <v>3</v>
      </c>
      <c r="K214" t="s">
        <v>24</v>
      </c>
      <c r="L214" t="s">
        <v>22</v>
      </c>
    </row>
    <row r="215" spans="1:12" x14ac:dyDescent="0.25">
      <c r="A215">
        <v>214</v>
      </c>
      <c r="B215">
        <v>23</v>
      </c>
      <c r="C215" t="s">
        <v>26</v>
      </c>
      <c r="D215" s="1">
        <v>45653</v>
      </c>
      <c r="E215" s="1">
        <v>45659</v>
      </c>
      <c r="F215" t="s">
        <v>13</v>
      </c>
      <c r="G215" t="s">
        <v>19</v>
      </c>
      <c r="H215">
        <v>6</v>
      </c>
      <c r="I215" t="s">
        <v>20</v>
      </c>
      <c r="J215">
        <v>3</v>
      </c>
      <c r="K215" t="s">
        <v>21</v>
      </c>
      <c r="L215" t="s">
        <v>17</v>
      </c>
    </row>
    <row r="216" spans="1:12" x14ac:dyDescent="0.25">
      <c r="A216">
        <v>215</v>
      </c>
      <c r="B216">
        <v>84</v>
      </c>
      <c r="C216" t="s">
        <v>26</v>
      </c>
      <c r="D216" s="1">
        <v>45381</v>
      </c>
      <c r="E216" s="1">
        <v>45391</v>
      </c>
      <c r="F216" t="s">
        <v>28</v>
      </c>
      <c r="G216" t="s">
        <v>23</v>
      </c>
      <c r="H216">
        <v>10</v>
      </c>
      <c r="I216" t="s">
        <v>15</v>
      </c>
      <c r="J216">
        <v>3</v>
      </c>
      <c r="K216" t="s">
        <v>24</v>
      </c>
      <c r="L216" t="s">
        <v>30</v>
      </c>
    </row>
    <row r="217" spans="1:12" x14ac:dyDescent="0.25">
      <c r="A217">
        <v>216</v>
      </c>
      <c r="B217">
        <v>59</v>
      </c>
      <c r="C217" t="s">
        <v>12</v>
      </c>
      <c r="D217" s="1">
        <v>45427</v>
      </c>
      <c r="E217" s="1">
        <v>45430</v>
      </c>
      <c r="F217" t="s">
        <v>27</v>
      </c>
      <c r="G217" t="s">
        <v>14</v>
      </c>
      <c r="H217">
        <v>3</v>
      </c>
      <c r="I217" t="s">
        <v>20</v>
      </c>
      <c r="J217">
        <v>1</v>
      </c>
      <c r="K217" t="s">
        <v>21</v>
      </c>
      <c r="L217" t="s">
        <v>29</v>
      </c>
    </row>
    <row r="218" spans="1:12" x14ac:dyDescent="0.25">
      <c r="A218">
        <v>217</v>
      </c>
      <c r="B218">
        <v>55</v>
      </c>
      <c r="C218" t="s">
        <v>26</v>
      </c>
      <c r="D218" s="1">
        <v>45485</v>
      </c>
      <c r="E218" s="1">
        <v>45493</v>
      </c>
      <c r="F218" t="s">
        <v>13</v>
      </c>
      <c r="G218" t="s">
        <v>23</v>
      </c>
      <c r="H218">
        <v>8</v>
      </c>
      <c r="I218" t="s">
        <v>15</v>
      </c>
      <c r="J218">
        <v>3</v>
      </c>
      <c r="K218" t="s">
        <v>21</v>
      </c>
      <c r="L218" t="s">
        <v>29</v>
      </c>
    </row>
    <row r="219" spans="1:12" x14ac:dyDescent="0.25">
      <c r="A219">
        <v>218</v>
      </c>
      <c r="B219">
        <v>37</v>
      </c>
      <c r="C219" t="s">
        <v>12</v>
      </c>
      <c r="D219" s="1">
        <v>45345</v>
      </c>
      <c r="E219" s="1">
        <v>45348</v>
      </c>
      <c r="F219" t="s">
        <v>28</v>
      </c>
      <c r="G219" t="s">
        <v>19</v>
      </c>
      <c r="H219">
        <v>3</v>
      </c>
      <c r="I219" t="s">
        <v>15</v>
      </c>
      <c r="J219">
        <v>1</v>
      </c>
      <c r="K219" t="s">
        <v>16</v>
      </c>
      <c r="L219" t="s">
        <v>29</v>
      </c>
    </row>
    <row r="220" spans="1:12" x14ac:dyDescent="0.25">
      <c r="A220">
        <v>219</v>
      </c>
      <c r="B220">
        <v>25</v>
      </c>
      <c r="C220" t="s">
        <v>26</v>
      </c>
      <c r="D220" s="1">
        <v>45529</v>
      </c>
      <c r="E220" s="1">
        <v>45540</v>
      </c>
      <c r="F220" t="s">
        <v>31</v>
      </c>
      <c r="G220" t="s">
        <v>14</v>
      </c>
      <c r="H220">
        <v>11</v>
      </c>
      <c r="I220" t="s">
        <v>15</v>
      </c>
      <c r="J220">
        <v>2</v>
      </c>
      <c r="K220" t="s">
        <v>16</v>
      </c>
      <c r="L220" t="s">
        <v>29</v>
      </c>
    </row>
    <row r="221" spans="1:12" x14ac:dyDescent="0.25">
      <c r="A221">
        <v>220</v>
      </c>
      <c r="B221">
        <v>26</v>
      </c>
      <c r="C221" t="s">
        <v>12</v>
      </c>
      <c r="D221" s="1">
        <v>45398</v>
      </c>
      <c r="E221" s="1">
        <v>45401</v>
      </c>
      <c r="F221" t="s">
        <v>27</v>
      </c>
      <c r="G221" t="s">
        <v>19</v>
      </c>
      <c r="H221">
        <v>3</v>
      </c>
      <c r="I221" t="s">
        <v>15</v>
      </c>
      <c r="J221">
        <v>4</v>
      </c>
      <c r="K221" t="s">
        <v>16</v>
      </c>
      <c r="L221" t="s">
        <v>25</v>
      </c>
    </row>
    <row r="222" spans="1:12" x14ac:dyDescent="0.25">
      <c r="A222">
        <v>221</v>
      </c>
      <c r="B222">
        <v>83</v>
      </c>
      <c r="C222" t="s">
        <v>26</v>
      </c>
      <c r="D222" s="1">
        <v>45409</v>
      </c>
      <c r="E222" s="1">
        <v>45418</v>
      </c>
      <c r="F222" t="s">
        <v>18</v>
      </c>
      <c r="G222" t="s">
        <v>19</v>
      </c>
      <c r="H222">
        <v>9</v>
      </c>
      <c r="I222" t="s">
        <v>20</v>
      </c>
      <c r="J222">
        <v>4</v>
      </c>
      <c r="K222" t="s">
        <v>21</v>
      </c>
      <c r="L222" t="s">
        <v>25</v>
      </c>
    </row>
    <row r="223" spans="1:12" x14ac:dyDescent="0.25">
      <c r="A223">
        <v>222</v>
      </c>
      <c r="B223">
        <v>77</v>
      </c>
      <c r="C223" t="s">
        <v>26</v>
      </c>
      <c r="D223" s="1">
        <v>45343</v>
      </c>
      <c r="E223" s="1">
        <v>45348</v>
      </c>
      <c r="F223" t="s">
        <v>28</v>
      </c>
      <c r="G223" t="s">
        <v>23</v>
      </c>
      <c r="H223">
        <v>5</v>
      </c>
      <c r="I223" t="s">
        <v>15</v>
      </c>
      <c r="J223">
        <v>4</v>
      </c>
      <c r="K223" t="s">
        <v>16</v>
      </c>
      <c r="L223" t="s">
        <v>22</v>
      </c>
    </row>
    <row r="224" spans="1:12" x14ac:dyDescent="0.25">
      <c r="A224">
        <v>223</v>
      </c>
      <c r="B224">
        <v>68</v>
      </c>
      <c r="C224" t="s">
        <v>26</v>
      </c>
      <c r="D224" s="1">
        <v>45436</v>
      </c>
      <c r="E224" s="1">
        <v>45449</v>
      </c>
      <c r="F224" t="s">
        <v>18</v>
      </c>
      <c r="G224" t="s">
        <v>23</v>
      </c>
      <c r="H224">
        <v>13</v>
      </c>
      <c r="I224" t="s">
        <v>15</v>
      </c>
      <c r="J224">
        <v>0</v>
      </c>
      <c r="K224" t="s">
        <v>16</v>
      </c>
      <c r="L224" t="s">
        <v>25</v>
      </c>
    </row>
    <row r="225" spans="1:12" x14ac:dyDescent="0.25">
      <c r="A225">
        <v>224</v>
      </c>
      <c r="B225">
        <v>43</v>
      </c>
      <c r="C225" t="s">
        <v>26</v>
      </c>
      <c r="D225" s="1">
        <v>45419</v>
      </c>
      <c r="E225" s="1">
        <v>45433</v>
      </c>
      <c r="F225" t="s">
        <v>31</v>
      </c>
      <c r="G225" t="s">
        <v>23</v>
      </c>
      <c r="H225">
        <v>14</v>
      </c>
      <c r="I225" t="s">
        <v>15</v>
      </c>
      <c r="J225">
        <v>4</v>
      </c>
      <c r="K225" t="s">
        <v>21</v>
      </c>
      <c r="L225" t="s">
        <v>29</v>
      </c>
    </row>
    <row r="226" spans="1:12" x14ac:dyDescent="0.25">
      <c r="A226">
        <v>225</v>
      </c>
      <c r="B226">
        <v>65</v>
      </c>
      <c r="C226" t="s">
        <v>12</v>
      </c>
      <c r="D226" s="1">
        <v>45383</v>
      </c>
      <c r="E226" s="1">
        <v>45389</v>
      </c>
      <c r="F226" t="s">
        <v>27</v>
      </c>
      <c r="G226" t="s">
        <v>14</v>
      </c>
      <c r="H226">
        <v>6</v>
      </c>
      <c r="I226" t="s">
        <v>15</v>
      </c>
      <c r="J226">
        <v>3</v>
      </c>
      <c r="K226" t="s">
        <v>16</v>
      </c>
      <c r="L226" t="s">
        <v>25</v>
      </c>
    </row>
    <row r="227" spans="1:12" x14ac:dyDescent="0.25">
      <c r="A227">
        <v>226</v>
      </c>
      <c r="B227">
        <v>65</v>
      </c>
      <c r="C227" t="s">
        <v>12</v>
      </c>
      <c r="D227" s="1">
        <v>45353</v>
      </c>
      <c r="E227" s="1">
        <v>45360</v>
      </c>
      <c r="F227" t="s">
        <v>13</v>
      </c>
      <c r="G227" t="s">
        <v>23</v>
      </c>
      <c r="H227">
        <v>7</v>
      </c>
      <c r="I227" t="s">
        <v>15</v>
      </c>
      <c r="J227">
        <v>0</v>
      </c>
      <c r="K227" t="s">
        <v>16</v>
      </c>
      <c r="L227" t="s">
        <v>22</v>
      </c>
    </row>
    <row r="228" spans="1:12" x14ac:dyDescent="0.25">
      <c r="A228">
        <v>227</v>
      </c>
      <c r="B228">
        <v>43</v>
      </c>
      <c r="C228" t="s">
        <v>12</v>
      </c>
      <c r="D228" s="1">
        <v>45445</v>
      </c>
      <c r="E228" s="1">
        <v>45449</v>
      </c>
      <c r="F228" t="s">
        <v>27</v>
      </c>
      <c r="G228" t="s">
        <v>14</v>
      </c>
      <c r="H228">
        <v>4</v>
      </c>
      <c r="I228" t="s">
        <v>20</v>
      </c>
      <c r="J228">
        <v>2</v>
      </c>
      <c r="K228" t="s">
        <v>21</v>
      </c>
      <c r="L228" t="s">
        <v>29</v>
      </c>
    </row>
    <row r="229" spans="1:12" x14ac:dyDescent="0.25">
      <c r="A229">
        <v>228</v>
      </c>
      <c r="B229">
        <v>68</v>
      </c>
      <c r="C229" t="s">
        <v>26</v>
      </c>
      <c r="D229" s="1">
        <v>45500</v>
      </c>
      <c r="E229" s="1">
        <v>45512</v>
      </c>
      <c r="F229" t="s">
        <v>28</v>
      </c>
      <c r="G229" t="s">
        <v>14</v>
      </c>
      <c r="H229">
        <v>12</v>
      </c>
      <c r="I229" t="s">
        <v>15</v>
      </c>
      <c r="J229">
        <v>4</v>
      </c>
      <c r="K229" t="s">
        <v>16</v>
      </c>
      <c r="L229" t="s">
        <v>30</v>
      </c>
    </row>
    <row r="230" spans="1:12" x14ac:dyDescent="0.25">
      <c r="A230">
        <v>229</v>
      </c>
      <c r="B230">
        <v>71</v>
      </c>
      <c r="C230" t="s">
        <v>26</v>
      </c>
      <c r="D230" s="1">
        <v>45483</v>
      </c>
      <c r="E230" s="1">
        <v>45496</v>
      </c>
      <c r="F230" t="s">
        <v>27</v>
      </c>
      <c r="G230" t="s">
        <v>23</v>
      </c>
      <c r="H230">
        <v>13</v>
      </c>
      <c r="I230" t="s">
        <v>15</v>
      </c>
      <c r="J230">
        <v>3</v>
      </c>
      <c r="K230" t="s">
        <v>21</v>
      </c>
      <c r="L230" t="s">
        <v>17</v>
      </c>
    </row>
    <row r="231" spans="1:12" x14ac:dyDescent="0.25">
      <c r="A231">
        <v>230</v>
      </c>
      <c r="B231">
        <v>65</v>
      </c>
      <c r="C231" t="s">
        <v>12</v>
      </c>
      <c r="D231" s="1">
        <v>45534</v>
      </c>
      <c r="E231" s="1">
        <v>45536</v>
      </c>
      <c r="F231" t="s">
        <v>18</v>
      </c>
      <c r="G231" t="s">
        <v>14</v>
      </c>
      <c r="H231">
        <v>2</v>
      </c>
      <c r="I231" t="s">
        <v>15</v>
      </c>
      <c r="J231">
        <v>3</v>
      </c>
      <c r="K231" t="s">
        <v>16</v>
      </c>
      <c r="L231" t="s">
        <v>17</v>
      </c>
    </row>
    <row r="232" spans="1:12" x14ac:dyDescent="0.25">
      <c r="A232">
        <v>231</v>
      </c>
      <c r="B232">
        <v>44</v>
      </c>
      <c r="C232" t="s">
        <v>26</v>
      </c>
      <c r="D232" s="1">
        <v>45295</v>
      </c>
      <c r="E232" s="1">
        <v>45301</v>
      </c>
      <c r="F232" t="s">
        <v>28</v>
      </c>
      <c r="G232" t="s">
        <v>23</v>
      </c>
      <c r="H232">
        <v>6</v>
      </c>
      <c r="I232" t="s">
        <v>15</v>
      </c>
      <c r="J232">
        <v>1</v>
      </c>
      <c r="K232" t="s">
        <v>21</v>
      </c>
      <c r="L232" t="s">
        <v>30</v>
      </c>
    </row>
    <row r="233" spans="1:12" x14ac:dyDescent="0.25">
      <c r="A233">
        <v>232</v>
      </c>
      <c r="B233">
        <v>23</v>
      </c>
      <c r="C233" t="s">
        <v>12</v>
      </c>
      <c r="D233" s="1">
        <v>45292</v>
      </c>
      <c r="E233" s="1">
        <v>45300</v>
      </c>
      <c r="F233" t="s">
        <v>18</v>
      </c>
      <c r="G233" t="s">
        <v>14</v>
      </c>
      <c r="H233">
        <v>8</v>
      </c>
      <c r="I233" t="s">
        <v>15</v>
      </c>
      <c r="J233">
        <v>2</v>
      </c>
      <c r="K233" t="s">
        <v>16</v>
      </c>
      <c r="L233" t="s">
        <v>30</v>
      </c>
    </row>
    <row r="234" spans="1:12" x14ac:dyDescent="0.25">
      <c r="A234">
        <v>233</v>
      </c>
      <c r="B234">
        <v>69</v>
      </c>
      <c r="C234" t="s">
        <v>26</v>
      </c>
      <c r="D234" s="1">
        <v>45582</v>
      </c>
      <c r="E234" s="1">
        <v>45588</v>
      </c>
      <c r="F234" t="s">
        <v>31</v>
      </c>
      <c r="G234" t="s">
        <v>19</v>
      </c>
      <c r="H234">
        <v>6</v>
      </c>
      <c r="I234" t="s">
        <v>15</v>
      </c>
      <c r="J234">
        <v>4</v>
      </c>
      <c r="K234" t="s">
        <v>24</v>
      </c>
      <c r="L234" t="s">
        <v>30</v>
      </c>
    </row>
    <row r="235" spans="1:12" x14ac:dyDescent="0.25">
      <c r="A235">
        <v>234</v>
      </c>
      <c r="B235">
        <v>22</v>
      </c>
      <c r="C235" t="s">
        <v>12</v>
      </c>
      <c r="D235" s="1">
        <v>45433</v>
      </c>
      <c r="E235" s="1">
        <v>45434</v>
      </c>
      <c r="F235" t="s">
        <v>27</v>
      </c>
      <c r="G235" t="s">
        <v>19</v>
      </c>
      <c r="H235">
        <v>1</v>
      </c>
      <c r="I235" t="s">
        <v>15</v>
      </c>
      <c r="J235">
        <v>1</v>
      </c>
      <c r="K235" t="s">
        <v>24</v>
      </c>
      <c r="L235" t="s">
        <v>22</v>
      </c>
    </row>
    <row r="236" spans="1:12" x14ac:dyDescent="0.25">
      <c r="A236">
        <v>235</v>
      </c>
      <c r="B236">
        <v>57</v>
      </c>
      <c r="C236" t="s">
        <v>26</v>
      </c>
      <c r="D236" s="1">
        <v>45458</v>
      </c>
      <c r="E236" s="1">
        <v>45471</v>
      </c>
      <c r="F236" t="s">
        <v>28</v>
      </c>
      <c r="G236" t="s">
        <v>14</v>
      </c>
      <c r="H236">
        <v>13</v>
      </c>
      <c r="I236" t="s">
        <v>15</v>
      </c>
      <c r="J236">
        <v>4</v>
      </c>
      <c r="K236" t="s">
        <v>24</v>
      </c>
      <c r="L236" t="s">
        <v>30</v>
      </c>
    </row>
    <row r="237" spans="1:12" x14ac:dyDescent="0.25">
      <c r="A237">
        <v>236</v>
      </c>
      <c r="B237">
        <v>87</v>
      </c>
      <c r="C237" t="s">
        <v>12</v>
      </c>
      <c r="D237" s="1">
        <v>45334</v>
      </c>
      <c r="E237" s="1">
        <v>45348</v>
      </c>
      <c r="F237" t="s">
        <v>18</v>
      </c>
      <c r="G237" t="s">
        <v>19</v>
      </c>
      <c r="H237">
        <v>14</v>
      </c>
      <c r="I237" t="s">
        <v>20</v>
      </c>
      <c r="J237">
        <v>3</v>
      </c>
      <c r="K237" t="s">
        <v>21</v>
      </c>
      <c r="L237" t="s">
        <v>17</v>
      </c>
    </row>
    <row r="238" spans="1:12" x14ac:dyDescent="0.25">
      <c r="A238">
        <v>237</v>
      </c>
      <c r="B238">
        <v>88</v>
      </c>
      <c r="C238" t="s">
        <v>26</v>
      </c>
      <c r="D238" s="1">
        <v>45631</v>
      </c>
      <c r="E238" s="1">
        <v>45645</v>
      </c>
      <c r="F238" t="s">
        <v>28</v>
      </c>
      <c r="G238" t="s">
        <v>19</v>
      </c>
      <c r="H238">
        <v>14</v>
      </c>
      <c r="I238" t="s">
        <v>20</v>
      </c>
      <c r="J238">
        <v>2</v>
      </c>
      <c r="K238" t="s">
        <v>24</v>
      </c>
      <c r="L238" t="s">
        <v>25</v>
      </c>
    </row>
    <row r="239" spans="1:12" x14ac:dyDescent="0.25">
      <c r="A239">
        <v>238</v>
      </c>
      <c r="B239">
        <v>68</v>
      </c>
      <c r="C239" t="s">
        <v>12</v>
      </c>
      <c r="D239" s="1">
        <v>45295</v>
      </c>
      <c r="E239" s="1">
        <v>45309</v>
      </c>
      <c r="F239" t="s">
        <v>27</v>
      </c>
      <c r="G239" t="s">
        <v>19</v>
      </c>
      <c r="H239">
        <v>14</v>
      </c>
      <c r="I239" t="s">
        <v>15</v>
      </c>
      <c r="J239">
        <v>4</v>
      </c>
      <c r="K239" t="s">
        <v>24</v>
      </c>
      <c r="L239" t="s">
        <v>30</v>
      </c>
    </row>
    <row r="240" spans="1:12" x14ac:dyDescent="0.25">
      <c r="A240">
        <v>239</v>
      </c>
      <c r="B240">
        <v>36</v>
      </c>
      <c r="C240" t="s">
        <v>12</v>
      </c>
      <c r="D240" s="1">
        <v>45526</v>
      </c>
      <c r="E240" s="1">
        <v>45534</v>
      </c>
      <c r="F240" t="s">
        <v>27</v>
      </c>
      <c r="G240" t="s">
        <v>19</v>
      </c>
      <c r="H240">
        <v>8</v>
      </c>
      <c r="I240" t="s">
        <v>15</v>
      </c>
      <c r="J240">
        <v>2</v>
      </c>
      <c r="K240" t="s">
        <v>21</v>
      </c>
      <c r="L240" t="s">
        <v>22</v>
      </c>
    </row>
    <row r="241" spans="1:12" x14ac:dyDescent="0.25">
      <c r="A241">
        <v>240</v>
      </c>
      <c r="B241">
        <v>34</v>
      </c>
      <c r="C241" t="s">
        <v>26</v>
      </c>
      <c r="D241" s="1">
        <v>45498</v>
      </c>
      <c r="E241" s="1">
        <v>45511</v>
      </c>
      <c r="F241" t="s">
        <v>28</v>
      </c>
      <c r="G241" t="s">
        <v>23</v>
      </c>
      <c r="H241">
        <v>13</v>
      </c>
      <c r="I241" t="s">
        <v>15</v>
      </c>
      <c r="J241">
        <v>2</v>
      </c>
      <c r="K241" t="s">
        <v>21</v>
      </c>
      <c r="L241" t="s">
        <v>29</v>
      </c>
    </row>
    <row r="242" spans="1:12" x14ac:dyDescent="0.25">
      <c r="A242">
        <v>241</v>
      </c>
      <c r="B242">
        <v>55</v>
      </c>
      <c r="C242" t="s">
        <v>26</v>
      </c>
      <c r="D242" s="1">
        <v>45399</v>
      </c>
      <c r="E242" s="1">
        <v>45412</v>
      </c>
      <c r="F242" t="s">
        <v>27</v>
      </c>
      <c r="G242" t="s">
        <v>23</v>
      </c>
      <c r="H242">
        <v>13</v>
      </c>
      <c r="I242" t="s">
        <v>15</v>
      </c>
      <c r="J242">
        <v>3</v>
      </c>
      <c r="K242" t="s">
        <v>16</v>
      </c>
      <c r="L242" t="s">
        <v>30</v>
      </c>
    </row>
    <row r="243" spans="1:12" x14ac:dyDescent="0.25">
      <c r="A243">
        <v>242</v>
      </c>
      <c r="B243">
        <v>80</v>
      </c>
      <c r="C243" t="s">
        <v>12</v>
      </c>
      <c r="D243" s="1">
        <v>45315</v>
      </c>
      <c r="E243" s="1">
        <v>45317</v>
      </c>
      <c r="F243" t="s">
        <v>13</v>
      </c>
      <c r="G243" t="s">
        <v>19</v>
      </c>
      <c r="H243">
        <v>2</v>
      </c>
      <c r="I243" t="s">
        <v>15</v>
      </c>
      <c r="J243">
        <v>3</v>
      </c>
      <c r="K243" t="s">
        <v>21</v>
      </c>
      <c r="L243" t="s">
        <v>30</v>
      </c>
    </row>
    <row r="244" spans="1:12" x14ac:dyDescent="0.25">
      <c r="A244">
        <v>243</v>
      </c>
      <c r="B244">
        <v>28</v>
      </c>
      <c r="C244" t="s">
        <v>26</v>
      </c>
      <c r="D244" s="1">
        <v>45378</v>
      </c>
      <c r="E244" s="1">
        <v>45384</v>
      </c>
      <c r="F244" t="s">
        <v>28</v>
      </c>
      <c r="G244" t="s">
        <v>14</v>
      </c>
      <c r="H244">
        <v>6</v>
      </c>
      <c r="I244" t="s">
        <v>20</v>
      </c>
      <c r="J244">
        <v>0</v>
      </c>
      <c r="K244" t="s">
        <v>24</v>
      </c>
      <c r="L244" t="s">
        <v>17</v>
      </c>
    </row>
    <row r="245" spans="1:12" x14ac:dyDescent="0.25">
      <c r="A245">
        <v>244</v>
      </c>
      <c r="B245">
        <v>90</v>
      </c>
      <c r="C245" t="s">
        <v>26</v>
      </c>
      <c r="D245" s="1">
        <v>45430</v>
      </c>
      <c r="E245" s="1">
        <v>45441</v>
      </c>
      <c r="F245" t="s">
        <v>28</v>
      </c>
      <c r="G245" t="s">
        <v>19</v>
      </c>
      <c r="H245">
        <v>11</v>
      </c>
      <c r="I245" t="s">
        <v>20</v>
      </c>
      <c r="J245">
        <v>3</v>
      </c>
      <c r="K245" t="s">
        <v>24</v>
      </c>
      <c r="L245" t="s">
        <v>29</v>
      </c>
    </row>
    <row r="246" spans="1:12" x14ac:dyDescent="0.25">
      <c r="A246">
        <v>245</v>
      </c>
      <c r="B246">
        <v>75</v>
      </c>
      <c r="C246" t="s">
        <v>26</v>
      </c>
      <c r="D246" s="1">
        <v>45468</v>
      </c>
      <c r="E246" s="1">
        <v>45480</v>
      </c>
      <c r="F246" t="s">
        <v>31</v>
      </c>
      <c r="G246" t="s">
        <v>14</v>
      </c>
      <c r="H246">
        <v>12</v>
      </c>
      <c r="I246" t="s">
        <v>15</v>
      </c>
      <c r="J246">
        <v>0</v>
      </c>
      <c r="K246" t="s">
        <v>24</v>
      </c>
      <c r="L246" t="s">
        <v>30</v>
      </c>
    </row>
    <row r="247" spans="1:12" x14ac:dyDescent="0.25">
      <c r="A247">
        <v>246</v>
      </c>
      <c r="B247">
        <v>50</v>
      </c>
      <c r="C247" t="s">
        <v>26</v>
      </c>
      <c r="D247" s="1">
        <v>45472</v>
      </c>
      <c r="E247" s="1">
        <v>45479</v>
      </c>
      <c r="F247" t="s">
        <v>31</v>
      </c>
      <c r="G247" t="s">
        <v>14</v>
      </c>
      <c r="H247">
        <v>7</v>
      </c>
      <c r="I247" t="s">
        <v>15</v>
      </c>
      <c r="J247">
        <v>3</v>
      </c>
      <c r="K247" t="s">
        <v>21</v>
      </c>
      <c r="L247" t="s">
        <v>25</v>
      </c>
    </row>
    <row r="248" spans="1:12" x14ac:dyDescent="0.25">
      <c r="A248">
        <v>247</v>
      </c>
      <c r="B248">
        <v>79</v>
      </c>
      <c r="C248" t="s">
        <v>26</v>
      </c>
      <c r="D248" s="1">
        <v>45353</v>
      </c>
      <c r="E248" s="1">
        <v>45365</v>
      </c>
      <c r="F248" t="s">
        <v>18</v>
      </c>
      <c r="G248" t="s">
        <v>14</v>
      </c>
      <c r="H248">
        <v>12</v>
      </c>
      <c r="I248" t="s">
        <v>20</v>
      </c>
      <c r="J248">
        <v>3</v>
      </c>
      <c r="K248" t="s">
        <v>16</v>
      </c>
      <c r="L248" t="s">
        <v>17</v>
      </c>
    </row>
    <row r="249" spans="1:12" x14ac:dyDescent="0.25">
      <c r="A249">
        <v>248</v>
      </c>
      <c r="B249">
        <v>39</v>
      </c>
      <c r="C249" t="s">
        <v>12</v>
      </c>
      <c r="D249" s="1">
        <v>45331</v>
      </c>
      <c r="E249" s="1">
        <v>45333</v>
      </c>
      <c r="F249" t="s">
        <v>28</v>
      </c>
      <c r="G249" t="s">
        <v>19</v>
      </c>
      <c r="H249">
        <v>2</v>
      </c>
      <c r="I249" t="s">
        <v>15</v>
      </c>
      <c r="J249">
        <v>1</v>
      </c>
      <c r="K249" t="s">
        <v>21</v>
      </c>
      <c r="L249" t="s">
        <v>30</v>
      </c>
    </row>
    <row r="250" spans="1:12" x14ac:dyDescent="0.25">
      <c r="A250">
        <v>249</v>
      </c>
      <c r="B250">
        <v>73</v>
      </c>
      <c r="C250" t="s">
        <v>12</v>
      </c>
      <c r="D250" s="1">
        <v>45472</v>
      </c>
      <c r="E250" s="1">
        <v>45484</v>
      </c>
      <c r="F250" t="s">
        <v>18</v>
      </c>
      <c r="G250" t="s">
        <v>14</v>
      </c>
      <c r="H250">
        <v>12</v>
      </c>
      <c r="I250" t="s">
        <v>15</v>
      </c>
      <c r="J250">
        <v>1</v>
      </c>
      <c r="K250" t="s">
        <v>16</v>
      </c>
      <c r="L250" t="s">
        <v>22</v>
      </c>
    </row>
    <row r="251" spans="1:12" x14ac:dyDescent="0.25">
      <c r="A251">
        <v>250</v>
      </c>
      <c r="B251">
        <v>63</v>
      </c>
      <c r="C251" t="s">
        <v>12</v>
      </c>
      <c r="D251" s="1">
        <v>45515</v>
      </c>
      <c r="E251" s="1">
        <v>45530</v>
      </c>
      <c r="F251" t="s">
        <v>18</v>
      </c>
      <c r="G251" t="s">
        <v>14</v>
      </c>
      <c r="H251">
        <v>15</v>
      </c>
      <c r="I251" t="s">
        <v>15</v>
      </c>
      <c r="J251">
        <v>3</v>
      </c>
      <c r="K251" t="s">
        <v>16</v>
      </c>
      <c r="L251" t="s">
        <v>30</v>
      </c>
    </row>
    <row r="252" spans="1:12" x14ac:dyDescent="0.25">
      <c r="A252">
        <v>251</v>
      </c>
      <c r="B252">
        <v>68</v>
      </c>
      <c r="C252" t="s">
        <v>26</v>
      </c>
      <c r="D252" s="1">
        <v>45423</v>
      </c>
      <c r="E252" s="1">
        <v>45433</v>
      </c>
      <c r="F252" t="s">
        <v>27</v>
      </c>
      <c r="G252" t="s">
        <v>23</v>
      </c>
      <c r="H252">
        <v>10</v>
      </c>
      <c r="I252" t="s">
        <v>15</v>
      </c>
      <c r="J252">
        <v>1</v>
      </c>
      <c r="K252" t="s">
        <v>21</v>
      </c>
      <c r="L252" t="s">
        <v>29</v>
      </c>
    </row>
    <row r="253" spans="1:12" x14ac:dyDescent="0.25">
      <c r="A253">
        <v>252</v>
      </c>
      <c r="B253">
        <v>28</v>
      </c>
      <c r="C253" t="s">
        <v>12</v>
      </c>
      <c r="D253" s="1">
        <v>45376</v>
      </c>
      <c r="E253" s="1">
        <v>45377</v>
      </c>
      <c r="F253" t="s">
        <v>13</v>
      </c>
      <c r="G253" t="s">
        <v>19</v>
      </c>
      <c r="H253">
        <v>1</v>
      </c>
      <c r="I253" t="s">
        <v>20</v>
      </c>
      <c r="J253">
        <v>4</v>
      </c>
      <c r="K253" t="s">
        <v>21</v>
      </c>
      <c r="L253" t="s">
        <v>22</v>
      </c>
    </row>
    <row r="254" spans="1:12" x14ac:dyDescent="0.25">
      <c r="A254">
        <v>253</v>
      </c>
      <c r="B254">
        <v>85</v>
      </c>
      <c r="C254" t="s">
        <v>26</v>
      </c>
      <c r="D254" s="1">
        <v>45575</v>
      </c>
      <c r="E254" s="1">
        <v>45584</v>
      </c>
      <c r="F254" t="s">
        <v>28</v>
      </c>
      <c r="G254" t="s">
        <v>19</v>
      </c>
      <c r="H254">
        <v>9</v>
      </c>
      <c r="I254" t="s">
        <v>15</v>
      </c>
      <c r="J254">
        <v>1</v>
      </c>
      <c r="K254" t="s">
        <v>24</v>
      </c>
      <c r="L254" t="s">
        <v>17</v>
      </c>
    </row>
    <row r="255" spans="1:12" x14ac:dyDescent="0.25">
      <c r="A255">
        <v>254</v>
      </c>
      <c r="B255">
        <v>56</v>
      </c>
      <c r="C255" t="s">
        <v>26</v>
      </c>
      <c r="D255" s="1">
        <v>45316</v>
      </c>
      <c r="E255" s="1">
        <v>45327</v>
      </c>
      <c r="F255" t="s">
        <v>13</v>
      </c>
      <c r="G255" t="s">
        <v>14</v>
      </c>
      <c r="H255">
        <v>11</v>
      </c>
      <c r="I255" t="s">
        <v>15</v>
      </c>
      <c r="J255">
        <v>1</v>
      </c>
      <c r="K255" t="s">
        <v>21</v>
      </c>
      <c r="L255" t="s">
        <v>22</v>
      </c>
    </row>
    <row r="256" spans="1:12" x14ac:dyDescent="0.25">
      <c r="A256">
        <v>255</v>
      </c>
      <c r="B256">
        <v>25</v>
      </c>
      <c r="C256" t="s">
        <v>26</v>
      </c>
      <c r="D256" s="1">
        <v>45508</v>
      </c>
      <c r="E256" s="1">
        <v>45523</v>
      </c>
      <c r="F256" t="s">
        <v>27</v>
      </c>
      <c r="G256" t="s">
        <v>19</v>
      </c>
      <c r="H256">
        <v>15</v>
      </c>
      <c r="I256" t="s">
        <v>15</v>
      </c>
      <c r="J256">
        <v>3</v>
      </c>
      <c r="K256" t="s">
        <v>24</v>
      </c>
      <c r="L256" t="s">
        <v>22</v>
      </c>
    </row>
    <row r="257" spans="1:12" x14ac:dyDescent="0.25">
      <c r="A257">
        <v>256</v>
      </c>
      <c r="B257">
        <v>20</v>
      </c>
      <c r="C257" t="s">
        <v>26</v>
      </c>
      <c r="D257" s="1">
        <v>45518</v>
      </c>
      <c r="E257" s="1">
        <v>45532</v>
      </c>
      <c r="F257" t="s">
        <v>18</v>
      </c>
      <c r="G257" t="s">
        <v>14</v>
      </c>
      <c r="H257">
        <v>14</v>
      </c>
      <c r="I257" t="s">
        <v>15</v>
      </c>
      <c r="J257">
        <v>1</v>
      </c>
      <c r="K257" t="s">
        <v>21</v>
      </c>
      <c r="L257" t="s">
        <v>30</v>
      </c>
    </row>
    <row r="258" spans="1:12" x14ac:dyDescent="0.25">
      <c r="A258">
        <v>257</v>
      </c>
      <c r="B258">
        <v>40</v>
      </c>
      <c r="C258" t="s">
        <v>26</v>
      </c>
      <c r="D258" s="1">
        <v>45379</v>
      </c>
      <c r="E258" s="1">
        <v>45392</v>
      </c>
      <c r="F258" t="s">
        <v>28</v>
      </c>
      <c r="G258" t="s">
        <v>14</v>
      </c>
      <c r="H258">
        <v>13</v>
      </c>
      <c r="I258" t="s">
        <v>15</v>
      </c>
      <c r="J258">
        <v>4</v>
      </c>
      <c r="K258" t="s">
        <v>16</v>
      </c>
      <c r="L258" t="s">
        <v>30</v>
      </c>
    </row>
    <row r="259" spans="1:12" x14ac:dyDescent="0.25">
      <c r="A259">
        <v>258</v>
      </c>
      <c r="B259">
        <v>72</v>
      </c>
      <c r="C259" t="s">
        <v>26</v>
      </c>
      <c r="D259" s="1">
        <v>45391</v>
      </c>
      <c r="E259" s="1">
        <v>45400</v>
      </c>
      <c r="F259" t="s">
        <v>28</v>
      </c>
      <c r="G259" t="s">
        <v>19</v>
      </c>
      <c r="H259">
        <v>9</v>
      </c>
      <c r="I259" t="s">
        <v>15</v>
      </c>
      <c r="J259">
        <v>0</v>
      </c>
      <c r="K259" t="s">
        <v>21</v>
      </c>
      <c r="L259" t="s">
        <v>29</v>
      </c>
    </row>
    <row r="260" spans="1:12" x14ac:dyDescent="0.25">
      <c r="A260">
        <v>259</v>
      </c>
      <c r="B260">
        <v>22</v>
      </c>
      <c r="C260" t="s">
        <v>26</v>
      </c>
      <c r="D260" s="1">
        <v>45340</v>
      </c>
      <c r="E260" s="1">
        <v>45348</v>
      </c>
      <c r="F260" t="s">
        <v>18</v>
      </c>
      <c r="G260" t="s">
        <v>23</v>
      </c>
      <c r="H260">
        <v>8</v>
      </c>
      <c r="I260" t="s">
        <v>20</v>
      </c>
      <c r="J260">
        <v>3</v>
      </c>
      <c r="K260" t="s">
        <v>16</v>
      </c>
      <c r="L260" t="s">
        <v>29</v>
      </c>
    </row>
    <row r="261" spans="1:12" x14ac:dyDescent="0.25">
      <c r="A261">
        <v>260</v>
      </c>
      <c r="B261">
        <v>66</v>
      </c>
      <c r="C261" t="s">
        <v>26</v>
      </c>
      <c r="D261" s="1">
        <v>45514</v>
      </c>
      <c r="E261" s="1">
        <v>45517</v>
      </c>
      <c r="F261" t="s">
        <v>13</v>
      </c>
      <c r="G261" t="s">
        <v>23</v>
      </c>
      <c r="H261">
        <v>3</v>
      </c>
      <c r="I261" t="s">
        <v>15</v>
      </c>
      <c r="J261">
        <v>0</v>
      </c>
      <c r="K261" t="s">
        <v>24</v>
      </c>
      <c r="L261" t="s">
        <v>25</v>
      </c>
    </row>
    <row r="262" spans="1:12" x14ac:dyDescent="0.25">
      <c r="A262">
        <v>261</v>
      </c>
      <c r="B262">
        <v>39</v>
      </c>
      <c r="C262" t="s">
        <v>12</v>
      </c>
      <c r="D262" s="1">
        <v>45543</v>
      </c>
      <c r="E262" s="1">
        <v>45546</v>
      </c>
      <c r="F262" t="s">
        <v>28</v>
      </c>
      <c r="G262" t="s">
        <v>14</v>
      </c>
      <c r="H262">
        <v>3</v>
      </c>
      <c r="I262" t="s">
        <v>15</v>
      </c>
      <c r="J262">
        <v>4</v>
      </c>
      <c r="K262" t="s">
        <v>21</v>
      </c>
      <c r="L262" t="s">
        <v>22</v>
      </c>
    </row>
    <row r="263" spans="1:12" x14ac:dyDescent="0.25">
      <c r="A263">
        <v>262</v>
      </c>
      <c r="B263">
        <v>88</v>
      </c>
      <c r="C263" t="s">
        <v>12</v>
      </c>
      <c r="D263" s="1">
        <v>45588</v>
      </c>
      <c r="E263" s="1">
        <v>45601</v>
      </c>
      <c r="F263" t="s">
        <v>13</v>
      </c>
      <c r="G263" t="s">
        <v>23</v>
      </c>
      <c r="H263">
        <v>13</v>
      </c>
      <c r="I263" t="s">
        <v>15</v>
      </c>
      <c r="J263">
        <v>0</v>
      </c>
      <c r="K263" t="s">
        <v>24</v>
      </c>
      <c r="L263" t="s">
        <v>25</v>
      </c>
    </row>
    <row r="264" spans="1:12" x14ac:dyDescent="0.25">
      <c r="A264">
        <v>263</v>
      </c>
      <c r="B264">
        <v>64</v>
      </c>
      <c r="C264" t="s">
        <v>12</v>
      </c>
      <c r="D264" s="1">
        <v>45630</v>
      </c>
      <c r="E264" s="1">
        <v>45631</v>
      </c>
      <c r="F264" t="s">
        <v>27</v>
      </c>
      <c r="G264" t="s">
        <v>23</v>
      </c>
      <c r="H264">
        <v>1</v>
      </c>
      <c r="I264" t="s">
        <v>15</v>
      </c>
      <c r="J264">
        <v>1</v>
      </c>
      <c r="K264" t="s">
        <v>21</v>
      </c>
      <c r="L264" t="s">
        <v>22</v>
      </c>
    </row>
    <row r="265" spans="1:12" x14ac:dyDescent="0.25">
      <c r="A265">
        <v>264</v>
      </c>
      <c r="B265">
        <v>87</v>
      </c>
      <c r="C265" t="s">
        <v>26</v>
      </c>
      <c r="D265" s="1">
        <v>45298</v>
      </c>
      <c r="E265" s="1">
        <v>45308</v>
      </c>
      <c r="F265" t="s">
        <v>27</v>
      </c>
      <c r="G265" t="s">
        <v>14</v>
      </c>
      <c r="H265">
        <v>10</v>
      </c>
      <c r="I265" t="s">
        <v>15</v>
      </c>
      <c r="J265">
        <v>2</v>
      </c>
      <c r="K265" t="s">
        <v>24</v>
      </c>
      <c r="L265" t="s">
        <v>29</v>
      </c>
    </row>
    <row r="266" spans="1:12" x14ac:dyDescent="0.25">
      <c r="A266">
        <v>265</v>
      </c>
      <c r="B266">
        <v>68</v>
      </c>
      <c r="C266" t="s">
        <v>12</v>
      </c>
      <c r="D266" s="1">
        <v>45325</v>
      </c>
      <c r="E266" s="1">
        <v>45329</v>
      </c>
      <c r="F266" t="s">
        <v>27</v>
      </c>
      <c r="G266" t="s">
        <v>23</v>
      </c>
      <c r="H266">
        <v>4</v>
      </c>
      <c r="I266" t="s">
        <v>15</v>
      </c>
      <c r="J266">
        <v>0</v>
      </c>
      <c r="K266" t="s">
        <v>16</v>
      </c>
      <c r="L266" t="s">
        <v>29</v>
      </c>
    </row>
    <row r="267" spans="1:12" x14ac:dyDescent="0.25">
      <c r="A267">
        <v>266</v>
      </c>
      <c r="B267">
        <v>69</v>
      </c>
      <c r="C267" t="s">
        <v>26</v>
      </c>
      <c r="D267" s="1">
        <v>45367</v>
      </c>
      <c r="E267" s="1">
        <v>45370</v>
      </c>
      <c r="F267" t="s">
        <v>13</v>
      </c>
      <c r="G267" t="s">
        <v>23</v>
      </c>
      <c r="H267">
        <v>3</v>
      </c>
      <c r="I267" t="s">
        <v>15</v>
      </c>
      <c r="J267">
        <v>1</v>
      </c>
      <c r="K267" t="s">
        <v>21</v>
      </c>
      <c r="L267" t="s">
        <v>29</v>
      </c>
    </row>
    <row r="268" spans="1:12" x14ac:dyDescent="0.25">
      <c r="A268">
        <v>267</v>
      </c>
      <c r="B268">
        <v>67</v>
      </c>
      <c r="C268" t="s">
        <v>26</v>
      </c>
      <c r="D268" s="1">
        <v>45571</v>
      </c>
      <c r="E268" s="1">
        <v>45579</v>
      </c>
      <c r="F268" t="s">
        <v>18</v>
      </c>
      <c r="G268" t="s">
        <v>23</v>
      </c>
      <c r="H268">
        <v>8</v>
      </c>
      <c r="I268" t="s">
        <v>20</v>
      </c>
      <c r="J268">
        <v>2</v>
      </c>
      <c r="K268" t="s">
        <v>24</v>
      </c>
      <c r="L268" t="s">
        <v>22</v>
      </c>
    </row>
    <row r="269" spans="1:12" x14ac:dyDescent="0.25">
      <c r="A269">
        <v>268</v>
      </c>
      <c r="B269">
        <v>84</v>
      </c>
      <c r="C269" t="s">
        <v>26</v>
      </c>
      <c r="D269" s="1">
        <v>45322</v>
      </c>
      <c r="E269" s="1">
        <v>45330</v>
      </c>
      <c r="F269" t="s">
        <v>18</v>
      </c>
      <c r="G269" t="s">
        <v>23</v>
      </c>
      <c r="H269">
        <v>8</v>
      </c>
      <c r="I269" t="s">
        <v>20</v>
      </c>
      <c r="J269">
        <v>4</v>
      </c>
      <c r="K269" t="s">
        <v>16</v>
      </c>
      <c r="L269" t="s">
        <v>30</v>
      </c>
    </row>
    <row r="270" spans="1:12" x14ac:dyDescent="0.25">
      <c r="A270">
        <v>269</v>
      </c>
      <c r="B270">
        <v>66</v>
      </c>
      <c r="C270" t="s">
        <v>12</v>
      </c>
      <c r="D270" s="1">
        <v>45324</v>
      </c>
      <c r="E270" s="1">
        <v>45331</v>
      </c>
      <c r="F270" t="s">
        <v>28</v>
      </c>
      <c r="G270" t="s">
        <v>23</v>
      </c>
      <c r="H270">
        <v>7</v>
      </c>
      <c r="I270" t="s">
        <v>15</v>
      </c>
      <c r="J270">
        <v>1</v>
      </c>
      <c r="K270" t="s">
        <v>24</v>
      </c>
      <c r="L270" t="s">
        <v>22</v>
      </c>
    </row>
    <row r="271" spans="1:12" x14ac:dyDescent="0.25">
      <c r="A271">
        <v>270</v>
      </c>
      <c r="B271">
        <v>27</v>
      </c>
      <c r="C271" t="s">
        <v>12</v>
      </c>
      <c r="D271" s="1">
        <v>45448</v>
      </c>
      <c r="E271" s="1">
        <v>45456</v>
      </c>
      <c r="F271" t="s">
        <v>28</v>
      </c>
      <c r="G271" t="s">
        <v>19</v>
      </c>
      <c r="H271">
        <v>8</v>
      </c>
      <c r="I271" t="s">
        <v>15</v>
      </c>
      <c r="J271">
        <v>4</v>
      </c>
      <c r="K271" t="s">
        <v>16</v>
      </c>
      <c r="L271" t="s">
        <v>17</v>
      </c>
    </row>
    <row r="272" spans="1:12" x14ac:dyDescent="0.25">
      <c r="A272">
        <v>271</v>
      </c>
      <c r="B272">
        <v>22</v>
      </c>
      <c r="C272" t="s">
        <v>26</v>
      </c>
      <c r="D272" s="1">
        <v>45602</v>
      </c>
      <c r="E272" s="1">
        <v>45603</v>
      </c>
      <c r="F272" t="s">
        <v>31</v>
      </c>
      <c r="G272" t="s">
        <v>14</v>
      </c>
      <c r="H272">
        <v>1</v>
      </c>
      <c r="I272" t="s">
        <v>20</v>
      </c>
      <c r="J272">
        <v>2</v>
      </c>
      <c r="K272" t="s">
        <v>24</v>
      </c>
      <c r="L272" t="s">
        <v>17</v>
      </c>
    </row>
    <row r="273" spans="1:12" x14ac:dyDescent="0.25">
      <c r="A273">
        <v>272</v>
      </c>
      <c r="B273">
        <v>67</v>
      </c>
      <c r="C273" t="s">
        <v>26</v>
      </c>
      <c r="D273" s="1">
        <v>45331</v>
      </c>
      <c r="E273" s="1">
        <v>45340</v>
      </c>
      <c r="F273" t="s">
        <v>31</v>
      </c>
      <c r="G273" t="s">
        <v>14</v>
      </c>
      <c r="H273">
        <v>9</v>
      </c>
      <c r="I273" t="s">
        <v>15</v>
      </c>
      <c r="J273">
        <v>1</v>
      </c>
      <c r="K273" t="s">
        <v>24</v>
      </c>
      <c r="L273" t="s">
        <v>25</v>
      </c>
    </row>
    <row r="274" spans="1:12" x14ac:dyDescent="0.25">
      <c r="A274">
        <v>273</v>
      </c>
      <c r="B274">
        <v>39</v>
      </c>
      <c r="C274" t="s">
        <v>12</v>
      </c>
      <c r="D274" s="1">
        <v>45631</v>
      </c>
      <c r="E274" s="1">
        <v>45644</v>
      </c>
      <c r="F274" t="s">
        <v>31</v>
      </c>
      <c r="G274" t="s">
        <v>14</v>
      </c>
      <c r="H274">
        <v>13</v>
      </c>
      <c r="I274" t="s">
        <v>15</v>
      </c>
      <c r="J274">
        <v>2</v>
      </c>
      <c r="K274" t="s">
        <v>21</v>
      </c>
      <c r="L274" t="s">
        <v>30</v>
      </c>
    </row>
    <row r="275" spans="1:12" x14ac:dyDescent="0.25">
      <c r="A275">
        <v>274</v>
      </c>
      <c r="B275">
        <v>59</v>
      </c>
      <c r="C275" t="s">
        <v>26</v>
      </c>
      <c r="D275" s="1">
        <v>45404</v>
      </c>
      <c r="E275" s="1">
        <v>45417</v>
      </c>
      <c r="F275" t="s">
        <v>13</v>
      </c>
      <c r="G275" t="s">
        <v>19</v>
      </c>
      <c r="H275">
        <v>13</v>
      </c>
      <c r="I275" t="s">
        <v>20</v>
      </c>
      <c r="J275">
        <v>2</v>
      </c>
      <c r="K275" t="s">
        <v>16</v>
      </c>
      <c r="L275" t="s">
        <v>29</v>
      </c>
    </row>
    <row r="276" spans="1:12" x14ac:dyDescent="0.25">
      <c r="A276">
        <v>275</v>
      </c>
      <c r="B276">
        <v>68</v>
      </c>
      <c r="C276" t="s">
        <v>12</v>
      </c>
      <c r="D276" s="1">
        <v>45652</v>
      </c>
      <c r="E276" s="1">
        <v>45662</v>
      </c>
      <c r="F276" t="s">
        <v>13</v>
      </c>
      <c r="G276" t="s">
        <v>14</v>
      </c>
      <c r="H276">
        <v>10</v>
      </c>
      <c r="I276" t="s">
        <v>15</v>
      </c>
      <c r="J276">
        <v>1</v>
      </c>
      <c r="K276" t="s">
        <v>16</v>
      </c>
      <c r="L276" t="s">
        <v>22</v>
      </c>
    </row>
    <row r="277" spans="1:12" x14ac:dyDescent="0.25">
      <c r="A277">
        <v>276</v>
      </c>
      <c r="B277">
        <v>28</v>
      </c>
      <c r="C277" t="s">
        <v>26</v>
      </c>
      <c r="D277" s="1">
        <v>45347</v>
      </c>
      <c r="E277" s="1">
        <v>45358</v>
      </c>
      <c r="F277" t="s">
        <v>27</v>
      </c>
      <c r="G277" t="s">
        <v>23</v>
      </c>
      <c r="H277">
        <v>11</v>
      </c>
      <c r="I277" t="s">
        <v>20</v>
      </c>
      <c r="J277">
        <v>3</v>
      </c>
      <c r="K277" t="s">
        <v>21</v>
      </c>
      <c r="L277" t="s">
        <v>25</v>
      </c>
    </row>
    <row r="278" spans="1:12" x14ac:dyDescent="0.25">
      <c r="A278">
        <v>277</v>
      </c>
      <c r="B278">
        <v>72</v>
      </c>
      <c r="C278" t="s">
        <v>26</v>
      </c>
      <c r="D278" s="1">
        <v>45485</v>
      </c>
      <c r="E278" s="1">
        <v>45492</v>
      </c>
      <c r="F278" t="s">
        <v>18</v>
      </c>
      <c r="G278" t="s">
        <v>14</v>
      </c>
      <c r="H278">
        <v>7</v>
      </c>
      <c r="I278" t="s">
        <v>20</v>
      </c>
      <c r="J278">
        <v>1</v>
      </c>
      <c r="K278" t="s">
        <v>21</v>
      </c>
      <c r="L278" t="s">
        <v>22</v>
      </c>
    </row>
    <row r="279" spans="1:12" x14ac:dyDescent="0.25">
      <c r="A279">
        <v>278</v>
      </c>
      <c r="B279">
        <v>46</v>
      </c>
      <c r="C279" t="s">
        <v>12</v>
      </c>
      <c r="D279" s="1">
        <v>45570</v>
      </c>
      <c r="E279" s="1">
        <v>45577</v>
      </c>
      <c r="F279" t="s">
        <v>31</v>
      </c>
      <c r="G279" t="s">
        <v>14</v>
      </c>
      <c r="H279">
        <v>7</v>
      </c>
      <c r="I279" t="s">
        <v>20</v>
      </c>
      <c r="J279">
        <v>0</v>
      </c>
      <c r="K279" t="s">
        <v>24</v>
      </c>
      <c r="L279" t="s">
        <v>22</v>
      </c>
    </row>
    <row r="280" spans="1:12" x14ac:dyDescent="0.25">
      <c r="A280">
        <v>279</v>
      </c>
      <c r="B280">
        <v>38</v>
      </c>
      <c r="C280" t="s">
        <v>12</v>
      </c>
      <c r="D280" s="1">
        <v>45650</v>
      </c>
      <c r="E280" s="1">
        <v>45662</v>
      </c>
      <c r="F280" t="s">
        <v>28</v>
      </c>
      <c r="G280" t="s">
        <v>23</v>
      </c>
      <c r="H280">
        <v>12</v>
      </c>
      <c r="I280" t="s">
        <v>20</v>
      </c>
      <c r="J280">
        <v>3</v>
      </c>
      <c r="K280" t="s">
        <v>21</v>
      </c>
      <c r="L280" t="s">
        <v>25</v>
      </c>
    </row>
    <row r="281" spans="1:12" x14ac:dyDescent="0.25">
      <c r="A281">
        <v>280</v>
      </c>
      <c r="B281">
        <v>44</v>
      </c>
      <c r="C281" t="s">
        <v>12</v>
      </c>
      <c r="D281" s="1">
        <v>45510</v>
      </c>
      <c r="E281" s="1">
        <v>45518</v>
      </c>
      <c r="F281" t="s">
        <v>13</v>
      </c>
      <c r="G281" t="s">
        <v>19</v>
      </c>
      <c r="H281">
        <v>8</v>
      </c>
      <c r="I281" t="s">
        <v>15</v>
      </c>
      <c r="J281">
        <v>0</v>
      </c>
      <c r="K281" t="s">
        <v>24</v>
      </c>
      <c r="L281" t="s">
        <v>30</v>
      </c>
    </row>
    <row r="282" spans="1:12" x14ac:dyDescent="0.25">
      <c r="A282">
        <v>281</v>
      </c>
      <c r="B282">
        <v>40</v>
      </c>
      <c r="C282" t="s">
        <v>26</v>
      </c>
      <c r="D282" s="1">
        <v>45492</v>
      </c>
      <c r="E282" s="1">
        <v>45497</v>
      </c>
      <c r="F282" t="s">
        <v>28</v>
      </c>
      <c r="G282" t="s">
        <v>14</v>
      </c>
      <c r="H282">
        <v>5</v>
      </c>
      <c r="I282" t="s">
        <v>15</v>
      </c>
      <c r="J282">
        <v>3</v>
      </c>
      <c r="K282" t="s">
        <v>24</v>
      </c>
      <c r="L282" t="s">
        <v>22</v>
      </c>
    </row>
    <row r="283" spans="1:12" x14ac:dyDescent="0.25">
      <c r="A283">
        <v>282</v>
      </c>
      <c r="B283">
        <v>22</v>
      </c>
      <c r="C283" t="s">
        <v>26</v>
      </c>
      <c r="D283" s="1">
        <v>45307</v>
      </c>
      <c r="E283" s="1">
        <v>45316</v>
      </c>
      <c r="F283" t="s">
        <v>31</v>
      </c>
      <c r="G283" t="s">
        <v>19</v>
      </c>
      <c r="H283">
        <v>9</v>
      </c>
      <c r="I283" t="s">
        <v>15</v>
      </c>
      <c r="J283">
        <v>3</v>
      </c>
      <c r="K283" t="s">
        <v>21</v>
      </c>
      <c r="L283" t="s">
        <v>22</v>
      </c>
    </row>
    <row r="284" spans="1:12" x14ac:dyDescent="0.25">
      <c r="A284">
        <v>283</v>
      </c>
      <c r="B284">
        <v>68</v>
      </c>
      <c r="C284" t="s">
        <v>26</v>
      </c>
      <c r="D284" s="1">
        <v>45379</v>
      </c>
      <c r="E284" s="1">
        <v>45383</v>
      </c>
      <c r="F284" t="s">
        <v>28</v>
      </c>
      <c r="G284" t="s">
        <v>14</v>
      </c>
      <c r="H284">
        <v>4</v>
      </c>
      <c r="I284" t="s">
        <v>15</v>
      </c>
      <c r="J284">
        <v>4</v>
      </c>
      <c r="K284" t="s">
        <v>24</v>
      </c>
      <c r="L284" t="s">
        <v>17</v>
      </c>
    </row>
    <row r="285" spans="1:12" x14ac:dyDescent="0.25">
      <c r="A285">
        <v>284</v>
      </c>
      <c r="B285">
        <v>81</v>
      </c>
      <c r="C285" t="s">
        <v>12</v>
      </c>
      <c r="D285" s="1">
        <v>45389</v>
      </c>
      <c r="E285" s="1">
        <v>45395</v>
      </c>
      <c r="F285" t="s">
        <v>13</v>
      </c>
      <c r="G285" t="s">
        <v>19</v>
      </c>
      <c r="H285">
        <v>6</v>
      </c>
      <c r="I285" t="s">
        <v>20</v>
      </c>
      <c r="J285">
        <v>2</v>
      </c>
      <c r="K285" t="s">
        <v>16</v>
      </c>
      <c r="L285" t="s">
        <v>22</v>
      </c>
    </row>
    <row r="286" spans="1:12" x14ac:dyDescent="0.25">
      <c r="A286">
        <v>285</v>
      </c>
      <c r="B286">
        <v>88</v>
      </c>
      <c r="C286" t="s">
        <v>12</v>
      </c>
      <c r="D286" s="1">
        <v>45590</v>
      </c>
      <c r="E286" s="1">
        <v>45599</v>
      </c>
      <c r="F286" t="s">
        <v>27</v>
      </c>
      <c r="G286" t="s">
        <v>19</v>
      </c>
      <c r="H286">
        <v>9</v>
      </c>
      <c r="I286" t="s">
        <v>20</v>
      </c>
      <c r="J286">
        <v>3</v>
      </c>
      <c r="K286" t="s">
        <v>24</v>
      </c>
      <c r="L286" t="s">
        <v>30</v>
      </c>
    </row>
    <row r="287" spans="1:12" x14ac:dyDescent="0.25">
      <c r="A287">
        <v>286</v>
      </c>
      <c r="B287">
        <v>35</v>
      </c>
      <c r="C287" t="s">
        <v>12</v>
      </c>
      <c r="D287" s="1">
        <v>45526</v>
      </c>
      <c r="E287" s="1">
        <v>45538</v>
      </c>
      <c r="F287" t="s">
        <v>13</v>
      </c>
      <c r="G287" t="s">
        <v>23</v>
      </c>
      <c r="H287">
        <v>12</v>
      </c>
      <c r="I287" t="s">
        <v>15</v>
      </c>
      <c r="J287">
        <v>2</v>
      </c>
      <c r="K287" t="s">
        <v>16</v>
      </c>
      <c r="L287" t="s">
        <v>30</v>
      </c>
    </row>
    <row r="288" spans="1:12" x14ac:dyDescent="0.25">
      <c r="A288">
        <v>287</v>
      </c>
      <c r="B288">
        <v>87</v>
      </c>
      <c r="C288" t="s">
        <v>12</v>
      </c>
      <c r="D288" s="1">
        <v>45515</v>
      </c>
      <c r="E288" s="1">
        <v>45528</v>
      </c>
      <c r="F288" t="s">
        <v>28</v>
      </c>
      <c r="G288" t="s">
        <v>23</v>
      </c>
      <c r="H288">
        <v>13</v>
      </c>
      <c r="I288" t="s">
        <v>15</v>
      </c>
      <c r="J288">
        <v>4</v>
      </c>
      <c r="K288" t="s">
        <v>24</v>
      </c>
      <c r="L288" t="s">
        <v>29</v>
      </c>
    </row>
    <row r="289" spans="1:12" x14ac:dyDescent="0.25">
      <c r="A289">
        <v>288</v>
      </c>
      <c r="B289">
        <v>44</v>
      </c>
      <c r="C289" t="s">
        <v>26</v>
      </c>
      <c r="D289" s="1">
        <v>45489</v>
      </c>
      <c r="E289" s="1">
        <v>45492</v>
      </c>
      <c r="F289" t="s">
        <v>27</v>
      </c>
      <c r="G289" t="s">
        <v>23</v>
      </c>
      <c r="H289">
        <v>3</v>
      </c>
      <c r="I289" t="s">
        <v>15</v>
      </c>
      <c r="J289">
        <v>0</v>
      </c>
      <c r="K289" t="s">
        <v>24</v>
      </c>
      <c r="L289" t="s">
        <v>30</v>
      </c>
    </row>
    <row r="290" spans="1:12" x14ac:dyDescent="0.25">
      <c r="A290">
        <v>289</v>
      </c>
      <c r="B290">
        <v>27</v>
      </c>
      <c r="C290" t="s">
        <v>26</v>
      </c>
      <c r="D290" s="1">
        <v>45336</v>
      </c>
      <c r="E290" s="1">
        <v>45344</v>
      </c>
      <c r="F290" t="s">
        <v>13</v>
      </c>
      <c r="G290" t="s">
        <v>23</v>
      </c>
      <c r="H290">
        <v>8</v>
      </c>
      <c r="I290" t="s">
        <v>15</v>
      </c>
      <c r="J290">
        <v>3</v>
      </c>
      <c r="K290" t="s">
        <v>24</v>
      </c>
      <c r="L290" t="s">
        <v>22</v>
      </c>
    </row>
    <row r="291" spans="1:12" x14ac:dyDescent="0.25">
      <c r="A291">
        <v>290</v>
      </c>
      <c r="B291">
        <v>49</v>
      </c>
      <c r="C291" t="s">
        <v>12</v>
      </c>
      <c r="D291" s="1">
        <v>45613</v>
      </c>
      <c r="E291" s="1">
        <v>45616</v>
      </c>
      <c r="F291" t="s">
        <v>27</v>
      </c>
      <c r="G291" t="s">
        <v>14</v>
      </c>
      <c r="H291">
        <v>3</v>
      </c>
      <c r="I291" t="s">
        <v>20</v>
      </c>
      <c r="J291">
        <v>2</v>
      </c>
      <c r="K291" t="s">
        <v>24</v>
      </c>
      <c r="L291" t="s">
        <v>25</v>
      </c>
    </row>
    <row r="292" spans="1:12" x14ac:dyDescent="0.25">
      <c r="A292">
        <v>291</v>
      </c>
      <c r="B292">
        <v>50</v>
      </c>
      <c r="C292" t="s">
        <v>26</v>
      </c>
      <c r="D292" s="1">
        <v>45417</v>
      </c>
      <c r="E292" s="1">
        <v>45429</v>
      </c>
      <c r="F292" t="s">
        <v>28</v>
      </c>
      <c r="G292" t="s">
        <v>23</v>
      </c>
      <c r="H292">
        <v>12</v>
      </c>
      <c r="I292" t="s">
        <v>20</v>
      </c>
      <c r="J292">
        <v>0</v>
      </c>
      <c r="K292" t="s">
        <v>21</v>
      </c>
      <c r="L292" t="s">
        <v>22</v>
      </c>
    </row>
    <row r="293" spans="1:12" x14ac:dyDescent="0.25">
      <c r="A293">
        <v>292</v>
      </c>
      <c r="B293">
        <v>81</v>
      </c>
      <c r="C293" t="s">
        <v>26</v>
      </c>
      <c r="D293" s="1">
        <v>45493</v>
      </c>
      <c r="E293" s="1">
        <v>45500</v>
      </c>
      <c r="F293" t="s">
        <v>27</v>
      </c>
      <c r="G293" t="s">
        <v>23</v>
      </c>
      <c r="H293">
        <v>7</v>
      </c>
      <c r="I293" t="s">
        <v>20</v>
      </c>
      <c r="J293">
        <v>2</v>
      </c>
      <c r="K293" t="s">
        <v>24</v>
      </c>
      <c r="L293" t="s">
        <v>17</v>
      </c>
    </row>
    <row r="294" spans="1:12" x14ac:dyDescent="0.25">
      <c r="A294">
        <v>293</v>
      </c>
      <c r="B294">
        <v>49</v>
      </c>
      <c r="C294" t="s">
        <v>12</v>
      </c>
      <c r="D294" s="1">
        <v>45402</v>
      </c>
      <c r="E294" s="1">
        <v>45410</v>
      </c>
      <c r="F294" t="s">
        <v>13</v>
      </c>
      <c r="G294" t="s">
        <v>23</v>
      </c>
      <c r="H294">
        <v>8</v>
      </c>
      <c r="I294" t="s">
        <v>15</v>
      </c>
      <c r="J294">
        <v>2</v>
      </c>
      <c r="K294" t="s">
        <v>24</v>
      </c>
      <c r="L294" t="s">
        <v>29</v>
      </c>
    </row>
    <row r="295" spans="1:12" x14ac:dyDescent="0.25">
      <c r="A295">
        <v>294</v>
      </c>
      <c r="B295">
        <v>23</v>
      </c>
      <c r="C295" t="s">
        <v>12</v>
      </c>
      <c r="D295" s="1">
        <v>45516</v>
      </c>
      <c r="E295" s="1">
        <v>45519</v>
      </c>
      <c r="F295" t="s">
        <v>31</v>
      </c>
      <c r="G295" t="s">
        <v>23</v>
      </c>
      <c r="H295">
        <v>3</v>
      </c>
      <c r="I295" t="s">
        <v>20</v>
      </c>
      <c r="J295">
        <v>0</v>
      </c>
      <c r="K295" t="s">
        <v>24</v>
      </c>
      <c r="L295" t="s">
        <v>22</v>
      </c>
    </row>
    <row r="296" spans="1:12" x14ac:dyDescent="0.25">
      <c r="A296">
        <v>295</v>
      </c>
      <c r="B296">
        <v>46</v>
      </c>
      <c r="C296" t="s">
        <v>26</v>
      </c>
      <c r="D296" s="1">
        <v>45300</v>
      </c>
      <c r="E296" s="1">
        <v>45301</v>
      </c>
      <c r="F296" t="s">
        <v>31</v>
      </c>
      <c r="G296" t="s">
        <v>23</v>
      </c>
      <c r="H296">
        <v>1</v>
      </c>
      <c r="I296" t="s">
        <v>15</v>
      </c>
      <c r="J296">
        <v>1</v>
      </c>
      <c r="K296" t="s">
        <v>24</v>
      </c>
      <c r="L296" t="s">
        <v>30</v>
      </c>
    </row>
    <row r="297" spans="1:12" x14ac:dyDescent="0.25">
      <c r="A297">
        <v>296</v>
      </c>
      <c r="B297">
        <v>32</v>
      </c>
      <c r="C297" t="s">
        <v>12</v>
      </c>
      <c r="D297" s="1">
        <v>45488</v>
      </c>
      <c r="E297" s="1">
        <v>45495</v>
      </c>
      <c r="F297" t="s">
        <v>18</v>
      </c>
      <c r="G297" t="s">
        <v>23</v>
      </c>
      <c r="H297">
        <v>7</v>
      </c>
      <c r="I297" t="s">
        <v>20</v>
      </c>
      <c r="J297">
        <v>0</v>
      </c>
      <c r="K297" t="s">
        <v>16</v>
      </c>
      <c r="L297" t="s">
        <v>17</v>
      </c>
    </row>
    <row r="298" spans="1:12" x14ac:dyDescent="0.25">
      <c r="A298">
        <v>297</v>
      </c>
      <c r="B298">
        <v>65</v>
      </c>
      <c r="C298" t="s">
        <v>26</v>
      </c>
      <c r="D298" s="1">
        <v>45505</v>
      </c>
      <c r="E298" s="1">
        <v>45514</v>
      </c>
      <c r="F298" t="s">
        <v>31</v>
      </c>
      <c r="G298" t="s">
        <v>14</v>
      </c>
      <c r="H298">
        <v>9</v>
      </c>
      <c r="I298" t="s">
        <v>20</v>
      </c>
      <c r="J298">
        <v>2</v>
      </c>
      <c r="K298" t="s">
        <v>21</v>
      </c>
      <c r="L298" t="s">
        <v>25</v>
      </c>
    </row>
    <row r="299" spans="1:12" x14ac:dyDescent="0.25">
      <c r="A299">
        <v>298</v>
      </c>
      <c r="B299">
        <v>65</v>
      </c>
      <c r="C299" t="s">
        <v>26</v>
      </c>
      <c r="D299" s="1">
        <v>45516</v>
      </c>
      <c r="E299" s="1">
        <v>45517</v>
      </c>
      <c r="F299" t="s">
        <v>18</v>
      </c>
      <c r="G299" t="s">
        <v>23</v>
      </c>
      <c r="H299">
        <v>1</v>
      </c>
      <c r="I299" t="s">
        <v>15</v>
      </c>
      <c r="J299">
        <v>2</v>
      </c>
      <c r="K299" t="s">
        <v>24</v>
      </c>
      <c r="L299" t="s">
        <v>17</v>
      </c>
    </row>
    <row r="300" spans="1:12" x14ac:dyDescent="0.25">
      <c r="A300">
        <v>299</v>
      </c>
      <c r="B300">
        <v>66</v>
      </c>
      <c r="C300" t="s">
        <v>12</v>
      </c>
      <c r="D300" s="1">
        <v>45418</v>
      </c>
      <c r="E300" s="1">
        <v>45425</v>
      </c>
      <c r="F300" t="s">
        <v>28</v>
      </c>
      <c r="G300" t="s">
        <v>23</v>
      </c>
      <c r="H300">
        <v>7</v>
      </c>
      <c r="I300" t="s">
        <v>15</v>
      </c>
      <c r="J300">
        <v>4</v>
      </c>
      <c r="K300" t="s">
        <v>21</v>
      </c>
      <c r="L300" t="s">
        <v>17</v>
      </c>
    </row>
    <row r="301" spans="1:12" x14ac:dyDescent="0.25">
      <c r="A301">
        <v>300</v>
      </c>
      <c r="B301">
        <v>83</v>
      </c>
      <c r="C301" t="s">
        <v>26</v>
      </c>
      <c r="D301" s="1">
        <v>45413</v>
      </c>
      <c r="E301" s="1">
        <v>45417</v>
      </c>
      <c r="F301" t="s">
        <v>27</v>
      </c>
      <c r="G301" t="s">
        <v>23</v>
      </c>
      <c r="H301">
        <v>4</v>
      </c>
      <c r="I301" t="s">
        <v>15</v>
      </c>
      <c r="J301">
        <v>2</v>
      </c>
      <c r="K301" t="s">
        <v>21</v>
      </c>
      <c r="L301" t="s">
        <v>22</v>
      </c>
    </row>
    <row r="302" spans="1:12" x14ac:dyDescent="0.25">
      <c r="A302">
        <v>301</v>
      </c>
      <c r="B302">
        <v>38</v>
      </c>
      <c r="C302" t="s">
        <v>12</v>
      </c>
      <c r="D302" s="1">
        <v>45319</v>
      </c>
      <c r="E302" s="1">
        <v>45332</v>
      </c>
      <c r="F302" t="s">
        <v>13</v>
      </c>
      <c r="G302" t="s">
        <v>23</v>
      </c>
      <c r="H302">
        <v>13</v>
      </c>
      <c r="I302" t="s">
        <v>20</v>
      </c>
      <c r="J302">
        <v>0</v>
      </c>
      <c r="K302" t="s">
        <v>16</v>
      </c>
      <c r="L302" t="s">
        <v>29</v>
      </c>
    </row>
    <row r="303" spans="1:12" x14ac:dyDescent="0.25">
      <c r="A303">
        <v>302</v>
      </c>
      <c r="B303">
        <v>32</v>
      </c>
      <c r="C303" t="s">
        <v>12</v>
      </c>
      <c r="D303" s="1">
        <v>45350</v>
      </c>
      <c r="E303" s="1">
        <v>45361</v>
      </c>
      <c r="F303" t="s">
        <v>18</v>
      </c>
      <c r="G303" t="s">
        <v>19</v>
      </c>
      <c r="H303">
        <v>11</v>
      </c>
      <c r="I303" t="s">
        <v>15</v>
      </c>
      <c r="J303">
        <v>2</v>
      </c>
      <c r="K303" t="s">
        <v>21</v>
      </c>
      <c r="L303" t="s">
        <v>25</v>
      </c>
    </row>
    <row r="304" spans="1:12" x14ac:dyDescent="0.25">
      <c r="A304">
        <v>303</v>
      </c>
      <c r="B304">
        <v>44</v>
      </c>
      <c r="C304" t="s">
        <v>12</v>
      </c>
      <c r="D304" s="1">
        <v>45574</v>
      </c>
      <c r="E304" s="1">
        <v>45581</v>
      </c>
      <c r="F304" t="s">
        <v>27</v>
      </c>
      <c r="G304" t="s">
        <v>23</v>
      </c>
      <c r="H304">
        <v>7</v>
      </c>
      <c r="I304" t="s">
        <v>15</v>
      </c>
      <c r="J304">
        <v>2</v>
      </c>
      <c r="K304" t="s">
        <v>21</v>
      </c>
      <c r="L304" t="s">
        <v>29</v>
      </c>
    </row>
    <row r="305" spans="1:12" x14ac:dyDescent="0.25">
      <c r="A305">
        <v>304</v>
      </c>
      <c r="B305">
        <v>64</v>
      </c>
      <c r="C305" t="s">
        <v>12</v>
      </c>
      <c r="D305" s="1">
        <v>45417</v>
      </c>
      <c r="E305" s="1">
        <v>45432</v>
      </c>
      <c r="F305" t="s">
        <v>13</v>
      </c>
      <c r="G305" t="s">
        <v>19</v>
      </c>
      <c r="H305">
        <v>15</v>
      </c>
      <c r="I305" t="s">
        <v>20</v>
      </c>
      <c r="J305">
        <v>4</v>
      </c>
      <c r="K305" t="s">
        <v>24</v>
      </c>
      <c r="L305" t="s">
        <v>25</v>
      </c>
    </row>
    <row r="306" spans="1:12" x14ac:dyDescent="0.25">
      <c r="A306">
        <v>305</v>
      </c>
      <c r="B306">
        <v>70</v>
      </c>
      <c r="C306" t="s">
        <v>12</v>
      </c>
      <c r="D306" s="1">
        <v>45602</v>
      </c>
      <c r="E306" s="1">
        <v>45614</v>
      </c>
      <c r="F306" t="s">
        <v>31</v>
      </c>
      <c r="G306" t="s">
        <v>19</v>
      </c>
      <c r="H306">
        <v>12</v>
      </c>
      <c r="I306" t="s">
        <v>15</v>
      </c>
      <c r="J306">
        <v>3</v>
      </c>
      <c r="K306" t="s">
        <v>21</v>
      </c>
      <c r="L306" t="s">
        <v>17</v>
      </c>
    </row>
    <row r="307" spans="1:12" x14ac:dyDescent="0.25">
      <c r="A307">
        <v>306</v>
      </c>
      <c r="B307">
        <v>89</v>
      </c>
      <c r="C307" t="s">
        <v>12</v>
      </c>
      <c r="D307" s="1">
        <v>45541</v>
      </c>
      <c r="E307" s="1">
        <v>45547</v>
      </c>
      <c r="F307" t="s">
        <v>18</v>
      </c>
      <c r="G307" t="s">
        <v>23</v>
      </c>
      <c r="H307">
        <v>6</v>
      </c>
      <c r="I307" t="s">
        <v>20</v>
      </c>
      <c r="J307">
        <v>1</v>
      </c>
      <c r="K307" t="s">
        <v>16</v>
      </c>
      <c r="L307" t="s">
        <v>22</v>
      </c>
    </row>
    <row r="308" spans="1:12" x14ac:dyDescent="0.25">
      <c r="A308">
        <v>307</v>
      </c>
      <c r="B308">
        <v>68</v>
      </c>
      <c r="C308" t="s">
        <v>12</v>
      </c>
      <c r="D308" s="1">
        <v>45502</v>
      </c>
      <c r="E308" s="1">
        <v>45506</v>
      </c>
      <c r="F308" t="s">
        <v>31</v>
      </c>
      <c r="G308" t="s">
        <v>14</v>
      </c>
      <c r="H308">
        <v>4</v>
      </c>
      <c r="I308" t="s">
        <v>15</v>
      </c>
      <c r="J308">
        <v>1</v>
      </c>
      <c r="K308" t="s">
        <v>21</v>
      </c>
      <c r="L308" t="s">
        <v>22</v>
      </c>
    </row>
    <row r="309" spans="1:12" x14ac:dyDescent="0.25">
      <c r="A309">
        <v>308</v>
      </c>
      <c r="B309">
        <v>26</v>
      </c>
      <c r="C309" t="s">
        <v>12</v>
      </c>
      <c r="D309" s="1">
        <v>45474</v>
      </c>
      <c r="E309" s="1">
        <v>45481</v>
      </c>
      <c r="F309" t="s">
        <v>28</v>
      </c>
      <c r="G309" t="s">
        <v>23</v>
      </c>
      <c r="H309">
        <v>7</v>
      </c>
      <c r="I309" t="s">
        <v>20</v>
      </c>
      <c r="J309">
        <v>0</v>
      </c>
      <c r="K309" t="s">
        <v>24</v>
      </c>
      <c r="L309" t="s">
        <v>17</v>
      </c>
    </row>
    <row r="310" spans="1:12" x14ac:dyDescent="0.25">
      <c r="A310">
        <v>309</v>
      </c>
      <c r="B310">
        <v>90</v>
      </c>
      <c r="C310" t="s">
        <v>26</v>
      </c>
      <c r="D310" s="1">
        <v>45540</v>
      </c>
      <c r="E310" s="1">
        <v>45553</v>
      </c>
      <c r="F310" t="s">
        <v>28</v>
      </c>
      <c r="G310" t="s">
        <v>14</v>
      </c>
      <c r="H310">
        <v>13</v>
      </c>
      <c r="I310" t="s">
        <v>20</v>
      </c>
      <c r="J310">
        <v>2</v>
      </c>
      <c r="K310" t="s">
        <v>21</v>
      </c>
      <c r="L310" t="s">
        <v>22</v>
      </c>
    </row>
    <row r="311" spans="1:12" x14ac:dyDescent="0.25">
      <c r="A311">
        <v>310</v>
      </c>
      <c r="B311">
        <v>62</v>
      </c>
      <c r="C311" t="s">
        <v>12</v>
      </c>
      <c r="D311" s="1">
        <v>45646</v>
      </c>
      <c r="E311" s="1">
        <v>45650</v>
      </c>
      <c r="F311" t="s">
        <v>27</v>
      </c>
      <c r="G311" t="s">
        <v>14</v>
      </c>
      <c r="H311">
        <v>4</v>
      </c>
      <c r="I311" t="s">
        <v>15</v>
      </c>
      <c r="J311">
        <v>4</v>
      </c>
      <c r="K311" t="s">
        <v>24</v>
      </c>
      <c r="L311" t="s">
        <v>22</v>
      </c>
    </row>
    <row r="312" spans="1:12" x14ac:dyDescent="0.25">
      <c r="A312">
        <v>311</v>
      </c>
      <c r="B312">
        <v>60</v>
      </c>
      <c r="C312" t="s">
        <v>26</v>
      </c>
      <c r="D312" s="1">
        <v>45431</v>
      </c>
      <c r="E312" s="1">
        <v>45439</v>
      </c>
      <c r="F312" t="s">
        <v>28</v>
      </c>
      <c r="G312" t="s">
        <v>19</v>
      </c>
      <c r="H312">
        <v>8</v>
      </c>
      <c r="I312" t="s">
        <v>15</v>
      </c>
      <c r="J312">
        <v>2</v>
      </c>
      <c r="K312" t="s">
        <v>24</v>
      </c>
      <c r="L312" t="s">
        <v>29</v>
      </c>
    </row>
    <row r="313" spans="1:12" x14ac:dyDescent="0.25">
      <c r="A313">
        <v>312</v>
      </c>
      <c r="B313">
        <v>79</v>
      </c>
      <c r="C313" t="s">
        <v>12</v>
      </c>
      <c r="D313" s="1">
        <v>45458</v>
      </c>
      <c r="E313" s="1">
        <v>45472</v>
      </c>
      <c r="F313" t="s">
        <v>27</v>
      </c>
      <c r="G313" t="s">
        <v>14</v>
      </c>
      <c r="H313">
        <v>14</v>
      </c>
      <c r="I313" t="s">
        <v>20</v>
      </c>
      <c r="J313">
        <v>3</v>
      </c>
      <c r="K313" t="s">
        <v>21</v>
      </c>
      <c r="L313" t="s">
        <v>30</v>
      </c>
    </row>
    <row r="314" spans="1:12" x14ac:dyDescent="0.25">
      <c r="A314">
        <v>313</v>
      </c>
      <c r="B314">
        <v>83</v>
      </c>
      <c r="C314" t="s">
        <v>12</v>
      </c>
      <c r="D314" s="1">
        <v>45488</v>
      </c>
      <c r="E314" s="1">
        <v>45501</v>
      </c>
      <c r="F314" t="s">
        <v>13</v>
      </c>
      <c r="G314" t="s">
        <v>14</v>
      </c>
      <c r="H314">
        <v>13</v>
      </c>
      <c r="I314" t="s">
        <v>20</v>
      </c>
      <c r="J314">
        <v>3</v>
      </c>
      <c r="K314" t="s">
        <v>21</v>
      </c>
      <c r="L314" t="s">
        <v>29</v>
      </c>
    </row>
    <row r="315" spans="1:12" x14ac:dyDescent="0.25">
      <c r="A315">
        <v>314</v>
      </c>
      <c r="B315">
        <v>53</v>
      </c>
      <c r="C315" t="s">
        <v>12</v>
      </c>
      <c r="D315" s="1">
        <v>45599</v>
      </c>
      <c r="E315" s="1">
        <v>45600</v>
      </c>
      <c r="F315" t="s">
        <v>13</v>
      </c>
      <c r="G315" t="s">
        <v>23</v>
      </c>
      <c r="H315">
        <v>1</v>
      </c>
      <c r="I315" t="s">
        <v>15</v>
      </c>
      <c r="J315">
        <v>0</v>
      </c>
      <c r="K315" t="s">
        <v>24</v>
      </c>
      <c r="L315" t="s">
        <v>30</v>
      </c>
    </row>
    <row r="316" spans="1:12" x14ac:dyDescent="0.25">
      <c r="A316">
        <v>315</v>
      </c>
      <c r="B316">
        <v>66</v>
      </c>
      <c r="C316" t="s">
        <v>12</v>
      </c>
      <c r="D316" s="1">
        <v>45558</v>
      </c>
      <c r="E316" s="1">
        <v>45565</v>
      </c>
      <c r="F316" t="s">
        <v>31</v>
      </c>
      <c r="G316" t="s">
        <v>14</v>
      </c>
      <c r="H316">
        <v>7</v>
      </c>
      <c r="I316" t="s">
        <v>20</v>
      </c>
      <c r="J316">
        <v>3</v>
      </c>
      <c r="K316" t="s">
        <v>24</v>
      </c>
      <c r="L316" t="s">
        <v>25</v>
      </c>
    </row>
    <row r="317" spans="1:12" x14ac:dyDescent="0.25">
      <c r="A317">
        <v>316</v>
      </c>
      <c r="B317">
        <v>32</v>
      </c>
      <c r="C317" t="s">
        <v>26</v>
      </c>
      <c r="D317" s="1">
        <v>45463</v>
      </c>
      <c r="E317" s="1">
        <v>45477</v>
      </c>
      <c r="F317" t="s">
        <v>13</v>
      </c>
      <c r="G317" t="s">
        <v>14</v>
      </c>
      <c r="H317">
        <v>14</v>
      </c>
      <c r="I317" t="s">
        <v>15</v>
      </c>
      <c r="J317">
        <v>1</v>
      </c>
      <c r="K317" t="s">
        <v>21</v>
      </c>
      <c r="L317" t="s">
        <v>25</v>
      </c>
    </row>
    <row r="318" spans="1:12" x14ac:dyDescent="0.25">
      <c r="A318">
        <v>317</v>
      </c>
      <c r="B318">
        <v>31</v>
      </c>
      <c r="C318" t="s">
        <v>26</v>
      </c>
      <c r="D318" s="1">
        <v>45550</v>
      </c>
      <c r="E318" s="1">
        <v>45559</v>
      </c>
      <c r="F318" t="s">
        <v>27</v>
      </c>
      <c r="G318" t="s">
        <v>14</v>
      </c>
      <c r="H318">
        <v>9</v>
      </c>
      <c r="I318" t="s">
        <v>15</v>
      </c>
      <c r="J318">
        <v>2</v>
      </c>
      <c r="K318" t="s">
        <v>21</v>
      </c>
      <c r="L318" t="s">
        <v>22</v>
      </c>
    </row>
    <row r="319" spans="1:12" x14ac:dyDescent="0.25">
      <c r="A319">
        <v>318</v>
      </c>
      <c r="B319">
        <v>48</v>
      </c>
      <c r="C319" t="s">
        <v>12</v>
      </c>
      <c r="D319" s="1">
        <v>45329</v>
      </c>
      <c r="E319" s="1">
        <v>45338</v>
      </c>
      <c r="F319" t="s">
        <v>13</v>
      </c>
      <c r="G319" t="s">
        <v>23</v>
      </c>
      <c r="H319">
        <v>9</v>
      </c>
      <c r="I319" t="s">
        <v>15</v>
      </c>
      <c r="J319">
        <v>3</v>
      </c>
      <c r="K319" t="s">
        <v>24</v>
      </c>
      <c r="L319" t="s">
        <v>22</v>
      </c>
    </row>
    <row r="320" spans="1:12" x14ac:dyDescent="0.25">
      <c r="A320">
        <v>319</v>
      </c>
      <c r="B320">
        <v>66</v>
      </c>
      <c r="C320" t="s">
        <v>12</v>
      </c>
      <c r="D320" s="1">
        <v>45325</v>
      </c>
      <c r="E320" s="1">
        <v>45331</v>
      </c>
      <c r="F320" t="s">
        <v>13</v>
      </c>
      <c r="G320" t="s">
        <v>23</v>
      </c>
      <c r="H320">
        <v>6</v>
      </c>
      <c r="I320" t="s">
        <v>20</v>
      </c>
      <c r="J320">
        <v>4</v>
      </c>
      <c r="K320" t="s">
        <v>21</v>
      </c>
      <c r="L320" t="s">
        <v>29</v>
      </c>
    </row>
    <row r="321" spans="1:12" x14ac:dyDescent="0.25">
      <c r="A321">
        <v>320</v>
      </c>
      <c r="B321">
        <v>72</v>
      </c>
      <c r="C321" t="s">
        <v>26</v>
      </c>
      <c r="D321" s="1">
        <v>45333</v>
      </c>
      <c r="E321" s="1">
        <v>45338</v>
      </c>
      <c r="F321" t="s">
        <v>13</v>
      </c>
      <c r="G321" t="s">
        <v>14</v>
      </c>
      <c r="H321">
        <v>5</v>
      </c>
      <c r="I321" t="s">
        <v>15</v>
      </c>
      <c r="J321">
        <v>1</v>
      </c>
      <c r="K321" t="s">
        <v>24</v>
      </c>
      <c r="L321" t="s">
        <v>30</v>
      </c>
    </row>
    <row r="322" spans="1:12" x14ac:dyDescent="0.25">
      <c r="A322">
        <v>321</v>
      </c>
      <c r="B322">
        <v>40</v>
      </c>
      <c r="C322" t="s">
        <v>26</v>
      </c>
      <c r="D322" s="1">
        <v>45320</v>
      </c>
      <c r="E322" s="1">
        <v>45331</v>
      </c>
      <c r="F322" t="s">
        <v>31</v>
      </c>
      <c r="G322" t="s">
        <v>19</v>
      </c>
      <c r="H322">
        <v>11</v>
      </c>
      <c r="I322" t="s">
        <v>20</v>
      </c>
      <c r="J322">
        <v>4</v>
      </c>
      <c r="K322" t="s">
        <v>16</v>
      </c>
      <c r="L322" t="s">
        <v>30</v>
      </c>
    </row>
    <row r="323" spans="1:12" x14ac:dyDescent="0.25">
      <c r="A323">
        <v>322</v>
      </c>
      <c r="B323">
        <v>62</v>
      </c>
      <c r="C323" t="s">
        <v>12</v>
      </c>
      <c r="D323" s="1">
        <v>45655</v>
      </c>
      <c r="E323" s="1">
        <v>45660</v>
      </c>
      <c r="F323" t="s">
        <v>18</v>
      </c>
      <c r="G323" t="s">
        <v>14</v>
      </c>
      <c r="H323">
        <v>5</v>
      </c>
      <c r="I323" t="s">
        <v>15</v>
      </c>
      <c r="J323">
        <v>1</v>
      </c>
      <c r="K323" t="s">
        <v>21</v>
      </c>
      <c r="L323" t="s">
        <v>22</v>
      </c>
    </row>
    <row r="324" spans="1:12" x14ac:dyDescent="0.25">
      <c r="A324">
        <v>323</v>
      </c>
      <c r="B324">
        <v>85</v>
      </c>
      <c r="C324" t="s">
        <v>12</v>
      </c>
      <c r="D324" s="1">
        <v>45570</v>
      </c>
      <c r="E324" s="1">
        <v>45583</v>
      </c>
      <c r="F324" t="s">
        <v>31</v>
      </c>
      <c r="G324" t="s">
        <v>19</v>
      </c>
      <c r="H324">
        <v>13</v>
      </c>
      <c r="I324" t="s">
        <v>15</v>
      </c>
      <c r="J324">
        <v>2</v>
      </c>
      <c r="K324" t="s">
        <v>16</v>
      </c>
      <c r="L324" t="s">
        <v>25</v>
      </c>
    </row>
    <row r="325" spans="1:12" x14ac:dyDescent="0.25">
      <c r="A325">
        <v>324</v>
      </c>
      <c r="B325">
        <v>26</v>
      </c>
      <c r="C325" t="s">
        <v>26</v>
      </c>
      <c r="D325" s="1">
        <v>45433</v>
      </c>
      <c r="E325" s="1">
        <v>45440</v>
      </c>
      <c r="F325" t="s">
        <v>27</v>
      </c>
      <c r="G325" t="s">
        <v>19</v>
      </c>
      <c r="H325">
        <v>7</v>
      </c>
      <c r="I325" t="s">
        <v>15</v>
      </c>
      <c r="J325">
        <v>0</v>
      </c>
      <c r="K325" t="s">
        <v>21</v>
      </c>
      <c r="L325" t="s">
        <v>30</v>
      </c>
    </row>
    <row r="326" spans="1:12" x14ac:dyDescent="0.25">
      <c r="A326">
        <v>325</v>
      </c>
      <c r="B326">
        <v>87</v>
      </c>
      <c r="C326" t="s">
        <v>26</v>
      </c>
      <c r="D326" s="1">
        <v>45543</v>
      </c>
      <c r="E326" s="1">
        <v>45545</v>
      </c>
      <c r="F326" t="s">
        <v>27</v>
      </c>
      <c r="G326" t="s">
        <v>19</v>
      </c>
      <c r="H326">
        <v>2</v>
      </c>
      <c r="I326" t="s">
        <v>15</v>
      </c>
      <c r="J326">
        <v>3</v>
      </c>
      <c r="K326" t="s">
        <v>16</v>
      </c>
      <c r="L326" t="s">
        <v>25</v>
      </c>
    </row>
    <row r="327" spans="1:12" x14ac:dyDescent="0.25">
      <c r="A327">
        <v>326</v>
      </c>
      <c r="B327">
        <v>58</v>
      </c>
      <c r="C327" t="s">
        <v>12</v>
      </c>
      <c r="D327" s="1">
        <v>45540</v>
      </c>
      <c r="E327" s="1">
        <v>45554</v>
      </c>
      <c r="F327" t="s">
        <v>18</v>
      </c>
      <c r="G327" t="s">
        <v>14</v>
      </c>
      <c r="H327">
        <v>14</v>
      </c>
      <c r="I327" t="s">
        <v>20</v>
      </c>
      <c r="J327">
        <v>4</v>
      </c>
      <c r="K327" t="s">
        <v>24</v>
      </c>
      <c r="L327" t="s">
        <v>17</v>
      </c>
    </row>
    <row r="328" spans="1:12" x14ac:dyDescent="0.25">
      <c r="A328">
        <v>327</v>
      </c>
      <c r="B328">
        <v>48</v>
      </c>
      <c r="C328" t="s">
        <v>12</v>
      </c>
      <c r="D328" s="1">
        <v>45373</v>
      </c>
      <c r="E328" s="1">
        <v>45381</v>
      </c>
      <c r="F328" t="s">
        <v>18</v>
      </c>
      <c r="G328" t="s">
        <v>23</v>
      </c>
      <c r="H328">
        <v>8</v>
      </c>
      <c r="I328" t="s">
        <v>20</v>
      </c>
      <c r="J328">
        <v>3</v>
      </c>
      <c r="K328" t="s">
        <v>16</v>
      </c>
      <c r="L328" t="s">
        <v>22</v>
      </c>
    </row>
    <row r="329" spans="1:12" x14ac:dyDescent="0.25">
      <c r="A329">
        <v>328</v>
      </c>
      <c r="B329">
        <v>24</v>
      </c>
      <c r="C329" t="s">
        <v>26</v>
      </c>
      <c r="D329" s="1">
        <v>45592</v>
      </c>
      <c r="E329" s="1">
        <v>45604</v>
      </c>
      <c r="F329" t="s">
        <v>13</v>
      </c>
      <c r="G329" t="s">
        <v>14</v>
      </c>
      <c r="H329">
        <v>12</v>
      </c>
      <c r="I329" t="s">
        <v>15</v>
      </c>
      <c r="J329">
        <v>1</v>
      </c>
      <c r="K329" t="s">
        <v>21</v>
      </c>
      <c r="L329" t="s">
        <v>22</v>
      </c>
    </row>
    <row r="330" spans="1:12" x14ac:dyDescent="0.25">
      <c r="A330">
        <v>329</v>
      </c>
      <c r="B330">
        <v>30</v>
      </c>
      <c r="C330" t="s">
        <v>26</v>
      </c>
      <c r="D330" s="1">
        <v>45482</v>
      </c>
      <c r="E330" s="1">
        <v>45492</v>
      </c>
      <c r="F330" t="s">
        <v>28</v>
      </c>
      <c r="G330" t="s">
        <v>23</v>
      </c>
      <c r="H330">
        <v>10</v>
      </c>
      <c r="I330" t="s">
        <v>15</v>
      </c>
      <c r="J330">
        <v>4</v>
      </c>
      <c r="K330" t="s">
        <v>16</v>
      </c>
      <c r="L330" t="s">
        <v>29</v>
      </c>
    </row>
    <row r="331" spans="1:12" x14ac:dyDescent="0.25">
      <c r="A331">
        <v>330</v>
      </c>
      <c r="B331">
        <v>38</v>
      </c>
      <c r="C331" t="s">
        <v>12</v>
      </c>
      <c r="D331" s="1">
        <v>45315</v>
      </c>
      <c r="E331" s="1">
        <v>45325</v>
      </c>
      <c r="F331" t="s">
        <v>28</v>
      </c>
      <c r="G331" t="s">
        <v>23</v>
      </c>
      <c r="H331">
        <v>10</v>
      </c>
      <c r="I331" t="s">
        <v>15</v>
      </c>
      <c r="J331">
        <v>2</v>
      </c>
      <c r="K331" t="s">
        <v>24</v>
      </c>
      <c r="L331" t="s">
        <v>30</v>
      </c>
    </row>
    <row r="332" spans="1:12" x14ac:dyDescent="0.25">
      <c r="A332">
        <v>331</v>
      </c>
      <c r="B332">
        <v>28</v>
      </c>
      <c r="C332" t="s">
        <v>26</v>
      </c>
      <c r="D332" s="1">
        <v>45641</v>
      </c>
      <c r="E332" s="1">
        <v>45653</v>
      </c>
      <c r="F332" t="s">
        <v>28</v>
      </c>
      <c r="G332" t="s">
        <v>19</v>
      </c>
      <c r="H332">
        <v>12</v>
      </c>
      <c r="I332" t="s">
        <v>15</v>
      </c>
      <c r="J332">
        <v>0</v>
      </c>
      <c r="K332" t="s">
        <v>16</v>
      </c>
      <c r="L332" t="s">
        <v>25</v>
      </c>
    </row>
    <row r="333" spans="1:12" x14ac:dyDescent="0.25">
      <c r="A333">
        <v>332</v>
      </c>
      <c r="B333">
        <v>55</v>
      </c>
      <c r="C333" t="s">
        <v>26</v>
      </c>
      <c r="D333" s="1">
        <v>45531</v>
      </c>
      <c r="E333" s="1">
        <v>45539</v>
      </c>
      <c r="F333" t="s">
        <v>13</v>
      </c>
      <c r="G333" t="s">
        <v>23</v>
      </c>
      <c r="H333">
        <v>8</v>
      </c>
      <c r="I333" t="s">
        <v>15</v>
      </c>
      <c r="J333">
        <v>2</v>
      </c>
      <c r="K333" t="s">
        <v>21</v>
      </c>
      <c r="L333" t="s">
        <v>25</v>
      </c>
    </row>
    <row r="334" spans="1:12" x14ac:dyDescent="0.25">
      <c r="A334">
        <v>333</v>
      </c>
      <c r="B334">
        <v>32</v>
      </c>
      <c r="C334" t="s">
        <v>12</v>
      </c>
      <c r="D334" s="1">
        <v>45627</v>
      </c>
      <c r="E334" s="1">
        <v>45640</v>
      </c>
      <c r="F334" t="s">
        <v>27</v>
      </c>
      <c r="G334" t="s">
        <v>19</v>
      </c>
      <c r="H334">
        <v>13</v>
      </c>
      <c r="I334" t="s">
        <v>15</v>
      </c>
      <c r="J334">
        <v>2</v>
      </c>
      <c r="K334" t="s">
        <v>16</v>
      </c>
      <c r="L334" t="s">
        <v>30</v>
      </c>
    </row>
    <row r="335" spans="1:12" x14ac:dyDescent="0.25">
      <c r="A335">
        <v>334</v>
      </c>
      <c r="B335">
        <v>29</v>
      </c>
      <c r="C335" t="s">
        <v>26</v>
      </c>
      <c r="D335" s="1">
        <v>45361</v>
      </c>
      <c r="E335" s="1">
        <v>45371</v>
      </c>
      <c r="F335" t="s">
        <v>27</v>
      </c>
      <c r="G335" t="s">
        <v>19</v>
      </c>
      <c r="H335">
        <v>10</v>
      </c>
      <c r="I335" t="s">
        <v>15</v>
      </c>
      <c r="J335">
        <v>1</v>
      </c>
      <c r="K335" t="s">
        <v>21</v>
      </c>
      <c r="L335" t="s">
        <v>30</v>
      </c>
    </row>
    <row r="336" spans="1:12" x14ac:dyDescent="0.25">
      <c r="A336">
        <v>335</v>
      </c>
      <c r="B336">
        <v>33</v>
      </c>
      <c r="C336" t="s">
        <v>12</v>
      </c>
      <c r="D336" s="1">
        <v>45334</v>
      </c>
      <c r="E336" s="1">
        <v>45346</v>
      </c>
      <c r="F336" t="s">
        <v>28</v>
      </c>
      <c r="G336" t="s">
        <v>19</v>
      </c>
      <c r="H336">
        <v>12</v>
      </c>
      <c r="I336" t="s">
        <v>15</v>
      </c>
      <c r="J336">
        <v>0</v>
      </c>
      <c r="K336" t="s">
        <v>24</v>
      </c>
      <c r="L336" t="s">
        <v>22</v>
      </c>
    </row>
    <row r="337" spans="1:12" x14ac:dyDescent="0.25">
      <c r="A337">
        <v>336</v>
      </c>
      <c r="B337">
        <v>81</v>
      </c>
      <c r="C337" t="s">
        <v>12</v>
      </c>
      <c r="D337" s="1">
        <v>45496</v>
      </c>
      <c r="E337" s="1">
        <v>45504</v>
      </c>
      <c r="F337" t="s">
        <v>18</v>
      </c>
      <c r="G337" t="s">
        <v>23</v>
      </c>
      <c r="H337">
        <v>8</v>
      </c>
      <c r="I337" t="s">
        <v>15</v>
      </c>
      <c r="J337">
        <v>2</v>
      </c>
      <c r="K337" t="s">
        <v>21</v>
      </c>
      <c r="L337" t="s">
        <v>25</v>
      </c>
    </row>
    <row r="338" spans="1:12" x14ac:dyDescent="0.25">
      <c r="A338">
        <v>337</v>
      </c>
      <c r="B338">
        <v>49</v>
      </c>
      <c r="C338" t="s">
        <v>26</v>
      </c>
      <c r="D338" s="1">
        <v>45511</v>
      </c>
      <c r="E338" s="1">
        <v>45513</v>
      </c>
      <c r="F338" t="s">
        <v>31</v>
      </c>
      <c r="G338" t="s">
        <v>19</v>
      </c>
      <c r="H338">
        <v>2</v>
      </c>
      <c r="I338" t="s">
        <v>15</v>
      </c>
      <c r="J338">
        <v>2</v>
      </c>
      <c r="K338" t="s">
        <v>24</v>
      </c>
      <c r="L338" t="s">
        <v>29</v>
      </c>
    </row>
    <row r="339" spans="1:12" x14ac:dyDescent="0.25">
      <c r="A339">
        <v>338</v>
      </c>
      <c r="B339">
        <v>51</v>
      </c>
      <c r="C339" t="s">
        <v>26</v>
      </c>
      <c r="D339" s="1">
        <v>45368</v>
      </c>
      <c r="E339" s="1">
        <v>45370</v>
      </c>
      <c r="F339" t="s">
        <v>18</v>
      </c>
      <c r="G339" t="s">
        <v>19</v>
      </c>
      <c r="H339">
        <v>2</v>
      </c>
      <c r="I339" t="s">
        <v>20</v>
      </c>
      <c r="J339">
        <v>0</v>
      </c>
      <c r="K339" t="s">
        <v>16</v>
      </c>
      <c r="L339" t="s">
        <v>25</v>
      </c>
    </row>
    <row r="340" spans="1:12" x14ac:dyDescent="0.25">
      <c r="A340">
        <v>339</v>
      </c>
      <c r="B340">
        <v>21</v>
      </c>
      <c r="C340" t="s">
        <v>12</v>
      </c>
      <c r="D340" s="1">
        <v>45465</v>
      </c>
      <c r="E340" s="1">
        <v>45475</v>
      </c>
      <c r="F340" t="s">
        <v>27</v>
      </c>
      <c r="G340" t="s">
        <v>23</v>
      </c>
      <c r="H340">
        <v>10</v>
      </c>
      <c r="I340" t="s">
        <v>20</v>
      </c>
      <c r="J340">
        <v>2</v>
      </c>
      <c r="K340" t="s">
        <v>24</v>
      </c>
      <c r="L340" t="s">
        <v>30</v>
      </c>
    </row>
    <row r="341" spans="1:12" x14ac:dyDescent="0.25">
      <c r="A341">
        <v>340</v>
      </c>
      <c r="B341">
        <v>43</v>
      </c>
      <c r="C341" t="s">
        <v>12</v>
      </c>
      <c r="D341" s="1">
        <v>45630</v>
      </c>
      <c r="E341" s="1">
        <v>45643</v>
      </c>
      <c r="F341" t="s">
        <v>27</v>
      </c>
      <c r="G341" t="s">
        <v>19</v>
      </c>
      <c r="H341">
        <v>13</v>
      </c>
      <c r="I341" t="s">
        <v>20</v>
      </c>
      <c r="J341">
        <v>4</v>
      </c>
      <c r="K341" t="s">
        <v>24</v>
      </c>
      <c r="L341" t="s">
        <v>22</v>
      </c>
    </row>
    <row r="342" spans="1:12" x14ac:dyDescent="0.25">
      <c r="A342">
        <v>341</v>
      </c>
      <c r="B342">
        <v>68</v>
      </c>
      <c r="C342" t="s">
        <v>12</v>
      </c>
      <c r="D342" s="1">
        <v>45528</v>
      </c>
      <c r="E342" s="1">
        <v>45539</v>
      </c>
      <c r="F342" t="s">
        <v>18</v>
      </c>
      <c r="G342" t="s">
        <v>23</v>
      </c>
      <c r="H342">
        <v>11</v>
      </c>
      <c r="I342" t="s">
        <v>20</v>
      </c>
      <c r="J342">
        <v>1</v>
      </c>
      <c r="K342" t="s">
        <v>24</v>
      </c>
      <c r="L342" t="s">
        <v>17</v>
      </c>
    </row>
    <row r="343" spans="1:12" x14ac:dyDescent="0.25">
      <c r="A343">
        <v>342</v>
      </c>
      <c r="B343">
        <v>79</v>
      </c>
      <c r="C343" t="s">
        <v>12</v>
      </c>
      <c r="D343" s="1">
        <v>45654</v>
      </c>
      <c r="E343" s="1">
        <v>45658</v>
      </c>
      <c r="F343" t="s">
        <v>27</v>
      </c>
      <c r="G343" t="s">
        <v>23</v>
      </c>
      <c r="H343">
        <v>4</v>
      </c>
      <c r="I343" t="s">
        <v>15</v>
      </c>
      <c r="J343">
        <v>3</v>
      </c>
      <c r="K343" t="s">
        <v>16</v>
      </c>
      <c r="L343" t="s">
        <v>17</v>
      </c>
    </row>
    <row r="344" spans="1:12" x14ac:dyDescent="0.25">
      <c r="A344">
        <v>343</v>
      </c>
      <c r="B344">
        <v>33</v>
      </c>
      <c r="C344" t="s">
        <v>12</v>
      </c>
      <c r="D344" s="1">
        <v>45579</v>
      </c>
      <c r="E344" s="1">
        <v>45586</v>
      </c>
      <c r="F344" t="s">
        <v>27</v>
      </c>
      <c r="G344" t="s">
        <v>19</v>
      </c>
      <c r="H344">
        <v>7</v>
      </c>
      <c r="I344" t="s">
        <v>15</v>
      </c>
      <c r="J344">
        <v>3</v>
      </c>
      <c r="K344" t="s">
        <v>16</v>
      </c>
      <c r="L344" t="s">
        <v>22</v>
      </c>
    </row>
    <row r="345" spans="1:12" x14ac:dyDescent="0.25">
      <c r="A345">
        <v>344</v>
      </c>
      <c r="B345">
        <v>53</v>
      </c>
      <c r="C345" t="s">
        <v>12</v>
      </c>
      <c r="D345" s="1">
        <v>45515</v>
      </c>
      <c r="E345" s="1">
        <v>45525</v>
      </c>
      <c r="F345" t="s">
        <v>31</v>
      </c>
      <c r="G345" t="s">
        <v>19</v>
      </c>
      <c r="H345">
        <v>10</v>
      </c>
      <c r="I345" t="s">
        <v>20</v>
      </c>
      <c r="J345">
        <v>2</v>
      </c>
      <c r="K345" t="s">
        <v>21</v>
      </c>
      <c r="L345" t="s">
        <v>29</v>
      </c>
    </row>
    <row r="346" spans="1:12" x14ac:dyDescent="0.25">
      <c r="A346">
        <v>345</v>
      </c>
      <c r="B346">
        <v>31</v>
      </c>
      <c r="C346" t="s">
        <v>12</v>
      </c>
      <c r="D346" s="1">
        <v>45639</v>
      </c>
      <c r="E346" s="1">
        <v>45652</v>
      </c>
      <c r="F346" t="s">
        <v>31</v>
      </c>
      <c r="G346" t="s">
        <v>23</v>
      </c>
      <c r="H346">
        <v>13</v>
      </c>
      <c r="I346" t="s">
        <v>20</v>
      </c>
      <c r="J346">
        <v>0</v>
      </c>
      <c r="K346" t="s">
        <v>21</v>
      </c>
      <c r="L346" t="s">
        <v>22</v>
      </c>
    </row>
    <row r="347" spans="1:12" x14ac:dyDescent="0.25">
      <c r="A347">
        <v>346</v>
      </c>
      <c r="B347">
        <v>69</v>
      </c>
      <c r="C347" t="s">
        <v>12</v>
      </c>
      <c r="D347" s="1">
        <v>45594</v>
      </c>
      <c r="E347" s="1">
        <v>45602</v>
      </c>
      <c r="F347" t="s">
        <v>13</v>
      </c>
      <c r="G347" t="s">
        <v>14</v>
      </c>
      <c r="H347">
        <v>8</v>
      </c>
      <c r="I347" t="s">
        <v>15</v>
      </c>
      <c r="J347">
        <v>1</v>
      </c>
      <c r="K347" t="s">
        <v>24</v>
      </c>
      <c r="L347" t="s">
        <v>22</v>
      </c>
    </row>
    <row r="348" spans="1:12" x14ac:dyDescent="0.25">
      <c r="A348">
        <v>347</v>
      </c>
      <c r="B348">
        <v>64</v>
      </c>
      <c r="C348" t="s">
        <v>26</v>
      </c>
      <c r="D348" s="1">
        <v>45594</v>
      </c>
      <c r="E348" s="1">
        <v>45597</v>
      </c>
      <c r="F348" t="s">
        <v>18</v>
      </c>
      <c r="G348" t="s">
        <v>19</v>
      </c>
      <c r="H348">
        <v>3</v>
      </c>
      <c r="I348" t="s">
        <v>15</v>
      </c>
      <c r="J348">
        <v>1</v>
      </c>
      <c r="K348" t="s">
        <v>24</v>
      </c>
      <c r="L348" t="s">
        <v>29</v>
      </c>
    </row>
    <row r="349" spans="1:12" x14ac:dyDescent="0.25">
      <c r="A349">
        <v>348</v>
      </c>
      <c r="B349">
        <v>37</v>
      </c>
      <c r="C349" t="s">
        <v>12</v>
      </c>
      <c r="D349" s="1">
        <v>45436</v>
      </c>
      <c r="E349" s="1">
        <v>45446</v>
      </c>
      <c r="F349" t="s">
        <v>13</v>
      </c>
      <c r="G349" t="s">
        <v>19</v>
      </c>
      <c r="H349">
        <v>10</v>
      </c>
      <c r="I349" t="s">
        <v>20</v>
      </c>
      <c r="J349">
        <v>2</v>
      </c>
      <c r="K349" t="s">
        <v>24</v>
      </c>
      <c r="L349" t="s">
        <v>17</v>
      </c>
    </row>
    <row r="350" spans="1:12" x14ac:dyDescent="0.25">
      <c r="A350">
        <v>349</v>
      </c>
      <c r="B350">
        <v>31</v>
      </c>
      <c r="C350" t="s">
        <v>12</v>
      </c>
      <c r="D350" s="1">
        <v>45297</v>
      </c>
      <c r="E350" s="1">
        <v>45311</v>
      </c>
      <c r="F350" t="s">
        <v>31</v>
      </c>
      <c r="G350" t="s">
        <v>19</v>
      </c>
      <c r="H350">
        <v>14</v>
      </c>
      <c r="I350" t="s">
        <v>15</v>
      </c>
      <c r="J350">
        <v>2</v>
      </c>
      <c r="K350" t="s">
        <v>21</v>
      </c>
      <c r="L350" t="s">
        <v>30</v>
      </c>
    </row>
    <row r="351" spans="1:12" x14ac:dyDescent="0.25">
      <c r="A351">
        <v>350</v>
      </c>
      <c r="B351">
        <v>37</v>
      </c>
      <c r="C351" t="s">
        <v>26</v>
      </c>
      <c r="D351" s="1">
        <v>45636</v>
      </c>
      <c r="E351" s="1">
        <v>45647</v>
      </c>
      <c r="F351" t="s">
        <v>27</v>
      </c>
      <c r="G351" t="s">
        <v>23</v>
      </c>
      <c r="H351">
        <v>11</v>
      </c>
      <c r="I351" t="s">
        <v>15</v>
      </c>
      <c r="J351">
        <v>4</v>
      </c>
      <c r="K351" t="s">
        <v>16</v>
      </c>
      <c r="L351" t="s">
        <v>29</v>
      </c>
    </row>
    <row r="352" spans="1:12" x14ac:dyDescent="0.25">
      <c r="A352">
        <v>351</v>
      </c>
      <c r="B352">
        <v>88</v>
      </c>
      <c r="C352" t="s">
        <v>12</v>
      </c>
      <c r="D352" s="1">
        <v>45607</v>
      </c>
      <c r="E352" s="1">
        <v>45608</v>
      </c>
      <c r="F352" t="s">
        <v>18</v>
      </c>
      <c r="G352" t="s">
        <v>19</v>
      </c>
      <c r="H352">
        <v>1</v>
      </c>
      <c r="I352" t="s">
        <v>15</v>
      </c>
      <c r="J352">
        <v>0</v>
      </c>
      <c r="K352" t="s">
        <v>16</v>
      </c>
      <c r="L352" t="s">
        <v>25</v>
      </c>
    </row>
    <row r="353" spans="1:12" x14ac:dyDescent="0.25">
      <c r="A353">
        <v>352</v>
      </c>
      <c r="B353">
        <v>23</v>
      </c>
      <c r="C353" t="s">
        <v>26</v>
      </c>
      <c r="D353" s="1">
        <v>45474</v>
      </c>
      <c r="E353" s="1">
        <v>45482</v>
      </c>
      <c r="F353" t="s">
        <v>13</v>
      </c>
      <c r="G353" t="s">
        <v>14</v>
      </c>
      <c r="H353">
        <v>8</v>
      </c>
      <c r="I353" t="s">
        <v>15</v>
      </c>
      <c r="J353">
        <v>3</v>
      </c>
      <c r="K353" t="s">
        <v>24</v>
      </c>
      <c r="L353" t="s">
        <v>25</v>
      </c>
    </row>
    <row r="354" spans="1:12" x14ac:dyDescent="0.25">
      <c r="A354">
        <v>353</v>
      </c>
      <c r="B354">
        <v>30</v>
      </c>
      <c r="C354" t="s">
        <v>12</v>
      </c>
      <c r="D354" s="1">
        <v>45646</v>
      </c>
      <c r="E354" s="1">
        <v>45647</v>
      </c>
      <c r="F354" t="s">
        <v>18</v>
      </c>
      <c r="G354" t="s">
        <v>19</v>
      </c>
      <c r="H354">
        <v>1</v>
      </c>
      <c r="I354" t="s">
        <v>15</v>
      </c>
      <c r="J354">
        <v>2</v>
      </c>
      <c r="K354" t="s">
        <v>21</v>
      </c>
      <c r="L354" t="s">
        <v>30</v>
      </c>
    </row>
    <row r="355" spans="1:12" x14ac:dyDescent="0.25">
      <c r="A355">
        <v>354</v>
      </c>
      <c r="B355">
        <v>53</v>
      </c>
      <c r="C355" t="s">
        <v>26</v>
      </c>
      <c r="D355" s="1">
        <v>45618</v>
      </c>
      <c r="E355" s="1">
        <v>45625</v>
      </c>
      <c r="F355" t="s">
        <v>28</v>
      </c>
      <c r="G355" t="s">
        <v>14</v>
      </c>
      <c r="H355">
        <v>7</v>
      </c>
      <c r="I355" t="s">
        <v>20</v>
      </c>
      <c r="J355">
        <v>3</v>
      </c>
      <c r="K355" t="s">
        <v>16</v>
      </c>
      <c r="L355" t="s">
        <v>17</v>
      </c>
    </row>
    <row r="356" spans="1:12" x14ac:dyDescent="0.25">
      <c r="A356">
        <v>355</v>
      </c>
      <c r="B356">
        <v>44</v>
      </c>
      <c r="C356" t="s">
        <v>12</v>
      </c>
      <c r="D356" s="1">
        <v>45529</v>
      </c>
      <c r="E356" s="1">
        <v>45543</v>
      </c>
      <c r="F356" t="s">
        <v>18</v>
      </c>
      <c r="G356" t="s">
        <v>19</v>
      </c>
      <c r="H356">
        <v>14</v>
      </c>
      <c r="I356" t="s">
        <v>15</v>
      </c>
      <c r="J356">
        <v>4</v>
      </c>
      <c r="K356" t="s">
        <v>24</v>
      </c>
      <c r="L356" t="s">
        <v>25</v>
      </c>
    </row>
    <row r="357" spans="1:12" x14ac:dyDescent="0.25">
      <c r="A357">
        <v>356</v>
      </c>
      <c r="B357">
        <v>53</v>
      </c>
      <c r="C357" t="s">
        <v>12</v>
      </c>
      <c r="D357" s="1">
        <v>45559</v>
      </c>
      <c r="E357" s="1">
        <v>45569</v>
      </c>
      <c r="F357" t="s">
        <v>27</v>
      </c>
      <c r="G357" t="s">
        <v>14</v>
      </c>
      <c r="H357">
        <v>10</v>
      </c>
      <c r="I357" t="s">
        <v>15</v>
      </c>
      <c r="J357">
        <v>0</v>
      </c>
      <c r="K357" t="s">
        <v>24</v>
      </c>
      <c r="L357" t="s">
        <v>25</v>
      </c>
    </row>
    <row r="358" spans="1:12" x14ac:dyDescent="0.25">
      <c r="A358">
        <v>357</v>
      </c>
      <c r="B358">
        <v>86</v>
      </c>
      <c r="C358" t="s">
        <v>26</v>
      </c>
      <c r="D358" s="1">
        <v>45442</v>
      </c>
      <c r="E358" s="1">
        <v>45454</v>
      </c>
      <c r="F358" t="s">
        <v>27</v>
      </c>
      <c r="G358" t="s">
        <v>19</v>
      </c>
      <c r="H358">
        <v>12</v>
      </c>
      <c r="I358" t="s">
        <v>15</v>
      </c>
      <c r="J358">
        <v>2</v>
      </c>
      <c r="K358" t="s">
        <v>21</v>
      </c>
      <c r="L358" t="s">
        <v>17</v>
      </c>
    </row>
    <row r="359" spans="1:12" x14ac:dyDescent="0.25">
      <c r="A359">
        <v>358</v>
      </c>
      <c r="B359">
        <v>84</v>
      </c>
      <c r="C359" t="s">
        <v>26</v>
      </c>
      <c r="D359" s="1">
        <v>45630</v>
      </c>
      <c r="E359" s="1">
        <v>45635</v>
      </c>
      <c r="F359" t="s">
        <v>18</v>
      </c>
      <c r="G359" t="s">
        <v>19</v>
      </c>
      <c r="H359">
        <v>5</v>
      </c>
      <c r="I359" t="s">
        <v>15</v>
      </c>
      <c r="J359">
        <v>1</v>
      </c>
      <c r="K359" t="s">
        <v>21</v>
      </c>
      <c r="L359" t="s">
        <v>17</v>
      </c>
    </row>
    <row r="360" spans="1:12" x14ac:dyDescent="0.25">
      <c r="A360">
        <v>359</v>
      </c>
      <c r="B360">
        <v>68</v>
      </c>
      <c r="C360" t="s">
        <v>12</v>
      </c>
      <c r="D360" s="1">
        <v>45324</v>
      </c>
      <c r="E360" s="1">
        <v>45329</v>
      </c>
      <c r="F360" t="s">
        <v>27</v>
      </c>
      <c r="G360" t="s">
        <v>14</v>
      </c>
      <c r="H360">
        <v>5</v>
      </c>
      <c r="I360" t="s">
        <v>15</v>
      </c>
      <c r="J360">
        <v>3</v>
      </c>
      <c r="K360" t="s">
        <v>16</v>
      </c>
      <c r="L360" t="s">
        <v>22</v>
      </c>
    </row>
    <row r="361" spans="1:12" x14ac:dyDescent="0.25">
      <c r="A361">
        <v>360</v>
      </c>
      <c r="B361">
        <v>67</v>
      </c>
      <c r="C361" t="s">
        <v>12</v>
      </c>
      <c r="D361" s="1">
        <v>45555</v>
      </c>
      <c r="E361" s="1">
        <v>45565</v>
      </c>
      <c r="F361" t="s">
        <v>13</v>
      </c>
      <c r="G361" t="s">
        <v>14</v>
      </c>
      <c r="H361">
        <v>10</v>
      </c>
      <c r="I361" t="s">
        <v>15</v>
      </c>
      <c r="J361">
        <v>3</v>
      </c>
      <c r="K361" t="s">
        <v>21</v>
      </c>
      <c r="L361" t="s">
        <v>30</v>
      </c>
    </row>
    <row r="362" spans="1:12" x14ac:dyDescent="0.25">
      <c r="A362">
        <v>361</v>
      </c>
      <c r="B362">
        <v>76</v>
      </c>
      <c r="C362" t="s">
        <v>26</v>
      </c>
      <c r="D362" s="1">
        <v>45352</v>
      </c>
      <c r="E362" s="1">
        <v>45364</v>
      </c>
      <c r="F362" t="s">
        <v>31</v>
      </c>
      <c r="G362" t="s">
        <v>23</v>
      </c>
      <c r="H362">
        <v>12</v>
      </c>
      <c r="I362" t="s">
        <v>20</v>
      </c>
      <c r="J362">
        <v>2</v>
      </c>
      <c r="K362" t="s">
        <v>16</v>
      </c>
      <c r="L362" t="s">
        <v>25</v>
      </c>
    </row>
    <row r="363" spans="1:12" x14ac:dyDescent="0.25">
      <c r="A363">
        <v>362</v>
      </c>
      <c r="B363">
        <v>24</v>
      </c>
      <c r="C363" t="s">
        <v>26</v>
      </c>
      <c r="D363" s="1">
        <v>45566</v>
      </c>
      <c r="E363" s="1">
        <v>45573</v>
      </c>
      <c r="F363" t="s">
        <v>13</v>
      </c>
      <c r="G363" t="s">
        <v>23</v>
      </c>
      <c r="H363">
        <v>7</v>
      </c>
      <c r="I363" t="s">
        <v>15</v>
      </c>
      <c r="J363">
        <v>1</v>
      </c>
      <c r="K363" t="s">
        <v>21</v>
      </c>
      <c r="L363" t="s">
        <v>29</v>
      </c>
    </row>
    <row r="364" spans="1:12" x14ac:dyDescent="0.25">
      <c r="A364">
        <v>363</v>
      </c>
      <c r="B364">
        <v>25</v>
      </c>
      <c r="C364" t="s">
        <v>26</v>
      </c>
      <c r="D364" s="1">
        <v>45629</v>
      </c>
      <c r="E364" s="1">
        <v>45635</v>
      </c>
      <c r="F364" t="s">
        <v>28</v>
      </c>
      <c r="G364" t="s">
        <v>19</v>
      </c>
      <c r="H364">
        <v>6</v>
      </c>
      <c r="I364" t="s">
        <v>15</v>
      </c>
      <c r="J364">
        <v>2</v>
      </c>
      <c r="K364" t="s">
        <v>24</v>
      </c>
      <c r="L364" t="s">
        <v>17</v>
      </c>
    </row>
    <row r="365" spans="1:12" x14ac:dyDescent="0.25">
      <c r="A365">
        <v>364</v>
      </c>
      <c r="B365">
        <v>84</v>
      </c>
      <c r="C365" t="s">
        <v>12</v>
      </c>
      <c r="D365" s="1">
        <v>45380</v>
      </c>
      <c r="E365" s="1">
        <v>45394</v>
      </c>
      <c r="F365" t="s">
        <v>28</v>
      </c>
      <c r="G365" t="s">
        <v>14</v>
      </c>
      <c r="H365">
        <v>14</v>
      </c>
      <c r="I365" t="s">
        <v>15</v>
      </c>
      <c r="J365">
        <v>0</v>
      </c>
      <c r="K365" t="s">
        <v>21</v>
      </c>
      <c r="L365" t="s">
        <v>22</v>
      </c>
    </row>
    <row r="366" spans="1:12" x14ac:dyDescent="0.25">
      <c r="A366">
        <v>365</v>
      </c>
      <c r="B366">
        <v>64</v>
      </c>
      <c r="C366" t="s">
        <v>26</v>
      </c>
      <c r="D366" s="1">
        <v>45520</v>
      </c>
      <c r="E366" s="1">
        <v>45521</v>
      </c>
      <c r="F366" t="s">
        <v>28</v>
      </c>
      <c r="G366" t="s">
        <v>23</v>
      </c>
      <c r="H366">
        <v>1</v>
      </c>
      <c r="I366" t="s">
        <v>15</v>
      </c>
      <c r="J366">
        <v>1</v>
      </c>
      <c r="K366" t="s">
        <v>16</v>
      </c>
      <c r="L366" t="s">
        <v>30</v>
      </c>
    </row>
    <row r="367" spans="1:12" x14ac:dyDescent="0.25">
      <c r="A367">
        <v>366</v>
      </c>
      <c r="B367">
        <v>78</v>
      </c>
      <c r="C367" t="s">
        <v>26</v>
      </c>
      <c r="D367" s="1">
        <v>45524</v>
      </c>
      <c r="E367" s="1">
        <v>45533</v>
      </c>
      <c r="F367" t="s">
        <v>31</v>
      </c>
      <c r="G367" t="s">
        <v>19</v>
      </c>
      <c r="H367">
        <v>9</v>
      </c>
      <c r="I367" t="s">
        <v>15</v>
      </c>
      <c r="J367">
        <v>2</v>
      </c>
      <c r="K367" t="s">
        <v>16</v>
      </c>
      <c r="L367" t="s">
        <v>22</v>
      </c>
    </row>
    <row r="368" spans="1:12" x14ac:dyDescent="0.25">
      <c r="A368">
        <v>367</v>
      </c>
      <c r="B368">
        <v>42</v>
      </c>
      <c r="C368" t="s">
        <v>26</v>
      </c>
      <c r="D368" s="1">
        <v>45553</v>
      </c>
      <c r="E368" s="1">
        <v>45558</v>
      </c>
      <c r="F368" t="s">
        <v>28</v>
      </c>
      <c r="G368" t="s">
        <v>23</v>
      </c>
      <c r="H368">
        <v>5</v>
      </c>
      <c r="I368" t="s">
        <v>15</v>
      </c>
      <c r="J368">
        <v>2</v>
      </c>
      <c r="K368" t="s">
        <v>24</v>
      </c>
      <c r="L368" t="s">
        <v>17</v>
      </c>
    </row>
    <row r="369" spans="1:12" x14ac:dyDescent="0.25">
      <c r="A369">
        <v>368</v>
      </c>
      <c r="B369">
        <v>44</v>
      </c>
      <c r="C369" t="s">
        <v>26</v>
      </c>
      <c r="D369" s="1">
        <v>45372</v>
      </c>
      <c r="E369" s="1">
        <v>45377</v>
      </c>
      <c r="F369" t="s">
        <v>13</v>
      </c>
      <c r="G369" t="s">
        <v>19</v>
      </c>
      <c r="H369">
        <v>5</v>
      </c>
      <c r="I369" t="s">
        <v>15</v>
      </c>
      <c r="J369">
        <v>0</v>
      </c>
      <c r="K369" t="s">
        <v>21</v>
      </c>
      <c r="L369" t="s">
        <v>25</v>
      </c>
    </row>
    <row r="370" spans="1:12" x14ac:dyDescent="0.25">
      <c r="A370">
        <v>369</v>
      </c>
      <c r="B370">
        <v>68</v>
      </c>
      <c r="C370" t="s">
        <v>12</v>
      </c>
      <c r="D370" s="1">
        <v>45316</v>
      </c>
      <c r="E370" s="1">
        <v>45326</v>
      </c>
      <c r="F370" t="s">
        <v>13</v>
      </c>
      <c r="G370" t="s">
        <v>14</v>
      </c>
      <c r="H370">
        <v>10</v>
      </c>
      <c r="I370" t="s">
        <v>15</v>
      </c>
      <c r="J370">
        <v>3</v>
      </c>
      <c r="K370" t="s">
        <v>16</v>
      </c>
      <c r="L370" t="s">
        <v>30</v>
      </c>
    </row>
    <row r="371" spans="1:12" x14ac:dyDescent="0.25">
      <c r="A371">
        <v>370</v>
      </c>
      <c r="B371">
        <v>77</v>
      </c>
      <c r="C371" t="s">
        <v>26</v>
      </c>
      <c r="D371" s="1">
        <v>45636</v>
      </c>
      <c r="E371" s="1">
        <v>45639</v>
      </c>
      <c r="F371" t="s">
        <v>28</v>
      </c>
      <c r="G371" t="s">
        <v>14</v>
      </c>
      <c r="H371">
        <v>3</v>
      </c>
      <c r="I371" t="s">
        <v>15</v>
      </c>
      <c r="J371">
        <v>1</v>
      </c>
      <c r="K371" t="s">
        <v>16</v>
      </c>
      <c r="L371" t="s">
        <v>22</v>
      </c>
    </row>
    <row r="372" spans="1:12" x14ac:dyDescent="0.25">
      <c r="A372">
        <v>371</v>
      </c>
      <c r="B372">
        <v>73</v>
      </c>
      <c r="C372" t="s">
        <v>26</v>
      </c>
      <c r="D372" s="1">
        <v>45647</v>
      </c>
      <c r="E372" s="1">
        <v>45651</v>
      </c>
      <c r="F372" t="s">
        <v>31</v>
      </c>
      <c r="G372" t="s">
        <v>19</v>
      </c>
      <c r="H372">
        <v>4</v>
      </c>
      <c r="I372" t="s">
        <v>20</v>
      </c>
      <c r="J372">
        <v>4</v>
      </c>
      <c r="K372" t="s">
        <v>24</v>
      </c>
      <c r="L372" t="s">
        <v>25</v>
      </c>
    </row>
    <row r="373" spans="1:12" x14ac:dyDescent="0.25">
      <c r="A373">
        <v>372</v>
      </c>
      <c r="B373">
        <v>35</v>
      </c>
      <c r="C373" t="s">
        <v>26</v>
      </c>
      <c r="D373" s="1">
        <v>45412</v>
      </c>
      <c r="E373" s="1">
        <v>45420</v>
      </c>
      <c r="F373" t="s">
        <v>13</v>
      </c>
      <c r="G373" t="s">
        <v>19</v>
      </c>
      <c r="H373">
        <v>8</v>
      </c>
      <c r="I373" t="s">
        <v>15</v>
      </c>
      <c r="J373">
        <v>0</v>
      </c>
      <c r="K373" t="s">
        <v>24</v>
      </c>
      <c r="L373" t="s">
        <v>25</v>
      </c>
    </row>
    <row r="374" spans="1:12" x14ac:dyDescent="0.25">
      <c r="A374">
        <v>373</v>
      </c>
      <c r="B374">
        <v>88</v>
      </c>
      <c r="C374" t="s">
        <v>12</v>
      </c>
      <c r="D374" s="1">
        <v>45564</v>
      </c>
      <c r="E374" s="1">
        <v>45565</v>
      </c>
      <c r="F374" t="s">
        <v>31</v>
      </c>
      <c r="G374" t="s">
        <v>14</v>
      </c>
      <c r="H374">
        <v>1</v>
      </c>
      <c r="I374" t="s">
        <v>20</v>
      </c>
      <c r="J374">
        <v>2</v>
      </c>
      <c r="K374" t="s">
        <v>16</v>
      </c>
      <c r="L374" t="s">
        <v>25</v>
      </c>
    </row>
    <row r="375" spans="1:12" x14ac:dyDescent="0.25">
      <c r="A375">
        <v>374</v>
      </c>
      <c r="B375">
        <v>51</v>
      </c>
      <c r="C375" t="s">
        <v>12</v>
      </c>
      <c r="D375" s="1">
        <v>45400</v>
      </c>
      <c r="E375" s="1">
        <v>45403</v>
      </c>
      <c r="F375" t="s">
        <v>27</v>
      </c>
      <c r="G375" t="s">
        <v>14</v>
      </c>
      <c r="H375">
        <v>3</v>
      </c>
      <c r="I375" t="s">
        <v>20</v>
      </c>
      <c r="J375">
        <v>4</v>
      </c>
      <c r="K375" t="s">
        <v>24</v>
      </c>
      <c r="L375" t="s">
        <v>17</v>
      </c>
    </row>
    <row r="376" spans="1:12" x14ac:dyDescent="0.25">
      <c r="A376">
        <v>375</v>
      </c>
      <c r="B376">
        <v>47</v>
      </c>
      <c r="C376" t="s">
        <v>12</v>
      </c>
      <c r="D376" s="1">
        <v>45308</v>
      </c>
      <c r="E376" s="1">
        <v>45323</v>
      </c>
      <c r="F376" t="s">
        <v>27</v>
      </c>
      <c r="G376" t="s">
        <v>14</v>
      </c>
      <c r="H376">
        <v>15</v>
      </c>
      <c r="I376" t="s">
        <v>20</v>
      </c>
      <c r="J376">
        <v>2</v>
      </c>
      <c r="K376" t="s">
        <v>21</v>
      </c>
      <c r="L376" t="s">
        <v>22</v>
      </c>
    </row>
    <row r="377" spans="1:12" x14ac:dyDescent="0.25">
      <c r="A377">
        <v>376</v>
      </c>
      <c r="B377">
        <v>32</v>
      </c>
      <c r="C377" t="s">
        <v>26</v>
      </c>
      <c r="D377" s="1">
        <v>45446</v>
      </c>
      <c r="E377" s="1">
        <v>45458</v>
      </c>
      <c r="F377" t="s">
        <v>27</v>
      </c>
      <c r="G377" t="s">
        <v>14</v>
      </c>
      <c r="H377">
        <v>12</v>
      </c>
      <c r="I377" t="s">
        <v>15</v>
      </c>
      <c r="J377">
        <v>3</v>
      </c>
      <c r="K377" t="s">
        <v>21</v>
      </c>
      <c r="L377" t="s">
        <v>29</v>
      </c>
    </row>
    <row r="378" spans="1:12" x14ac:dyDescent="0.25">
      <c r="A378">
        <v>377</v>
      </c>
      <c r="B378">
        <v>44</v>
      </c>
      <c r="C378" t="s">
        <v>12</v>
      </c>
      <c r="D378" s="1">
        <v>45390</v>
      </c>
      <c r="E378" s="1">
        <v>45405</v>
      </c>
      <c r="F378" t="s">
        <v>28</v>
      </c>
      <c r="G378" t="s">
        <v>23</v>
      </c>
      <c r="H378">
        <v>15</v>
      </c>
      <c r="I378" t="s">
        <v>20</v>
      </c>
      <c r="J378">
        <v>3</v>
      </c>
      <c r="K378" t="s">
        <v>21</v>
      </c>
      <c r="L378" t="s">
        <v>22</v>
      </c>
    </row>
    <row r="379" spans="1:12" x14ac:dyDescent="0.25">
      <c r="A379">
        <v>378</v>
      </c>
      <c r="B379">
        <v>89</v>
      </c>
      <c r="C379" t="s">
        <v>12</v>
      </c>
      <c r="D379" s="1">
        <v>45355</v>
      </c>
      <c r="E379" s="1">
        <v>45357</v>
      </c>
      <c r="F379" t="s">
        <v>31</v>
      </c>
      <c r="G379" t="s">
        <v>14</v>
      </c>
      <c r="H379">
        <v>2</v>
      </c>
      <c r="I379" t="s">
        <v>15</v>
      </c>
      <c r="J379">
        <v>4</v>
      </c>
      <c r="K379" t="s">
        <v>24</v>
      </c>
      <c r="L379" t="s">
        <v>25</v>
      </c>
    </row>
    <row r="380" spans="1:12" x14ac:dyDescent="0.25">
      <c r="A380">
        <v>379</v>
      </c>
      <c r="B380">
        <v>36</v>
      </c>
      <c r="C380" t="s">
        <v>26</v>
      </c>
      <c r="D380" s="1">
        <v>45629</v>
      </c>
      <c r="E380" s="1">
        <v>45637</v>
      </c>
      <c r="F380" t="s">
        <v>28</v>
      </c>
      <c r="G380" t="s">
        <v>19</v>
      </c>
      <c r="H380">
        <v>8</v>
      </c>
      <c r="I380" t="s">
        <v>15</v>
      </c>
      <c r="J380">
        <v>2</v>
      </c>
      <c r="K380" t="s">
        <v>24</v>
      </c>
      <c r="L380" t="s">
        <v>17</v>
      </c>
    </row>
    <row r="381" spans="1:12" x14ac:dyDescent="0.25">
      <c r="A381">
        <v>380</v>
      </c>
      <c r="B381">
        <v>86</v>
      </c>
      <c r="C381" t="s">
        <v>26</v>
      </c>
      <c r="D381" s="1">
        <v>45603</v>
      </c>
      <c r="E381" s="1">
        <v>45617</v>
      </c>
      <c r="F381" t="s">
        <v>18</v>
      </c>
      <c r="G381" t="s">
        <v>23</v>
      </c>
      <c r="H381">
        <v>14</v>
      </c>
      <c r="I381" t="s">
        <v>15</v>
      </c>
      <c r="J381">
        <v>0</v>
      </c>
      <c r="K381" t="s">
        <v>16</v>
      </c>
      <c r="L381" t="s">
        <v>29</v>
      </c>
    </row>
    <row r="382" spans="1:12" x14ac:dyDescent="0.25">
      <c r="A382">
        <v>381</v>
      </c>
      <c r="B382">
        <v>90</v>
      </c>
      <c r="C382" t="s">
        <v>26</v>
      </c>
      <c r="D382" s="1">
        <v>45332</v>
      </c>
      <c r="E382" s="1">
        <v>45333</v>
      </c>
      <c r="F382" t="s">
        <v>31</v>
      </c>
      <c r="G382" t="s">
        <v>19</v>
      </c>
      <c r="H382">
        <v>1</v>
      </c>
      <c r="I382" t="s">
        <v>15</v>
      </c>
      <c r="J382">
        <v>1</v>
      </c>
      <c r="K382" t="s">
        <v>21</v>
      </c>
      <c r="L382" t="s">
        <v>30</v>
      </c>
    </row>
    <row r="383" spans="1:12" x14ac:dyDescent="0.25">
      <c r="A383">
        <v>382</v>
      </c>
      <c r="B383">
        <v>43</v>
      </c>
      <c r="C383" t="s">
        <v>12</v>
      </c>
      <c r="D383" s="1">
        <v>45586</v>
      </c>
      <c r="E383" s="1">
        <v>45593</v>
      </c>
      <c r="F383" t="s">
        <v>13</v>
      </c>
      <c r="G383" t="s">
        <v>23</v>
      </c>
      <c r="H383">
        <v>7</v>
      </c>
      <c r="I383" t="s">
        <v>20</v>
      </c>
      <c r="J383">
        <v>4</v>
      </c>
      <c r="K383" t="s">
        <v>16</v>
      </c>
      <c r="L383" t="s">
        <v>29</v>
      </c>
    </row>
    <row r="384" spans="1:12" x14ac:dyDescent="0.25">
      <c r="A384">
        <v>383</v>
      </c>
      <c r="B384">
        <v>39</v>
      </c>
      <c r="C384" t="s">
        <v>26</v>
      </c>
      <c r="D384" s="1">
        <v>45645</v>
      </c>
      <c r="E384" s="1">
        <v>45646</v>
      </c>
      <c r="F384" t="s">
        <v>27</v>
      </c>
      <c r="G384" t="s">
        <v>14</v>
      </c>
      <c r="H384">
        <v>1</v>
      </c>
      <c r="I384" t="s">
        <v>20</v>
      </c>
      <c r="J384">
        <v>1</v>
      </c>
      <c r="K384" t="s">
        <v>24</v>
      </c>
      <c r="L384" t="s">
        <v>25</v>
      </c>
    </row>
    <row r="385" spans="1:12" x14ac:dyDescent="0.25">
      <c r="A385">
        <v>384</v>
      </c>
      <c r="B385">
        <v>71</v>
      </c>
      <c r="C385" t="s">
        <v>12</v>
      </c>
      <c r="D385" s="1">
        <v>45324</v>
      </c>
      <c r="E385" s="1">
        <v>45329</v>
      </c>
      <c r="F385" t="s">
        <v>28</v>
      </c>
      <c r="G385" t="s">
        <v>23</v>
      </c>
      <c r="H385">
        <v>5</v>
      </c>
      <c r="I385" t="s">
        <v>20</v>
      </c>
      <c r="J385">
        <v>4</v>
      </c>
      <c r="K385" t="s">
        <v>16</v>
      </c>
      <c r="L385" t="s">
        <v>30</v>
      </c>
    </row>
    <row r="386" spans="1:12" x14ac:dyDescent="0.25">
      <c r="A386">
        <v>385</v>
      </c>
      <c r="B386">
        <v>45</v>
      </c>
      <c r="C386" t="s">
        <v>12</v>
      </c>
      <c r="D386" s="1">
        <v>45588</v>
      </c>
      <c r="E386" s="1">
        <v>45598</v>
      </c>
      <c r="F386" t="s">
        <v>28</v>
      </c>
      <c r="G386" t="s">
        <v>19</v>
      </c>
      <c r="H386">
        <v>10</v>
      </c>
      <c r="I386" t="s">
        <v>20</v>
      </c>
      <c r="J386">
        <v>0</v>
      </c>
      <c r="K386" t="s">
        <v>24</v>
      </c>
      <c r="L386" t="s">
        <v>29</v>
      </c>
    </row>
    <row r="387" spans="1:12" x14ac:dyDescent="0.25">
      <c r="A387">
        <v>386</v>
      </c>
      <c r="B387">
        <v>30</v>
      </c>
      <c r="C387" t="s">
        <v>12</v>
      </c>
      <c r="D387" s="1">
        <v>45490</v>
      </c>
      <c r="E387" s="1">
        <v>45496</v>
      </c>
      <c r="F387" t="s">
        <v>27</v>
      </c>
      <c r="G387" t="s">
        <v>19</v>
      </c>
      <c r="H387">
        <v>6</v>
      </c>
      <c r="I387" t="s">
        <v>15</v>
      </c>
      <c r="J387">
        <v>4</v>
      </c>
      <c r="K387" t="s">
        <v>24</v>
      </c>
      <c r="L387" t="s">
        <v>29</v>
      </c>
    </row>
    <row r="388" spans="1:12" x14ac:dyDescent="0.25">
      <c r="A388">
        <v>387</v>
      </c>
      <c r="B388">
        <v>77</v>
      </c>
      <c r="C388" t="s">
        <v>26</v>
      </c>
      <c r="D388" s="1">
        <v>45320</v>
      </c>
      <c r="E388" s="1">
        <v>45327</v>
      </c>
      <c r="F388" t="s">
        <v>28</v>
      </c>
      <c r="G388" t="s">
        <v>19</v>
      </c>
      <c r="H388">
        <v>7</v>
      </c>
      <c r="I388" t="s">
        <v>20</v>
      </c>
      <c r="J388">
        <v>0</v>
      </c>
      <c r="K388" t="s">
        <v>16</v>
      </c>
      <c r="L388" t="s">
        <v>17</v>
      </c>
    </row>
    <row r="389" spans="1:12" x14ac:dyDescent="0.25">
      <c r="A389">
        <v>388</v>
      </c>
      <c r="B389">
        <v>36</v>
      </c>
      <c r="C389" t="s">
        <v>26</v>
      </c>
      <c r="D389" s="1">
        <v>45512</v>
      </c>
      <c r="E389" s="1">
        <v>45516</v>
      </c>
      <c r="F389" t="s">
        <v>18</v>
      </c>
      <c r="G389" t="s">
        <v>19</v>
      </c>
      <c r="H389">
        <v>4</v>
      </c>
      <c r="I389" t="s">
        <v>15</v>
      </c>
      <c r="J389">
        <v>4</v>
      </c>
      <c r="K389" t="s">
        <v>16</v>
      </c>
      <c r="L389" t="s">
        <v>25</v>
      </c>
    </row>
    <row r="390" spans="1:12" x14ac:dyDescent="0.25">
      <c r="A390">
        <v>389</v>
      </c>
      <c r="B390">
        <v>83</v>
      </c>
      <c r="C390" t="s">
        <v>12</v>
      </c>
      <c r="D390" s="1">
        <v>45452</v>
      </c>
      <c r="E390" s="1">
        <v>45455</v>
      </c>
      <c r="F390" t="s">
        <v>28</v>
      </c>
      <c r="G390" t="s">
        <v>19</v>
      </c>
      <c r="H390">
        <v>3</v>
      </c>
      <c r="I390" t="s">
        <v>15</v>
      </c>
      <c r="J390">
        <v>4</v>
      </c>
      <c r="K390" t="s">
        <v>21</v>
      </c>
      <c r="L390" t="s">
        <v>25</v>
      </c>
    </row>
    <row r="391" spans="1:12" x14ac:dyDescent="0.25">
      <c r="A391">
        <v>390</v>
      </c>
      <c r="B391">
        <v>31</v>
      </c>
      <c r="C391" t="s">
        <v>12</v>
      </c>
      <c r="D391" s="1">
        <v>45467</v>
      </c>
      <c r="E391" s="1">
        <v>45474</v>
      </c>
      <c r="F391" t="s">
        <v>13</v>
      </c>
      <c r="G391" t="s">
        <v>19</v>
      </c>
      <c r="H391">
        <v>7</v>
      </c>
      <c r="I391" t="s">
        <v>15</v>
      </c>
      <c r="J391">
        <v>4</v>
      </c>
      <c r="K391" t="s">
        <v>16</v>
      </c>
      <c r="L391" t="s">
        <v>22</v>
      </c>
    </row>
    <row r="392" spans="1:12" x14ac:dyDescent="0.25">
      <c r="A392">
        <v>391</v>
      </c>
      <c r="B392">
        <v>81</v>
      </c>
      <c r="C392" t="s">
        <v>26</v>
      </c>
      <c r="D392" s="1">
        <v>45436</v>
      </c>
      <c r="E392" s="1">
        <v>45441</v>
      </c>
      <c r="F392" t="s">
        <v>28</v>
      </c>
      <c r="G392" t="s">
        <v>14</v>
      </c>
      <c r="H392">
        <v>5</v>
      </c>
      <c r="I392" t="s">
        <v>15</v>
      </c>
      <c r="J392">
        <v>0</v>
      </c>
      <c r="K392" t="s">
        <v>21</v>
      </c>
      <c r="L392" t="s">
        <v>22</v>
      </c>
    </row>
    <row r="393" spans="1:12" x14ac:dyDescent="0.25">
      <c r="A393">
        <v>392</v>
      </c>
      <c r="B393">
        <v>44</v>
      </c>
      <c r="C393" t="s">
        <v>26</v>
      </c>
      <c r="D393" s="1">
        <v>45578</v>
      </c>
      <c r="E393" s="1">
        <v>45588</v>
      </c>
      <c r="F393" t="s">
        <v>13</v>
      </c>
      <c r="G393" t="s">
        <v>19</v>
      </c>
      <c r="H393">
        <v>10</v>
      </c>
      <c r="I393" t="s">
        <v>20</v>
      </c>
      <c r="J393">
        <v>0</v>
      </c>
      <c r="K393" t="s">
        <v>21</v>
      </c>
      <c r="L393" t="s">
        <v>22</v>
      </c>
    </row>
    <row r="394" spans="1:12" x14ac:dyDescent="0.25">
      <c r="A394">
        <v>393</v>
      </c>
      <c r="B394">
        <v>48</v>
      </c>
      <c r="C394" t="s">
        <v>26</v>
      </c>
      <c r="D394" s="1">
        <v>45477</v>
      </c>
      <c r="E394" s="1">
        <v>45479</v>
      </c>
      <c r="F394" t="s">
        <v>27</v>
      </c>
      <c r="G394" t="s">
        <v>19</v>
      </c>
      <c r="H394">
        <v>2</v>
      </c>
      <c r="I394" t="s">
        <v>15</v>
      </c>
      <c r="J394">
        <v>0</v>
      </c>
      <c r="K394" t="s">
        <v>24</v>
      </c>
      <c r="L394" t="s">
        <v>29</v>
      </c>
    </row>
    <row r="395" spans="1:12" x14ac:dyDescent="0.25">
      <c r="A395">
        <v>394</v>
      </c>
      <c r="B395">
        <v>35</v>
      </c>
      <c r="C395" t="s">
        <v>26</v>
      </c>
      <c r="D395" s="1">
        <v>45514</v>
      </c>
      <c r="E395" s="1">
        <v>45518</v>
      </c>
      <c r="F395" t="s">
        <v>13</v>
      </c>
      <c r="G395" t="s">
        <v>19</v>
      </c>
      <c r="H395">
        <v>4</v>
      </c>
      <c r="I395" t="s">
        <v>15</v>
      </c>
      <c r="J395">
        <v>4</v>
      </c>
      <c r="K395" t="s">
        <v>16</v>
      </c>
      <c r="L395" t="s">
        <v>29</v>
      </c>
    </row>
    <row r="396" spans="1:12" x14ac:dyDescent="0.25">
      <c r="A396">
        <v>395</v>
      </c>
      <c r="B396">
        <v>77</v>
      </c>
      <c r="C396" t="s">
        <v>12</v>
      </c>
      <c r="D396" s="1">
        <v>45339</v>
      </c>
      <c r="E396" s="1">
        <v>45349</v>
      </c>
      <c r="F396" t="s">
        <v>27</v>
      </c>
      <c r="G396" t="s">
        <v>14</v>
      </c>
      <c r="H396">
        <v>10</v>
      </c>
      <c r="I396" t="s">
        <v>20</v>
      </c>
      <c r="J396">
        <v>4</v>
      </c>
      <c r="K396" t="s">
        <v>16</v>
      </c>
      <c r="L396" t="s">
        <v>22</v>
      </c>
    </row>
    <row r="397" spans="1:12" x14ac:dyDescent="0.25">
      <c r="A397">
        <v>396</v>
      </c>
      <c r="B397">
        <v>70</v>
      </c>
      <c r="C397" t="s">
        <v>12</v>
      </c>
      <c r="D397" s="1">
        <v>45626</v>
      </c>
      <c r="E397" s="1">
        <v>45627</v>
      </c>
      <c r="F397" t="s">
        <v>27</v>
      </c>
      <c r="G397" t="s">
        <v>23</v>
      </c>
      <c r="H397">
        <v>1</v>
      </c>
      <c r="I397" t="s">
        <v>15</v>
      </c>
      <c r="J397">
        <v>2</v>
      </c>
      <c r="K397" t="s">
        <v>24</v>
      </c>
      <c r="L397" t="s">
        <v>29</v>
      </c>
    </row>
    <row r="398" spans="1:12" x14ac:dyDescent="0.25">
      <c r="A398">
        <v>397</v>
      </c>
      <c r="B398">
        <v>27</v>
      </c>
      <c r="C398" t="s">
        <v>12</v>
      </c>
      <c r="D398" s="1">
        <v>45347</v>
      </c>
      <c r="E398" s="1">
        <v>45353</v>
      </c>
      <c r="F398" t="s">
        <v>28</v>
      </c>
      <c r="G398" t="s">
        <v>23</v>
      </c>
      <c r="H398">
        <v>6</v>
      </c>
      <c r="I398" t="s">
        <v>15</v>
      </c>
      <c r="J398">
        <v>2</v>
      </c>
      <c r="K398" t="s">
        <v>21</v>
      </c>
      <c r="L398" t="s">
        <v>25</v>
      </c>
    </row>
    <row r="399" spans="1:12" x14ac:dyDescent="0.25">
      <c r="A399">
        <v>398</v>
      </c>
      <c r="B399">
        <v>56</v>
      </c>
      <c r="C399" t="s">
        <v>26</v>
      </c>
      <c r="D399" s="1">
        <v>45400</v>
      </c>
      <c r="E399" s="1">
        <v>45414</v>
      </c>
      <c r="F399" t="s">
        <v>13</v>
      </c>
      <c r="G399" t="s">
        <v>19</v>
      </c>
      <c r="H399">
        <v>14</v>
      </c>
      <c r="I399" t="s">
        <v>20</v>
      </c>
      <c r="J399">
        <v>4</v>
      </c>
      <c r="K399" t="s">
        <v>24</v>
      </c>
      <c r="L399" t="s">
        <v>17</v>
      </c>
    </row>
    <row r="400" spans="1:12" x14ac:dyDescent="0.25">
      <c r="A400">
        <v>399</v>
      </c>
      <c r="B400">
        <v>38</v>
      </c>
      <c r="C400" t="s">
        <v>26</v>
      </c>
      <c r="D400" s="1">
        <v>45413</v>
      </c>
      <c r="E400" s="1">
        <v>45417</v>
      </c>
      <c r="F400" t="s">
        <v>28</v>
      </c>
      <c r="G400" t="s">
        <v>14</v>
      </c>
      <c r="H400">
        <v>4</v>
      </c>
      <c r="I400" t="s">
        <v>15</v>
      </c>
      <c r="J400">
        <v>1</v>
      </c>
      <c r="K400" t="s">
        <v>16</v>
      </c>
      <c r="L400" t="s">
        <v>22</v>
      </c>
    </row>
    <row r="401" spans="1:12" x14ac:dyDescent="0.25">
      <c r="A401">
        <v>400</v>
      </c>
      <c r="B401">
        <v>76</v>
      </c>
      <c r="C401" t="s">
        <v>12</v>
      </c>
      <c r="D401" s="1">
        <v>45544</v>
      </c>
      <c r="E401" s="1">
        <v>45549</v>
      </c>
      <c r="F401" t="s">
        <v>28</v>
      </c>
      <c r="G401" t="s">
        <v>23</v>
      </c>
      <c r="H401">
        <v>5</v>
      </c>
      <c r="I401" t="s">
        <v>20</v>
      </c>
      <c r="J401">
        <v>1</v>
      </c>
      <c r="K401" t="s">
        <v>24</v>
      </c>
      <c r="L401" t="s">
        <v>30</v>
      </c>
    </row>
    <row r="402" spans="1:12" x14ac:dyDescent="0.25">
      <c r="A402">
        <v>401</v>
      </c>
      <c r="B402">
        <v>27</v>
      </c>
      <c r="C402" t="s">
        <v>26</v>
      </c>
      <c r="D402" s="1">
        <v>45312</v>
      </c>
      <c r="E402" s="1">
        <v>45318</v>
      </c>
      <c r="F402" t="s">
        <v>18</v>
      </c>
      <c r="G402" t="s">
        <v>14</v>
      </c>
      <c r="H402">
        <v>6</v>
      </c>
      <c r="I402" t="s">
        <v>15</v>
      </c>
      <c r="J402">
        <v>1</v>
      </c>
      <c r="K402" t="s">
        <v>21</v>
      </c>
      <c r="L402" t="s">
        <v>17</v>
      </c>
    </row>
    <row r="403" spans="1:12" x14ac:dyDescent="0.25">
      <c r="A403">
        <v>402</v>
      </c>
      <c r="B403">
        <v>41</v>
      </c>
      <c r="C403" t="s">
        <v>12</v>
      </c>
      <c r="D403" s="1">
        <v>45619</v>
      </c>
      <c r="E403" s="1">
        <v>45624</v>
      </c>
      <c r="F403" t="s">
        <v>31</v>
      </c>
      <c r="G403" t="s">
        <v>23</v>
      </c>
      <c r="H403">
        <v>5</v>
      </c>
      <c r="I403" t="s">
        <v>15</v>
      </c>
      <c r="J403">
        <v>3</v>
      </c>
      <c r="K403" t="s">
        <v>21</v>
      </c>
      <c r="L403" t="s">
        <v>17</v>
      </c>
    </row>
    <row r="404" spans="1:12" x14ac:dyDescent="0.25">
      <c r="A404">
        <v>403</v>
      </c>
      <c r="B404">
        <v>48</v>
      </c>
      <c r="C404" t="s">
        <v>12</v>
      </c>
      <c r="D404" s="1">
        <v>45432</v>
      </c>
      <c r="E404" s="1">
        <v>45437</v>
      </c>
      <c r="F404" t="s">
        <v>27</v>
      </c>
      <c r="G404" t="s">
        <v>23</v>
      </c>
      <c r="H404">
        <v>5</v>
      </c>
      <c r="I404" t="s">
        <v>15</v>
      </c>
      <c r="J404">
        <v>1</v>
      </c>
      <c r="K404" t="s">
        <v>16</v>
      </c>
      <c r="L404" t="s">
        <v>30</v>
      </c>
    </row>
    <row r="405" spans="1:12" x14ac:dyDescent="0.25">
      <c r="A405">
        <v>404</v>
      </c>
      <c r="B405">
        <v>70</v>
      </c>
      <c r="C405" t="s">
        <v>26</v>
      </c>
      <c r="D405" s="1">
        <v>45375</v>
      </c>
      <c r="E405" s="1">
        <v>45388</v>
      </c>
      <c r="F405" t="s">
        <v>27</v>
      </c>
      <c r="G405" t="s">
        <v>14</v>
      </c>
      <c r="H405">
        <v>13</v>
      </c>
      <c r="I405" t="s">
        <v>20</v>
      </c>
      <c r="J405">
        <v>1</v>
      </c>
      <c r="K405" t="s">
        <v>24</v>
      </c>
      <c r="L405" t="s">
        <v>30</v>
      </c>
    </row>
    <row r="406" spans="1:12" x14ac:dyDescent="0.25">
      <c r="A406">
        <v>405</v>
      </c>
      <c r="B406">
        <v>43</v>
      </c>
      <c r="C406" t="s">
        <v>26</v>
      </c>
      <c r="D406" s="1">
        <v>45648</v>
      </c>
      <c r="E406" s="1">
        <v>45656</v>
      </c>
      <c r="F406" t="s">
        <v>18</v>
      </c>
      <c r="G406" t="s">
        <v>14</v>
      </c>
      <c r="H406">
        <v>8</v>
      </c>
      <c r="I406" t="s">
        <v>15</v>
      </c>
      <c r="J406">
        <v>1</v>
      </c>
      <c r="K406" t="s">
        <v>21</v>
      </c>
      <c r="L406" t="s">
        <v>25</v>
      </c>
    </row>
    <row r="407" spans="1:12" x14ac:dyDescent="0.25">
      <c r="A407">
        <v>406</v>
      </c>
      <c r="B407">
        <v>20</v>
      </c>
      <c r="C407" t="s">
        <v>12</v>
      </c>
      <c r="D407" s="1">
        <v>45422</v>
      </c>
      <c r="E407" s="1">
        <v>45427</v>
      </c>
      <c r="F407" t="s">
        <v>28</v>
      </c>
      <c r="G407" t="s">
        <v>23</v>
      </c>
      <c r="H407">
        <v>5</v>
      </c>
      <c r="I407" t="s">
        <v>15</v>
      </c>
      <c r="J407">
        <v>2</v>
      </c>
      <c r="K407" t="s">
        <v>21</v>
      </c>
      <c r="L407" t="s">
        <v>25</v>
      </c>
    </row>
    <row r="408" spans="1:12" x14ac:dyDescent="0.25">
      <c r="A408">
        <v>407</v>
      </c>
      <c r="B408">
        <v>34</v>
      </c>
      <c r="C408" t="s">
        <v>26</v>
      </c>
      <c r="D408" s="1">
        <v>45402</v>
      </c>
      <c r="E408" s="1">
        <v>45404</v>
      </c>
      <c r="F408" t="s">
        <v>18</v>
      </c>
      <c r="G408" t="s">
        <v>23</v>
      </c>
      <c r="H408">
        <v>2</v>
      </c>
      <c r="I408" t="s">
        <v>15</v>
      </c>
      <c r="J408">
        <v>4</v>
      </c>
      <c r="K408" t="s">
        <v>24</v>
      </c>
      <c r="L408" t="s">
        <v>25</v>
      </c>
    </row>
    <row r="409" spans="1:12" x14ac:dyDescent="0.25">
      <c r="A409">
        <v>408</v>
      </c>
      <c r="B409">
        <v>37</v>
      </c>
      <c r="C409" t="s">
        <v>26</v>
      </c>
      <c r="D409" s="1">
        <v>45364</v>
      </c>
      <c r="E409" s="1">
        <v>45374</v>
      </c>
      <c r="F409" t="s">
        <v>13</v>
      </c>
      <c r="G409" t="s">
        <v>23</v>
      </c>
      <c r="H409">
        <v>10</v>
      </c>
      <c r="I409" t="s">
        <v>15</v>
      </c>
      <c r="J409">
        <v>3</v>
      </c>
      <c r="K409" t="s">
        <v>24</v>
      </c>
      <c r="L409" t="s">
        <v>29</v>
      </c>
    </row>
    <row r="410" spans="1:12" x14ac:dyDescent="0.25">
      <c r="A410">
        <v>409</v>
      </c>
      <c r="B410">
        <v>51</v>
      </c>
      <c r="C410" t="s">
        <v>12</v>
      </c>
      <c r="D410" s="1">
        <v>45580</v>
      </c>
      <c r="E410" s="1">
        <v>45592</v>
      </c>
      <c r="F410" t="s">
        <v>28</v>
      </c>
      <c r="G410" t="s">
        <v>19</v>
      </c>
      <c r="H410">
        <v>12</v>
      </c>
      <c r="I410" t="s">
        <v>20</v>
      </c>
      <c r="J410">
        <v>4</v>
      </c>
      <c r="K410" t="s">
        <v>21</v>
      </c>
      <c r="L410" t="s">
        <v>29</v>
      </c>
    </row>
    <row r="411" spans="1:12" x14ac:dyDescent="0.25">
      <c r="A411">
        <v>410</v>
      </c>
      <c r="B411">
        <v>84</v>
      </c>
      <c r="C411" t="s">
        <v>26</v>
      </c>
      <c r="D411" s="1">
        <v>45641</v>
      </c>
      <c r="E411" s="1">
        <v>45652</v>
      </c>
      <c r="F411" t="s">
        <v>31</v>
      </c>
      <c r="G411" t="s">
        <v>23</v>
      </c>
      <c r="H411">
        <v>11</v>
      </c>
      <c r="I411" t="s">
        <v>15</v>
      </c>
      <c r="J411">
        <v>4</v>
      </c>
      <c r="K411" t="s">
        <v>21</v>
      </c>
      <c r="L411" t="s">
        <v>17</v>
      </c>
    </row>
    <row r="412" spans="1:12" x14ac:dyDescent="0.25">
      <c r="A412">
        <v>411</v>
      </c>
      <c r="B412">
        <v>32</v>
      </c>
      <c r="C412" t="s">
        <v>12</v>
      </c>
      <c r="D412" s="1">
        <v>45579</v>
      </c>
      <c r="E412" s="1">
        <v>45584</v>
      </c>
      <c r="F412" t="s">
        <v>31</v>
      </c>
      <c r="G412" t="s">
        <v>23</v>
      </c>
      <c r="H412">
        <v>5</v>
      </c>
      <c r="I412" t="s">
        <v>20</v>
      </c>
      <c r="J412">
        <v>0</v>
      </c>
      <c r="K412" t="s">
        <v>16</v>
      </c>
      <c r="L412" t="s">
        <v>29</v>
      </c>
    </row>
    <row r="413" spans="1:12" x14ac:dyDescent="0.25">
      <c r="A413">
        <v>412</v>
      </c>
      <c r="B413">
        <v>49</v>
      </c>
      <c r="C413" t="s">
        <v>26</v>
      </c>
      <c r="D413" s="1">
        <v>45493</v>
      </c>
      <c r="E413" s="1">
        <v>45499</v>
      </c>
      <c r="F413" t="s">
        <v>28</v>
      </c>
      <c r="G413" t="s">
        <v>19</v>
      </c>
      <c r="H413">
        <v>6</v>
      </c>
      <c r="I413" t="s">
        <v>15</v>
      </c>
      <c r="J413">
        <v>2</v>
      </c>
      <c r="K413" t="s">
        <v>24</v>
      </c>
      <c r="L413" t="s">
        <v>17</v>
      </c>
    </row>
    <row r="414" spans="1:12" x14ac:dyDescent="0.25">
      <c r="A414">
        <v>413</v>
      </c>
      <c r="B414">
        <v>32</v>
      </c>
      <c r="C414" t="s">
        <v>12</v>
      </c>
      <c r="D414" s="1">
        <v>45471</v>
      </c>
      <c r="E414" s="1">
        <v>45480</v>
      </c>
      <c r="F414" t="s">
        <v>18</v>
      </c>
      <c r="G414" t="s">
        <v>19</v>
      </c>
      <c r="H414">
        <v>9</v>
      </c>
      <c r="I414" t="s">
        <v>15</v>
      </c>
      <c r="J414">
        <v>3</v>
      </c>
      <c r="K414" t="s">
        <v>21</v>
      </c>
      <c r="L414" t="s">
        <v>29</v>
      </c>
    </row>
    <row r="415" spans="1:12" x14ac:dyDescent="0.25">
      <c r="A415">
        <v>414</v>
      </c>
      <c r="B415">
        <v>30</v>
      </c>
      <c r="C415" t="s">
        <v>12</v>
      </c>
      <c r="D415" s="1">
        <v>45613</v>
      </c>
      <c r="E415" s="1">
        <v>45627</v>
      </c>
      <c r="F415" t="s">
        <v>13</v>
      </c>
      <c r="G415" t="s">
        <v>19</v>
      </c>
      <c r="H415">
        <v>14</v>
      </c>
      <c r="I415" t="s">
        <v>20</v>
      </c>
      <c r="J415">
        <v>1</v>
      </c>
      <c r="K415" t="s">
        <v>21</v>
      </c>
      <c r="L415" t="s">
        <v>30</v>
      </c>
    </row>
    <row r="416" spans="1:12" x14ac:dyDescent="0.25">
      <c r="A416">
        <v>415</v>
      </c>
      <c r="B416">
        <v>83</v>
      </c>
      <c r="C416" t="s">
        <v>12</v>
      </c>
      <c r="D416" s="1">
        <v>45556</v>
      </c>
      <c r="E416" s="1">
        <v>45567</v>
      </c>
      <c r="F416" t="s">
        <v>27</v>
      </c>
      <c r="G416" t="s">
        <v>14</v>
      </c>
      <c r="H416">
        <v>11</v>
      </c>
      <c r="I416" t="s">
        <v>15</v>
      </c>
      <c r="J416">
        <v>0</v>
      </c>
      <c r="K416" t="s">
        <v>24</v>
      </c>
      <c r="L416" t="s">
        <v>30</v>
      </c>
    </row>
    <row r="417" spans="1:12" x14ac:dyDescent="0.25">
      <c r="A417">
        <v>416</v>
      </c>
      <c r="B417">
        <v>70</v>
      </c>
      <c r="C417" t="s">
        <v>26</v>
      </c>
      <c r="D417" s="1">
        <v>45551</v>
      </c>
      <c r="E417" s="1">
        <v>45560</v>
      </c>
      <c r="F417" t="s">
        <v>27</v>
      </c>
      <c r="G417" t="s">
        <v>23</v>
      </c>
      <c r="H417">
        <v>9</v>
      </c>
      <c r="I417" t="s">
        <v>15</v>
      </c>
      <c r="J417">
        <v>0</v>
      </c>
      <c r="K417" t="s">
        <v>16</v>
      </c>
      <c r="L417" t="s">
        <v>17</v>
      </c>
    </row>
    <row r="418" spans="1:12" x14ac:dyDescent="0.25">
      <c r="A418">
        <v>417</v>
      </c>
      <c r="B418">
        <v>56</v>
      </c>
      <c r="C418" t="s">
        <v>26</v>
      </c>
      <c r="D418" s="1">
        <v>45539</v>
      </c>
      <c r="E418" s="1">
        <v>45543</v>
      </c>
      <c r="F418" t="s">
        <v>18</v>
      </c>
      <c r="G418" t="s">
        <v>19</v>
      </c>
      <c r="H418">
        <v>4</v>
      </c>
      <c r="I418" t="s">
        <v>15</v>
      </c>
      <c r="J418">
        <v>4</v>
      </c>
      <c r="K418" t="s">
        <v>21</v>
      </c>
      <c r="L418" t="s">
        <v>29</v>
      </c>
    </row>
    <row r="419" spans="1:12" x14ac:dyDescent="0.25">
      <c r="A419">
        <v>418</v>
      </c>
      <c r="B419">
        <v>36</v>
      </c>
      <c r="C419" t="s">
        <v>12</v>
      </c>
      <c r="D419" s="1">
        <v>45430</v>
      </c>
      <c r="E419" s="1">
        <v>45441</v>
      </c>
      <c r="F419" t="s">
        <v>18</v>
      </c>
      <c r="G419" t="s">
        <v>23</v>
      </c>
      <c r="H419">
        <v>11</v>
      </c>
      <c r="I419" t="s">
        <v>20</v>
      </c>
      <c r="J419">
        <v>0</v>
      </c>
      <c r="K419" t="s">
        <v>21</v>
      </c>
      <c r="L419" t="s">
        <v>17</v>
      </c>
    </row>
    <row r="420" spans="1:12" x14ac:dyDescent="0.25">
      <c r="A420">
        <v>419</v>
      </c>
      <c r="B420">
        <v>27</v>
      </c>
      <c r="C420" t="s">
        <v>26</v>
      </c>
      <c r="D420" s="1">
        <v>45314</v>
      </c>
      <c r="E420" s="1">
        <v>45319</v>
      </c>
      <c r="F420" t="s">
        <v>31</v>
      </c>
      <c r="G420" t="s">
        <v>23</v>
      </c>
      <c r="H420">
        <v>5</v>
      </c>
      <c r="I420" t="s">
        <v>20</v>
      </c>
      <c r="J420">
        <v>4</v>
      </c>
      <c r="K420" t="s">
        <v>16</v>
      </c>
      <c r="L420" t="s">
        <v>29</v>
      </c>
    </row>
    <row r="421" spans="1:12" x14ac:dyDescent="0.25">
      <c r="A421">
        <v>420</v>
      </c>
      <c r="B421">
        <v>82</v>
      </c>
      <c r="C421" t="s">
        <v>26</v>
      </c>
      <c r="D421" s="1">
        <v>45540</v>
      </c>
      <c r="E421" s="1">
        <v>45542</v>
      </c>
      <c r="F421" t="s">
        <v>27</v>
      </c>
      <c r="G421" t="s">
        <v>14</v>
      </c>
      <c r="H421">
        <v>2</v>
      </c>
      <c r="I421" t="s">
        <v>15</v>
      </c>
      <c r="J421">
        <v>0</v>
      </c>
      <c r="K421" t="s">
        <v>21</v>
      </c>
      <c r="L421" t="s">
        <v>25</v>
      </c>
    </row>
    <row r="422" spans="1:12" x14ac:dyDescent="0.25">
      <c r="A422">
        <v>421</v>
      </c>
      <c r="B422">
        <v>36</v>
      </c>
      <c r="C422" t="s">
        <v>26</v>
      </c>
      <c r="D422" s="1">
        <v>45418</v>
      </c>
      <c r="E422" s="1">
        <v>45424</v>
      </c>
      <c r="F422" t="s">
        <v>31</v>
      </c>
      <c r="G422" t="s">
        <v>19</v>
      </c>
      <c r="H422">
        <v>6</v>
      </c>
      <c r="I422" t="s">
        <v>15</v>
      </c>
      <c r="J422">
        <v>1</v>
      </c>
      <c r="K422" t="s">
        <v>24</v>
      </c>
      <c r="L422" t="s">
        <v>29</v>
      </c>
    </row>
    <row r="423" spans="1:12" x14ac:dyDescent="0.25">
      <c r="A423">
        <v>422</v>
      </c>
      <c r="B423">
        <v>27</v>
      </c>
      <c r="C423" t="s">
        <v>12</v>
      </c>
      <c r="D423" s="1">
        <v>45298</v>
      </c>
      <c r="E423" s="1">
        <v>45306</v>
      </c>
      <c r="F423" t="s">
        <v>27</v>
      </c>
      <c r="G423" t="s">
        <v>19</v>
      </c>
      <c r="H423">
        <v>8</v>
      </c>
      <c r="I423" t="s">
        <v>15</v>
      </c>
      <c r="J423">
        <v>2</v>
      </c>
      <c r="K423" t="s">
        <v>16</v>
      </c>
      <c r="L423" t="s">
        <v>17</v>
      </c>
    </row>
    <row r="424" spans="1:12" x14ac:dyDescent="0.25">
      <c r="A424">
        <v>423</v>
      </c>
      <c r="B424">
        <v>29</v>
      </c>
      <c r="C424" t="s">
        <v>12</v>
      </c>
      <c r="D424" s="1">
        <v>45361</v>
      </c>
      <c r="E424" s="1">
        <v>45362</v>
      </c>
      <c r="F424" t="s">
        <v>27</v>
      </c>
      <c r="G424" t="s">
        <v>14</v>
      </c>
      <c r="H424">
        <v>1</v>
      </c>
      <c r="I424" t="s">
        <v>15</v>
      </c>
      <c r="J424">
        <v>0</v>
      </c>
      <c r="K424" t="s">
        <v>16</v>
      </c>
      <c r="L424" t="s">
        <v>30</v>
      </c>
    </row>
    <row r="425" spans="1:12" x14ac:dyDescent="0.25">
      <c r="A425">
        <v>424</v>
      </c>
      <c r="B425">
        <v>47</v>
      </c>
      <c r="C425" t="s">
        <v>12</v>
      </c>
      <c r="D425" s="1">
        <v>45430</v>
      </c>
      <c r="E425" s="1">
        <v>45444</v>
      </c>
      <c r="F425" t="s">
        <v>31</v>
      </c>
      <c r="G425" t="s">
        <v>19</v>
      </c>
      <c r="H425">
        <v>14</v>
      </c>
      <c r="I425" t="s">
        <v>15</v>
      </c>
      <c r="J425">
        <v>4</v>
      </c>
      <c r="K425" t="s">
        <v>16</v>
      </c>
      <c r="L425" t="s">
        <v>17</v>
      </c>
    </row>
    <row r="426" spans="1:12" x14ac:dyDescent="0.25">
      <c r="A426">
        <v>425</v>
      </c>
      <c r="B426">
        <v>30</v>
      </c>
      <c r="C426" t="s">
        <v>26</v>
      </c>
      <c r="D426" s="1">
        <v>45473</v>
      </c>
      <c r="E426" s="1">
        <v>45488</v>
      </c>
      <c r="F426" t="s">
        <v>28</v>
      </c>
      <c r="G426" t="s">
        <v>19</v>
      </c>
      <c r="H426">
        <v>15</v>
      </c>
      <c r="I426" t="s">
        <v>15</v>
      </c>
      <c r="J426">
        <v>3</v>
      </c>
      <c r="K426" t="s">
        <v>16</v>
      </c>
      <c r="L426" t="s">
        <v>22</v>
      </c>
    </row>
    <row r="427" spans="1:12" x14ac:dyDescent="0.25">
      <c r="A427">
        <v>426</v>
      </c>
      <c r="B427">
        <v>41</v>
      </c>
      <c r="C427" t="s">
        <v>26</v>
      </c>
      <c r="D427" s="1">
        <v>45333</v>
      </c>
      <c r="E427" s="1">
        <v>45348</v>
      </c>
      <c r="F427" t="s">
        <v>18</v>
      </c>
      <c r="G427" t="s">
        <v>14</v>
      </c>
      <c r="H427">
        <v>15</v>
      </c>
      <c r="I427" t="s">
        <v>20</v>
      </c>
      <c r="J427">
        <v>2</v>
      </c>
      <c r="K427" t="s">
        <v>21</v>
      </c>
      <c r="L427" t="s">
        <v>22</v>
      </c>
    </row>
    <row r="428" spans="1:12" x14ac:dyDescent="0.25">
      <c r="A428">
        <v>427</v>
      </c>
      <c r="B428">
        <v>55</v>
      </c>
      <c r="C428" t="s">
        <v>26</v>
      </c>
      <c r="D428" s="1">
        <v>45314</v>
      </c>
      <c r="E428" s="1">
        <v>45329</v>
      </c>
      <c r="F428" t="s">
        <v>18</v>
      </c>
      <c r="G428" t="s">
        <v>23</v>
      </c>
      <c r="H428">
        <v>15</v>
      </c>
      <c r="I428" t="s">
        <v>15</v>
      </c>
      <c r="J428">
        <v>0</v>
      </c>
      <c r="K428" t="s">
        <v>24</v>
      </c>
      <c r="L428" t="s">
        <v>17</v>
      </c>
    </row>
    <row r="429" spans="1:12" x14ac:dyDescent="0.25">
      <c r="A429">
        <v>428</v>
      </c>
      <c r="B429">
        <v>62</v>
      </c>
      <c r="C429" t="s">
        <v>12</v>
      </c>
      <c r="D429" s="1">
        <v>45315</v>
      </c>
      <c r="E429" s="1">
        <v>45317</v>
      </c>
      <c r="F429" t="s">
        <v>27</v>
      </c>
      <c r="G429" t="s">
        <v>19</v>
      </c>
      <c r="H429">
        <v>2</v>
      </c>
      <c r="I429" t="s">
        <v>20</v>
      </c>
      <c r="J429">
        <v>2</v>
      </c>
      <c r="K429" t="s">
        <v>24</v>
      </c>
      <c r="L429" t="s">
        <v>29</v>
      </c>
    </row>
    <row r="430" spans="1:12" x14ac:dyDescent="0.25">
      <c r="A430">
        <v>429</v>
      </c>
      <c r="B430">
        <v>25</v>
      </c>
      <c r="C430" t="s">
        <v>12</v>
      </c>
      <c r="D430" s="1">
        <v>45623</v>
      </c>
      <c r="E430" s="1">
        <v>45626</v>
      </c>
      <c r="F430" t="s">
        <v>18</v>
      </c>
      <c r="G430" t="s">
        <v>14</v>
      </c>
      <c r="H430">
        <v>3</v>
      </c>
      <c r="I430" t="s">
        <v>15</v>
      </c>
      <c r="J430">
        <v>2</v>
      </c>
      <c r="K430" t="s">
        <v>24</v>
      </c>
      <c r="L430" t="s">
        <v>17</v>
      </c>
    </row>
    <row r="431" spans="1:12" x14ac:dyDescent="0.25">
      <c r="A431">
        <v>430</v>
      </c>
      <c r="B431">
        <v>46</v>
      </c>
      <c r="C431" t="s">
        <v>12</v>
      </c>
      <c r="D431" s="1">
        <v>45345</v>
      </c>
      <c r="E431" s="1">
        <v>45349</v>
      </c>
      <c r="F431" t="s">
        <v>18</v>
      </c>
      <c r="G431" t="s">
        <v>19</v>
      </c>
      <c r="H431">
        <v>4</v>
      </c>
      <c r="I431" t="s">
        <v>20</v>
      </c>
      <c r="J431">
        <v>2</v>
      </c>
      <c r="K431" t="s">
        <v>24</v>
      </c>
      <c r="L431" t="s">
        <v>30</v>
      </c>
    </row>
    <row r="432" spans="1:12" x14ac:dyDescent="0.25">
      <c r="A432">
        <v>431</v>
      </c>
      <c r="B432">
        <v>45</v>
      </c>
      <c r="C432" t="s">
        <v>12</v>
      </c>
      <c r="D432" s="1">
        <v>45360</v>
      </c>
      <c r="E432" s="1">
        <v>45368</v>
      </c>
      <c r="F432" t="s">
        <v>31</v>
      </c>
      <c r="G432" t="s">
        <v>14</v>
      </c>
      <c r="H432">
        <v>8</v>
      </c>
      <c r="I432" t="s">
        <v>20</v>
      </c>
      <c r="J432">
        <v>4</v>
      </c>
      <c r="K432" t="s">
        <v>24</v>
      </c>
      <c r="L432" t="s">
        <v>17</v>
      </c>
    </row>
    <row r="433" spans="1:12" x14ac:dyDescent="0.25">
      <c r="A433">
        <v>432</v>
      </c>
      <c r="B433">
        <v>73</v>
      </c>
      <c r="C433" t="s">
        <v>12</v>
      </c>
      <c r="D433" s="1">
        <v>45450</v>
      </c>
      <c r="E433" s="1">
        <v>45451</v>
      </c>
      <c r="F433" t="s">
        <v>31</v>
      </c>
      <c r="G433" t="s">
        <v>19</v>
      </c>
      <c r="H433">
        <v>1</v>
      </c>
      <c r="I433" t="s">
        <v>15</v>
      </c>
      <c r="J433">
        <v>3</v>
      </c>
      <c r="K433" t="s">
        <v>16</v>
      </c>
      <c r="L433" t="s">
        <v>29</v>
      </c>
    </row>
    <row r="434" spans="1:12" x14ac:dyDescent="0.25">
      <c r="A434">
        <v>433</v>
      </c>
      <c r="B434">
        <v>83</v>
      </c>
      <c r="C434" t="s">
        <v>12</v>
      </c>
      <c r="D434" s="1">
        <v>45470</v>
      </c>
      <c r="E434" s="1">
        <v>45482</v>
      </c>
      <c r="F434" t="s">
        <v>31</v>
      </c>
      <c r="G434" t="s">
        <v>19</v>
      </c>
      <c r="H434">
        <v>12</v>
      </c>
      <c r="I434" t="s">
        <v>15</v>
      </c>
      <c r="J434">
        <v>2</v>
      </c>
      <c r="K434" t="s">
        <v>21</v>
      </c>
      <c r="L434" t="s">
        <v>29</v>
      </c>
    </row>
    <row r="435" spans="1:12" x14ac:dyDescent="0.25">
      <c r="A435">
        <v>434</v>
      </c>
      <c r="B435">
        <v>25</v>
      </c>
      <c r="C435" t="s">
        <v>26</v>
      </c>
      <c r="D435" s="1">
        <v>45615</v>
      </c>
      <c r="E435" s="1">
        <v>45626</v>
      </c>
      <c r="F435" t="s">
        <v>13</v>
      </c>
      <c r="G435" t="s">
        <v>23</v>
      </c>
      <c r="H435">
        <v>11</v>
      </c>
      <c r="I435" t="s">
        <v>20</v>
      </c>
      <c r="J435">
        <v>3</v>
      </c>
      <c r="K435" t="s">
        <v>16</v>
      </c>
      <c r="L435" t="s">
        <v>25</v>
      </c>
    </row>
    <row r="436" spans="1:12" x14ac:dyDescent="0.25">
      <c r="A436">
        <v>435</v>
      </c>
      <c r="B436">
        <v>80</v>
      </c>
      <c r="C436" t="s">
        <v>26</v>
      </c>
      <c r="D436" s="1">
        <v>45351</v>
      </c>
      <c r="E436" s="1">
        <v>45355</v>
      </c>
      <c r="F436" t="s">
        <v>27</v>
      </c>
      <c r="G436" t="s">
        <v>23</v>
      </c>
      <c r="H436">
        <v>4</v>
      </c>
      <c r="I436" t="s">
        <v>15</v>
      </c>
      <c r="J436">
        <v>2</v>
      </c>
      <c r="K436" t="s">
        <v>16</v>
      </c>
      <c r="L436" t="s">
        <v>17</v>
      </c>
    </row>
    <row r="437" spans="1:12" x14ac:dyDescent="0.25">
      <c r="A437">
        <v>436</v>
      </c>
      <c r="B437">
        <v>90</v>
      </c>
      <c r="C437" t="s">
        <v>26</v>
      </c>
      <c r="D437" s="1">
        <v>45339</v>
      </c>
      <c r="E437" s="1">
        <v>45352</v>
      </c>
      <c r="F437" t="s">
        <v>31</v>
      </c>
      <c r="G437" t="s">
        <v>19</v>
      </c>
      <c r="H437">
        <v>13</v>
      </c>
      <c r="I437" t="s">
        <v>15</v>
      </c>
      <c r="J437">
        <v>1</v>
      </c>
      <c r="K437" t="s">
        <v>24</v>
      </c>
      <c r="L437" t="s">
        <v>22</v>
      </c>
    </row>
    <row r="438" spans="1:12" x14ac:dyDescent="0.25">
      <c r="A438">
        <v>437</v>
      </c>
      <c r="B438">
        <v>47</v>
      </c>
      <c r="C438" t="s">
        <v>12</v>
      </c>
      <c r="D438" s="1">
        <v>45293</v>
      </c>
      <c r="E438" s="1">
        <v>45296</v>
      </c>
      <c r="F438" t="s">
        <v>13</v>
      </c>
      <c r="G438" t="s">
        <v>14</v>
      </c>
      <c r="H438">
        <v>3</v>
      </c>
      <c r="I438" t="s">
        <v>15</v>
      </c>
      <c r="J438">
        <v>4</v>
      </c>
      <c r="K438" t="s">
        <v>21</v>
      </c>
      <c r="L438" t="s">
        <v>22</v>
      </c>
    </row>
    <row r="439" spans="1:12" x14ac:dyDescent="0.25">
      <c r="A439">
        <v>438</v>
      </c>
      <c r="B439">
        <v>44</v>
      </c>
      <c r="C439" t="s">
        <v>26</v>
      </c>
      <c r="D439" s="1">
        <v>45447</v>
      </c>
      <c r="E439" s="1">
        <v>45449</v>
      </c>
      <c r="F439" t="s">
        <v>13</v>
      </c>
      <c r="G439" t="s">
        <v>19</v>
      </c>
      <c r="H439">
        <v>2</v>
      </c>
      <c r="I439" t="s">
        <v>20</v>
      </c>
      <c r="J439">
        <v>0</v>
      </c>
      <c r="K439" t="s">
        <v>16</v>
      </c>
      <c r="L439" t="s">
        <v>22</v>
      </c>
    </row>
    <row r="440" spans="1:12" x14ac:dyDescent="0.25">
      <c r="A440">
        <v>439</v>
      </c>
      <c r="B440">
        <v>77</v>
      </c>
      <c r="C440" t="s">
        <v>12</v>
      </c>
      <c r="D440" s="1">
        <v>45300</v>
      </c>
      <c r="E440" s="1">
        <v>45303</v>
      </c>
      <c r="F440" t="s">
        <v>18</v>
      </c>
      <c r="G440" t="s">
        <v>23</v>
      </c>
      <c r="H440">
        <v>3</v>
      </c>
      <c r="I440" t="s">
        <v>20</v>
      </c>
      <c r="J440">
        <v>2</v>
      </c>
      <c r="K440" t="s">
        <v>21</v>
      </c>
      <c r="L440" t="s">
        <v>17</v>
      </c>
    </row>
    <row r="441" spans="1:12" x14ac:dyDescent="0.25">
      <c r="A441">
        <v>440</v>
      </c>
      <c r="B441">
        <v>31</v>
      </c>
      <c r="C441" t="s">
        <v>12</v>
      </c>
      <c r="D441" s="1">
        <v>45376</v>
      </c>
      <c r="E441" s="1">
        <v>45377</v>
      </c>
      <c r="F441" t="s">
        <v>28</v>
      </c>
      <c r="G441" t="s">
        <v>19</v>
      </c>
      <c r="H441">
        <v>1</v>
      </c>
      <c r="I441" t="s">
        <v>15</v>
      </c>
      <c r="J441">
        <v>2</v>
      </c>
      <c r="K441" t="s">
        <v>16</v>
      </c>
      <c r="L441" t="s">
        <v>30</v>
      </c>
    </row>
    <row r="442" spans="1:12" x14ac:dyDescent="0.25">
      <c r="A442">
        <v>441</v>
      </c>
      <c r="B442">
        <v>22</v>
      </c>
      <c r="C442" t="s">
        <v>26</v>
      </c>
      <c r="D442" s="1">
        <v>45637</v>
      </c>
      <c r="E442" s="1">
        <v>45648</v>
      </c>
      <c r="F442" t="s">
        <v>18</v>
      </c>
      <c r="G442" t="s">
        <v>23</v>
      </c>
      <c r="H442">
        <v>11</v>
      </c>
      <c r="I442" t="s">
        <v>15</v>
      </c>
      <c r="J442">
        <v>0</v>
      </c>
      <c r="K442" t="s">
        <v>24</v>
      </c>
      <c r="L442" t="s">
        <v>29</v>
      </c>
    </row>
    <row r="443" spans="1:12" x14ac:dyDescent="0.25">
      <c r="A443">
        <v>442</v>
      </c>
      <c r="B443">
        <v>90</v>
      </c>
      <c r="C443" t="s">
        <v>12</v>
      </c>
      <c r="D443" s="1">
        <v>45399</v>
      </c>
      <c r="E443" s="1">
        <v>45410</v>
      </c>
      <c r="F443" t="s">
        <v>31</v>
      </c>
      <c r="G443" t="s">
        <v>19</v>
      </c>
      <c r="H443">
        <v>11</v>
      </c>
      <c r="I443" t="s">
        <v>15</v>
      </c>
      <c r="J443">
        <v>1</v>
      </c>
      <c r="K443" t="s">
        <v>24</v>
      </c>
      <c r="L443" t="s">
        <v>25</v>
      </c>
    </row>
    <row r="444" spans="1:12" x14ac:dyDescent="0.25">
      <c r="A444">
        <v>443</v>
      </c>
      <c r="B444">
        <v>44</v>
      </c>
      <c r="C444" t="s">
        <v>26</v>
      </c>
      <c r="D444" s="1">
        <v>45371</v>
      </c>
      <c r="E444" s="1">
        <v>45374</v>
      </c>
      <c r="F444" t="s">
        <v>18</v>
      </c>
      <c r="G444" t="s">
        <v>23</v>
      </c>
      <c r="H444">
        <v>3</v>
      </c>
      <c r="I444" t="s">
        <v>15</v>
      </c>
      <c r="J444">
        <v>3</v>
      </c>
      <c r="K444" t="s">
        <v>24</v>
      </c>
      <c r="L444" t="s">
        <v>25</v>
      </c>
    </row>
    <row r="445" spans="1:12" x14ac:dyDescent="0.25">
      <c r="A445">
        <v>444</v>
      </c>
      <c r="B445">
        <v>81</v>
      </c>
      <c r="C445" t="s">
        <v>26</v>
      </c>
      <c r="D445" s="1">
        <v>45649</v>
      </c>
      <c r="E445" s="1">
        <v>45661</v>
      </c>
      <c r="F445" t="s">
        <v>28</v>
      </c>
      <c r="G445" t="s">
        <v>19</v>
      </c>
      <c r="H445">
        <v>12</v>
      </c>
      <c r="I445" t="s">
        <v>15</v>
      </c>
      <c r="J445">
        <v>0</v>
      </c>
      <c r="K445" t="s">
        <v>16</v>
      </c>
      <c r="L445" t="s">
        <v>25</v>
      </c>
    </row>
    <row r="446" spans="1:12" x14ac:dyDescent="0.25">
      <c r="A446">
        <v>445</v>
      </c>
      <c r="B446">
        <v>87</v>
      </c>
      <c r="C446" t="s">
        <v>26</v>
      </c>
      <c r="D446" s="1">
        <v>45572</v>
      </c>
      <c r="E446" s="1">
        <v>45578</v>
      </c>
      <c r="F446" t="s">
        <v>18</v>
      </c>
      <c r="G446" t="s">
        <v>19</v>
      </c>
      <c r="H446">
        <v>6</v>
      </c>
      <c r="I446" t="s">
        <v>15</v>
      </c>
      <c r="J446">
        <v>3</v>
      </c>
      <c r="K446" t="s">
        <v>24</v>
      </c>
      <c r="L446" t="s">
        <v>30</v>
      </c>
    </row>
    <row r="447" spans="1:12" x14ac:dyDescent="0.25">
      <c r="A447">
        <v>446</v>
      </c>
      <c r="B447">
        <v>35</v>
      </c>
      <c r="C447" t="s">
        <v>26</v>
      </c>
      <c r="D447" s="1">
        <v>45529</v>
      </c>
      <c r="E447" s="1">
        <v>45537</v>
      </c>
      <c r="F447" t="s">
        <v>13</v>
      </c>
      <c r="G447" t="s">
        <v>23</v>
      </c>
      <c r="H447">
        <v>8</v>
      </c>
      <c r="I447" t="s">
        <v>15</v>
      </c>
      <c r="J447">
        <v>4</v>
      </c>
      <c r="K447" t="s">
        <v>21</v>
      </c>
      <c r="L447" t="s">
        <v>29</v>
      </c>
    </row>
    <row r="448" spans="1:12" x14ac:dyDescent="0.25">
      <c r="A448">
        <v>447</v>
      </c>
      <c r="B448">
        <v>44</v>
      </c>
      <c r="C448" t="s">
        <v>26</v>
      </c>
      <c r="D448" s="1">
        <v>45478</v>
      </c>
      <c r="E448" s="1">
        <v>45488</v>
      </c>
      <c r="F448" t="s">
        <v>18</v>
      </c>
      <c r="G448" t="s">
        <v>14</v>
      </c>
      <c r="H448">
        <v>10</v>
      </c>
      <c r="I448" t="s">
        <v>15</v>
      </c>
      <c r="J448">
        <v>2</v>
      </c>
      <c r="K448" t="s">
        <v>24</v>
      </c>
      <c r="L448" t="s">
        <v>29</v>
      </c>
    </row>
    <row r="449" spans="1:12" x14ac:dyDescent="0.25">
      <c r="A449">
        <v>448</v>
      </c>
      <c r="B449">
        <v>77</v>
      </c>
      <c r="C449" t="s">
        <v>26</v>
      </c>
      <c r="D449" s="1">
        <v>45319</v>
      </c>
      <c r="E449" s="1">
        <v>45325</v>
      </c>
      <c r="F449" t="s">
        <v>18</v>
      </c>
      <c r="G449" t="s">
        <v>23</v>
      </c>
      <c r="H449">
        <v>6</v>
      </c>
      <c r="I449" t="s">
        <v>15</v>
      </c>
      <c r="J449">
        <v>0</v>
      </c>
      <c r="K449" t="s">
        <v>16</v>
      </c>
      <c r="L449" t="s">
        <v>30</v>
      </c>
    </row>
    <row r="450" spans="1:12" x14ac:dyDescent="0.25">
      <c r="A450">
        <v>449</v>
      </c>
      <c r="B450">
        <v>23</v>
      </c>
      <c r="C450" t="s">
        <v>26</v>
      </c>
      <c r="D450" s="1">
        <v>45451</v>
      </c>
      <c r="E450" s="1">
        <v>45462</v>
      </c>
      <c r="F450" t="s">
        <v>28</v>
      </c>
      <c r="G450" t="s">
        <v>14</v>
      </c>
      <c r="H450">
        <v>11</v>
      </c>
      <c r="I450" t="s">
        <v>15</v>
      </c>
      <c r="J450">
        <v>3</v>
      </c>
      <c r="K450" t="s">
        <v>21</v>
      </c>
      <c r="L450" t="s">
        <v>25</v>
      </c>
    </row>
    <row r="451" spans="1:12" x14ac:dyDescent="0.25">
      <c r="A451">
        <v>450</v>
      </c>
      <c r="B451">
        <v>57</v>
      </c>
      <c r="C451" t="s">
        <v>12</v>
      </c>
      <c r="D451" s="1">
        <v>45504</v>
      </c>
      <c r="E451" s="1">
        <v>45509</v>
      </c>
      <c r="F451" t="s">
        <v>13</v>
      </c>
      <c r="G451" t="s">
        <v>14</v>
      </c>
      <c r="H451">
        <v>5</v>
      </c>
      <c r="I451" t="s">
        <v>15</v>
      </c>
      <c r="J451">
        <v>2</v>
      </c>
      <c r="K451" t="s">
        <v>16</v>
      </c>
      <c r="L451" t="s">
        <v>30</v>
      </c>
    </row>
    <row r="452" spans="1:12" x14ac:dyDescent="0.25">
      <c r="A452">
        <v>451</v>
      </c>
      <c r="B452">
        <v>51</v>
      </c>
      <c r="C452" t="s">
        <v>12</v>
      </c>
      <c r="D452" s="1">
        <v>45580</v>
      </c>
      <c r="E452" s="1">
        <v>45584</v>
      </c>
      <c r="F452" t="s">
        <v>18</v>
      </c>
      <c r="G452" t="s">
        <v>14</v>
      </c>
      <c r="H452">
        <v>4</v>
      </c>
      <c r="I452" t="s">
        <v>15</v>
      </c>
      <c r="J452">
        <v>2</v>
      </c>
      <c r="K452" t="s">
        <v>24</v>
      </c>
      <c r="L452" t="s">
        <v>22</v>
      </c>
    </row>
    <row r="453" spans="1:12" x14ac:dyDescent="0.25">
      <c r="A453">
        <v>452</v>
      </c>
      <c r="B453">
        <v>49</v>
      </c>
      <c r="C453" t="s">
        <v>26</v>
      </c>
      <c r="D453" s="1">
        <v>45325</v>
      </c>
      <c r="E453" s="1">
        <v>45340</v>
      </c>
      <c r="F453" t="s">
        <v>18</v>
      </c>
      <c r="G453" t="s">
        <v>23</v>
      </c>
      <c r="H453">
        <v>15</v>
      </c>
      <c r="I453" t="s">
        <v>20</v>
      </c>
      <c r="J453">
        <v>2</v>
      </c>
      <c r="K453" t="s">
        <v>16</v>
      </c>
      <c r="L453" t="s">
        <v>17</v>
      </c>
    </row>
    <row r="454" spans="1:12" x14ac:dyDescent="0.25">
      <c r="A454">
        <v>453</v>
      </c>
      <c r="B454">
        <v>84</v>
      </c>
      <c r="C454" t="s">
        <v>26</v>
      </c>
      <c r="D454" s="1">
        <v>45383</v>
      </c>
      <c r="E454" s="1">
        <v>45388</v>
      </c>
      <c r="F454" t="s">
        <v>31</v>
      </c>
      <c r="G454" t="s">
        <v>19</v>
      </c>
      <c r="H454">
        <v>5</v>
      </c>
      <c r="I454" t="s">
        <v>15</v>
      </c>
      <c r="J454">
        <v>3</v>
      </c>
      <c r="K454" t="s">
        <v>21</v>
      </c>
      <c r="L454" t="s">
        <v>30</v>
      </c>
    </row>
    <row r="455" spans="1:12" x14ac:dyDescent="0.25">
      <c r="A455">
        <v>454</v>
      </c>
      <c r="B455">
        <v>20</v>
      </c>
      <c r="C455" t="s">
        <v>26</v>
      </c>
      <c r="D455" s="1">
        <v>45505</v>
      </c>
      <c r="E455" s="1">
        <v>45508</v>
      </c>
      <c r="F455" t="s">
        <v>28</v>
      </c>
      <c r="G455" t="s">
        <v>14</v>
      </c>
      <c r="H455">
        <v>3</v>
      </c>
      <c r="I455" t="s">
        <v>15</v>
      </c>
      <c r="J455">
        <v>4</v>
      </c>
      <c r="K455" t="s">
        <v>16</v>
      </c>
      <c r="L455" t="s">
        <v>25</v>
      </c>
    </row>
    <row r="456" spans="1:12" x14ac:dyDescent="0.25">
      <c r="A456">
        <v>455</v>
      </c>
      <c r="B456">
        <v>83</v>
      </c>
      <c r="C456" t="s">
        <v>26</v>
      </c>
      <c r="D456" s="1">
        <v>45630</v>
      </c>
      <c r="E456" s="1">
        <v>45633</v>
      </c>
      <c r="F456" t="s">
        <v>28</v>
      </c>
      <c r="G456" t="s">
        <v>23</v>
      </c>
      <c r="H456">
        <v>3</v>
      </c>
      <c r="I456" t="s">
        <v>15</v>
      </c>
      <c r="J456">
        <v>2</v>
      </c>
      <c r="K456" t="s">
        <v>21</v>
      </c>
      <c r="L456" t="s">
        <v>30</v>
      </c>
    </row>
    <row r="457" spans="1:12" x14ac:dyDescent="0.25">
      <c r="A457">
        <v>456</v>
      </c>
      <c r="B457">
        <v>86</v>
      </c>
      <c r="C457" t="s">
        <v>12</v>
      </c>
      <c r="D457" s="1">
        <v>45300</v>
      </c>
      <c r="E457" s="1">
        <v>45311</v>
      </c>
      <c r="F457" t="s">
        <v>13</v>
      </c>
      <c r="G457" t="s">
        <v>19</v>
      </c>
      <c r="H457">
        <v>11</v>
      </c>
      <c r="I457" t="s">
        <v>20</v>
      </c>
      <c r="J457">
        <v>4</v>
      </c>
      <c r="K457" t="s">
        <v>16</v>
      </c>
      <c r="L457" t="s">
        <v>30</v>
      </c>
    </row>
    <row r="458" spans="1:12" x14ac:dyDescent="0.25">
      <c r="A458">
        <v>457</v>
      </c>
      <c r="B458">
        <v>20</v>
      </c>
      <c r="C458" t="s">
        <v>12</v>
      </c>
      <c r="D458" s="1">
        <v>45454</v>
      </c>
      <c r="E458" s="1">
        <v>45462</v>
      </c>
      <c r="F458" t="s">
        <v>31</v>
      </c>
      <c r="G458" t="s">
        <v>14</v>
      </c>
      <c r="H458">
        <v>8</v>
      </c>
      <c r="I458" t="s">
        <v>15</v>
      </c>
      <c r="J458">
        <v>1</v>
      </c>
      <c r="K458" t="s">
        <v>24</v>
      </c>
      <c r="L458" t="s">
        <v>25</v>
      </c>
    </row>
    <row r="459" spans="1:12" x14ac:dyDescent="0.25">
      <c r="A459">
        <v>458</v>
      </c>
      <c r="B459">
        <v>27</v>
      </c>
      <c r="C459" t="s">
        <v>12</v>
      </c>
      <c r="D459" s="1">
        <v>45403</v>
      </c>
      <c r="E459" s="1">
        <v>45409</v>
      </c>
      <c r="F459" t="s">
        <v>13</v>
      </c>
      <c r="G459" t="s">
        <v>23</v>
      </c>
      <c r="H459">
        <v>6</v>
      </c>
      <c r="I459" t="s">
        <v>15</v>
      </c>
      <c r="J459">
        <v>3</v>
      </c>
      <c r="K459" t="s">
        <v>24</v>
      </c>
      <c r="L459" t="s">
        <v>30</v>
      </c>
    </row>
    <row r="460" spans="1:12" x14ac:dyDescent="0.25">
      <c r="A460">
        <v>459</v>
      </c>
      <c r="B460">
        <v>40</v>
      </c>
      <c r="C460" t="s">
        <v>26</v>
      </c>
      <c r="D460" s="1">
        <v>45519</v>
      </c>
      <c r="E460" s="1">
        <v>45526</v>
      </c>
      <c r="F460" t="s">
        <v>31</v>
      </c>
      <c r="G460" t="s">
        <v>23</v>
      </c>
      <c r="H460">
        <v>7</v>
      </c>
      <c r="I460" t="s">
        <v>15</v>
      </c>
      <c r="J460">
        <v>2</v>
      </c>
      <c r="K460" t="s">
        <v>24</v>
      </c>
      <c r="L460" t="s">
        <v>30</v>
      </c>
    </row>
    <row r="461" spans="1:12" x14ac:dyDescent="0.25">
      <c r="A461">
        <v>460</v>
      </c>
      <c r="B461">
        <v>33</v>
      </c>
      <c r="C461" t="s">
        <v>26</v>
      </c>
      <c r="D461" s="1">
        <v>45441</v>
      </c>
      <c r="E461" s="1">
        <v>45443</v>
      </c>
      <c r="F461" t="s">
        <v>31</v>
      </c>
      <c r="G461" t="s">
        <v>19</v>
      </c>
      <c r="H461">
        <v>2</v>
      </c>
      <c r="I461" t="s">
        <v>20</v>
      </c>
      <c r="J461">
        <v>2</v>
      </c>
      <c r="K461" t="s">
        <v>21</v>
      </c>
      <c r="L461" t="s">
        <v>22</v>
      </c>
    </row>
    <row r="462" spans="1:12" x14ac:dyDescent="0.25">
      <c r="A462">
        <v>461</v>
      </c>
      <c r="B462">
        <v>41</v>
      </c>
      <c r="C462" t="s">
        <v>12</v>
      </c>
      <c r="D462" s="1">
        <v>45321</v>
      </c>
      <c r="E462" s="1">
        <v>45336</v>
      </c>
      <c r="F462" t="s">
        <v>31</v>
      </c>
      <c r="G462" t="s">
        <v>14</v>
      </c>
      <c r="H462">
        <v>15</v>
      </c>
      <c r="I462" t="s">
        <v>15</v>
      </c>
      <c r="J462">
        <v>4</v>
      </c>
      <c r="K462" t="s">
        <v>16</v>
      </c>
      <c r="L462" t="s">
        <v>30</v>
      </c>
    </row>
    <row r="463" spans="1:12" x14ac:dyDescent="0.25">
      <c r="A463">
        <v>462</v>
      </c>
      <c r="B463">
        <v>49</v>
      </c>
      <c r="C463" t="s">
        <v>26</v>
      </c>
      <c r="D463" s="1">
        <v>45471</v>
      </c>
      <c r="E463" s="1">
        <v>45474</v>
      </c>
      <c r="F463" t="s">
        <v>28</v>
      </c>
      <c r="G463" t="s">
        <v>19</v>
      </c>
      <c r="H463">
        <v>3</v>
      </c>
      <c r="I463" t="s">
        <v>15</v>
      </c>
      <c r="J463">
        <v>0</v>
      </c>
      <c r="K463" t="s">
        <v>21</v>
      </c>
      <c r="L463" t="s">
        <v>17</v>
      </c>
    </row>
    <row r="464" spans="1:12" x14ac:dyDescent="0.25">
      <c r="A464">
        <v>463</v>
      </c>
      <c r="B464">
        <v>28</v>
      </c>
      <c r="C464" t="s">
        <v>12</v>
      </c>
      <c r="D464" s="1">
        <v>45458</v>
      </c>
      <c r="E464" s="1">
        <v>45463</v>
      </c>
      <c r="F464" t="s">
        <v>27</v>
      </c>
      <c r="G464" t="s">
        <v>23</v>
      </c>
      <c r="H464">
        <v>5</v>
      </c>
      <c r="I464" t="s">
        <v>15</v>
      </c>
      <c r="J464">
        <v>4</v>
      </c>
      <c r="K464" t="s">
        <v>21</v>
      </c>
      <c r="L464" t="s">
        <v>17</v>
      </c>
    </row>
    <row r="465" spans="1:12" x14ac:dyDescent="0.25">
      <c r="A465">
        <v>464</v>
      </c>
      <c r="B465">
        <v>65</v>
      </c>
      <c r="C465" t="s">
        <v>26</v>
      </c>
      <c r="D465" s="1">
        <v>45324</v>
      </c>
      <c r="E465" s="1">
        <v>45338</v>
      </c>
      <c r="F465" t="s">
        <v>18</v>
      </c>
      <c r="G465" t="s">
        <v>14</v>
      </c>
      <c r="H465">
        <v>14</v>
      </c>
      <c r="I465" t="s">
        <v>20</v>
      </c>
      <c r="J465">
        <v>0</v>
      </c>
      <c r="K465" t="s">
        <v>21</v>
      </c>
      <c r="L465" t="s">
        <v>25</v>
      </c>
    </row>
    <row r="466" spans="1:12" x14ac:dyDescent="0.25">
      <c r="A466">
        <v>465</v>
      </c>
      <c r="B466">
        <v>42</v>
      </c>
      <c r="C466" t="s">
        <v>26</v>
      </c>
      <c r="D466" s="1">
        <v>45564</v>
      </c>
      <c r="E466" s="1">
        <v>45571</v>
      </c>
      <c r="F466" t="s">
        <v>18</v>
      </c>
      <c r="G466" t="s">
        <v>23</v>
      </c>
      <c r="H466">
        <v>7</v>
      </c>
      <c r="I466" t="s">
        <v>15</v>
      </c>
      <c r="J466">
        <v>2</v>
      </c>
      <c r="K466" t="s">
        <v>16</v>
      </c>
      <c r="L466" t="s">
        <v>29</v>
      </c>
    </row>
    <row r="467" spans="1:12" x14ac:dyDescent="0.25">
      <c r="A467">
        <v>466</v>
      </c>
      <c r="B467">
        <v>50</v>
      </c>
      <c r="C467" t="s">
        <v>12</v>
      </c>
      <c r="D467" s="1">
        <v>45432</v>
      </c>
      <c r="E467" s="1">
        <v>45444</v>
      </c>
      <c r="F467" t="s">
        <v>13</v>
      </c>
      <c r="G467" t="s">
        <v>14</v>
      </c>
      <c r="H467">
        <v>12</v>
      </c>
      <c r="I467" t="s">
        <v>15</v>
      </c>
      <c r="J467">
        <v>1</v>
      </c>
      <c r="K467" t="s">
        <v>16</v>
      </c>
      <c r="L467" t="s">
        <v>30</v>
      </c>
    </row>
    <row r="468" spans="1:12" x14ac:dyDescent="0.25">
      <c r="A468">
        <v>467</v>
      </c>
      <c r="B468">
        <v>34</v>
      </c>
      <c r="C468" t="s">
        <v>26</v>
      </c>
      <c r="D468" s="1">
        <v>45304</v>
      </c>
      <c r="E468" s="1">
        <v>45305</v>
      </c>
      <c r="F468" t="s">
        <v>13</v>
      </c>
      <c r="G468" t="s">
        <v>23</v>
      </c>
      <c r="H468">
        <v>1</v>
      </c>
      <c r="I468" t="s">
        <v>15</v>
      </c>
      <c r="J468">
        <v>2</v>
      </c>
      <c r="K468" t="s">
        <v>16</v>
      </c>
      <c r="L468" t="s">
        <v>17</v>
      </c>
    </row>
    <row r="469" spans="1:12" x14ac:dyDescent="0.25">
      <c r="A469">
        <v>468</v>
      </c>
      <c r="B469">
        <v>59</v>
      </c>
      <c r="C469" t="s">
        <v>26</v>
      </c>
      <c r="D469" s="1">
        <v>45412</v>
      </c>
      <c r="E469" s="1">
        <v>45419</v>
      </c>
      <c r="F469" t="s">
        <v>13</v>
      </c>
      <c r="G469" t="s">
        <v>14</v>
      </c>
      <c r="H469">
        <v>7</v>
      </c>
      <c r="I469" t="s">
        <v>15</v>
      </c>
      <c r="J469">
        <v>3</v>
      </c>
      <c r="K469" t="s">
        <v>24</v>
      </c>
      <c r="L469" t="s">
        <v>17</v>
      </c>
    </row>
    <row r="470" spans="1:12" x14ac:dyDescent="0.25">
      <c r="A470">
        <v>469</v>
      </c>
      <c r="B470">
        <v>74</v>
      </c>
      <c r="C470" t="s">
        <v>12</v>
      </c>
      <c r="D470" s="1">
        <v>45350</v>
      </c>
      <c r="E470" s="1">
        <v>45352</v>
      </c>
      <c r="F470" t="s">
        <v>28</v>
      </c>
      <c r="G470" t="s">
        <v>19</v>
      </c>
      <c r="H470">
        <v>2</v>
      </c>
      <c r="I470" t="s">
        <v>15</v>
      </c>
      <c r="J470">
        <v>0</v>
      </c>
      <c r="K470" t="s">
        <v>24</v>
      </c>
      <c r="L470" t="s">
        <v>25</v>
      </c>
    </row>
    <row r="471" spans="1:12" x14ac:dyDescent="0.25">
      <c r="A471">
        <v>470</v>
      </c>
      <c r="B471">
        <v>25</v>
      </c>
      <c r="C471" t="s">
        <v>12</v>
      </c>
      <c r="D471" s="1">
        <v>45342</v>
      </c>
      <c r="E471" s="1">
        <v>45356</v>
      </c>
      <c r="F471" t="s">
        <v>27</v>
      </c>
      <c r="G471" t="s">
        <v>19</v>
      </c>
      <c r="H471">
        <v>14</v>
      </c>
      <c r="I471" t="s">
        <v>15</v>
      </c>
      <c r="J471">
        <v>2</v>
      </c>
      <c r="K471" t="s">
        <v>24</v>
      </c>
      <c r="L471" t="s">
        <v>30</v>
      </c>
    </row>
    <row r="472" spans="1:12" x14ac:dyDescent="0.25">
      <c r="A472">
        <v>471</v>
      </c>
      <c r="B472">
        <v>34</v>
      </c>
      <c r="C472" t="s">
        <v>12</v>
      </c>
      <c r="D472" s="1">
        <v>45506</v>
      </c>
      <c r="E472" s="1">
        <v>45512</v>
      </c>
      <c r="F472" t="s">
        <v>18</v>
      </c>
      <c r="G472" t="s">
        <v>23</v>
      </c>
      <c r="H472">
        <v>6</v>
      </c>
      <c r="I472" t="s">
        <v>15</v>
      </c>
      <c r="J472">
        <v>4</v>
      </c>
      <c r="K472" t="s">
        <v>21</v>
      </c>
      <c r="L472" t="s">
        <v>22</v>
      </c>
    </row>
    <row r="473" spans="1:12" x14ac:dyDescent="0.25">
      <c r="A473">
        <v>472</v>
      </c>
      <c r="B473">
        <v>34</v>
      </c>
      <c r="C473" t="s">
        <v>26</v>
      </c>
      <c r="D473" s="1">
        <v>45411</v>
      </c>
      <c r="E473" s="1">
        <v>45419</v>
      </c>
      <c r="F473" t="s">
        <v>27</v>
      </c>
      <c r="G473" t="s">
        <v>19</v>
      </c>
      <c r="H473">
        <v>8</v>
      </c>
      <c r="I473" t="s">
        <v>15</v>
      </c>
      <c r="J473">
        <v>2</v>
      </c>
      <c r="K473" t="s">
        <v>24</v>
      </c>
      <c r="L473" t="s">
        <v>22</v>
      </c>
    </row>
    <row r="474" spans="1:12" x14ac:dyDescent="0.25">
      <c r="A474">
        <v>473</v>
      </c>
      <c r="B474">
        <v>27</v>
      </c>
      <c r="C474" t="s">
        <v>26</v>
      </c>
      <c r="D474" s="1">
        <v>45548</v>
      </c>
      <c r="E474" s="1">
        <v>45552</v>
      </c>
      <c r="F474" t="s">
        <v>28</v>
      </c>
      <c r="G474" t="s">
        <v>23</v>
      </c>
      <c r="H474">
        <v>4</v>
      </c>
      <c r="I474" t="s">
        <v>20</v>
      </c>
      <c r="J474">
        <v>0</v>
      </c>
      <c r="K474" t="s">
        <v>24</v>
      </c>
      <c r="L474" t="s">
        <v>17</v>
      </c>
    </row>
    <row r="475" spans="1:12" x14ac:dyDescent="0.25">
      <c r="A475">
        <v>474</v>
      </c>
      <c r="B475">
        <v>30</v>
      </c>
      <c r="C475" t="s">
        <v>26</v>
      </c>
      <c r="D475" s="1">
        <v>45457</v>
      </c>
      <c r="E475" s="1">
        <v>45471</v>
      </c>
      <c r="F475" t="s">
        <v>13</v>
      </c>
      <c r="G475" t="s">
        <v>23</v>
      </c>
      <c r="H475">
        <v>14</v>
      </c>
      <c r="I475" t="s">
        <v>20</v>
      </c>
      <c r="J475">
        <v>3</v>
      </c>
      <c r="K475" t="s">
        <v>16</v>
      </c>
      <c r="L475" t="s">
        <v>22</v>
      </c>
    </row>
    <row r="476" spans="1:12" x14ac:dyDescent="0.25">
      <c r="A476">
        <v>475</v>
      </c>
      <c r="B476">
        <v>43</v>
      </c>
      <c r="C476" t="s">
        <v>26</v>
      </c>
      <c r="D476" s="1">
        <v>45470</v>
      </c>
      <c r="E476" s="1">
        <v>45471</v>
      </c>
      <c r="F476" t="s">
        <v>13</v>
      </c>
      <c r="G476" t="s">
        <v>19</v>
      </c>
      <c r="H476">
        <v>1</v>
      </c>
      <c r="I476" t="s">
        <v>15</v>
      </c>
      <c r="J476">
        <v>4</v>
      </c>
      <c r="K476" t="s">
        <v>16</v>
      </c>
      <c r="L476" t="s">
        <v>22</v>
      </c>
    </row>
    <row r="477" spans="1:12" x14ac:dyDescent="0.25">
      <c r="A477">
        <v>476</v>
      </c>
      <c r="B477">
        <v>62</v>
      </c>
      <c r="C477" t="s">
        <v>26</v>
      </c>
      <c r="D477" s="1">
        <v>45338</v>
      </c>
      <c r="E477" s="1">
        <v>45347</v>
      </c>
      <c r="F477" t="s">
        <v>13</v>
      </c>
      <c r="G477" t="s">
        <v>19</v>
      </c>
      <c r="H477">
        <v>9</v>
      </c>
      <c r="I477" t="s">
        <v>15</v>
      </c>
      <c r="J477">
        <v>0</v>
      </c>
      <c r="K477" t="s">
        <v>21</v>
      </c>
      <c r="L477" t="s">
        <v>30</v>
      </c>
    </row>
    <row r="478" spans="1:12" x14ac:dyDescent="0.25">
      <c r="A478">
        <v>477</v>
      </c>
      <c r="B478">
        <v>71</v>
      </c>
      <c r="C478" t="s">
        <v>26</v>
      </c>
      <c r="D478" s="1">
        <v>45579</v>
      </c>
      <c r="E478" s="1">
        <v>45584</v>
      </c>
      <c r="F478" t="s">
        <v>13</v>
      </c>
      <c r="G478" t="s">
        <v>19</v>
      </c>
      <c r="H478">
        <v>5</v>
      </c>
      <c r="I478" t="s">
        <v>15</v>
      </c>
      <c r="J478">
        <v>2</v>
      </c>
      <c r="K478" t="s">
        <v>21</v>
      </c>
      <c r="L478" t="s">
        <v>30</v>
      </c>
    </row>
    <row r="479" spans="1:12" x14ac:dyDescent="0.25">
      <c r="A479">
        <v>478</v>
      </c>
      <c r="B479">
        <v>84</v>
      </c>
      <c r="C479" t="s">
        <v>12</v>
      </c>
      <c r="D479" s="1">
        <v>45650</v>
      </c>
      <c r="E479" s="1">
        <v>45653</v>
      </c>
      <c r="F479" t="s">
        <v>27</v>
      </c>
      <c r="G479" t="s">
        <v>19</v>
      </c>
      <c r="H479">
        <v>3</v>
      </c>
      <c r="I479" t="s">
        <v>15</v>
      </c>
      <c r="J479">
        <v>1</v>
      </c>
      <c r="K479" t="s">
        <v>24</v>
      </c>
      <c r="L479" t="s">
        <v>17</v>
      </c>
    </row>
    <row r="480" spans="1:12" x14ac:dyDescent="0.25">
      <c r="A480">
        <v>479</v>
      </c>
      <c r="B480">
        <v>57</v>
      </c>
      <c r="C480" t="s">
        <v>12</v>
      </c>
      <c r="D480" s="1">
        <v>45521</v>
      </c>
      <c r="E480" s="1">
        <v>45531</v>
      </c>
      <c r="F480" t="s">
        <v>28</v>
      </c>
      <c r="G480" t="s">
        <v>14</v>
      </c>
      <c r="H480">
        <v>10</v>
      </c>
      <c r="I480" t="s">
        <v>15</v>
      </c>
      <c r="J480">
        <v>0</v>
      </c>
      <c r="K480" t="s">
        <v>24</v>
      </c>
      <c r="L480" t="s">
        <v>30</v>
      </c>
    </row>
    <row r="481" spans="1:12" x14ac:dyDescent="0.25">
      <c r="A481">
        <v>480</v>
      </c>
      <c r="B481">
        <v>51</v>
      </c>
      <c r="C481" t="s">
        <v>12</v>
      </c>
      <c r="D481" s="1">
        <v>45418</v>
      </c>
      <c r="E481" s="1">
        <v>45425</v>
      </c>
      <c r="F481" t="s">
        <v>13</v>
      </c>
      <c r="G481" t="s">
        <v>23</v>
      </c>
      <c r="H481">
        <v>7</v>
      </c>
      <c r="I481" t="s">
        <v>15</v>
      </c>
      <c r="J481">
        <v>0</v>
      </c>
      <c r="K481" t="s">
        <v>21</v>
      </c>
      <c r="L481" t="s">
        <v>29</v>
      </c>
    </row>
    <row r="482" spans="1:12" x14ac:dyDescent="0.25">
      <c r="A482">
        <v>481</v>
      </c>
      <c r="B482">
        <v>75</v>
      </c>
      <c r="C482" t="s">
        <v>12</v>
      </c>
      <c r="D482" s="1">
        <v>45524</v>
      </c>
      <c r="E482" s="1">
        <v>45526</v>
      </c>
      <c r="F482" t="s">
        <v>27</v>
      </c>
      <c r="G482" t="s">
        <v>23</v>
      </c>
      <c r="H482">
        <v>2</v>
      </c>
      <c r="I482" t="s">
        <v>20</v>
      </c>
      <c r="J482">
        <v>3</v>
      </c>
      <c r="K482" t="s">
        <v>21</v>
      </c>
      <c r="L482" t="s">
        <v>25</v>
      </c>
    </row>
    <row r="483" spans="1:12" x14ac:dyDescent="0.25">
      <c r="A483">
        <v>482</v>
      </c>
      <c r="B483">
        <v>25</v>
      </c>
      <c r="C483" t="s">
        <v>12</v>
      </c>
      <c r="D483" s="1">
        <v>45581</v>
      </c>
      <c r="E483" s="1">
        <v>45583</v>
      </c>
      <c r="F483" t="s">
        <v>13</v>
      </c>
      <c r="G483" t="s">
        <v>14</v>
      </c>
      <c r="H483">
        <v>2</v>
      </c>
      <c r="I483" t="s">
        <v>15</v>
      </c>
      <c r="J483">
        <v>1</v>
      </c>
      <c r="K483" t="s">
        <v>21</v>
      </c>
      <c r="L483" t="s">
        <v>25</v>
      </c>
    </row>
    <row r="484" spans="1:12" x14ac:dyDescent="0.25">
      <c r="A484">
        <v>483</v>
      </c>
      <c r="B484">
        <v>31</v>
      </c>
      <c r="C484" t="s">
        <v>26</v>
      </c>
      <c r="D484" s="1">
        <v>45357</v>
      </c>
      <c r="E484" s="1">
        <v>45367</v>
      </c>
      <c r="F484" t="s">
        <v>13</v>
      </c>
      <c r="G484" t="s">
        <v>23</v>
      </c>
      <c r="H484">
        <v>10</v>
      </c>
      <c r="I484" t="s">
        <v>15</v>
      </c>
      <c r="J484">
        <v>1</v>
      </c>
      <c r="K484" t="s">
        <v>24</v>
      </c>
      <c r="L484" t="s">
        <v>30</v>
      </c>
    </row>
    <row r="485" spans="1:12" x14ac:dyDescent="0.25">
      <c r="A485">
        <v>484</v>
      </c>
      <c r="B485">
        <v>87</v>
      </c>
      <c r="C485" t="s">
        <v>12</v>
      </c>
      <c r="D485" s="1">
        <v>45293</v>
      </c>
      <c r="E485" s="1">
        <v>45295</v>
      </c>
      <c r="F485" t="s">
        <v>31</v>
      </c>
      <c r="G485" t="s">
        <v>14</v>
      </c>
      <c r="H485">
        <v>2</v>
      </c>
      <c r="I485" t="s">
        <v>15</v>
      </c>
      <c r="J485">
        <v>0</v>
      </c>
      <c r="K485" t="s">
        <v>21</v>
      </c>
      <c r="L485" t="s">
        <v>25</v>
      </c>
    </row>
    <row r="486" spans="1:12" x14ac:dyDescent="0.25">
      <c r="A486">
        <v>485</v>
      </c>
      <c r="B486">
        <v>29</v>
      </c>
      <c r="C486" t="s">
        <v>26</v>
      </c>
      <c r="D486" s="1">
        <v>45611</v>
      </c>
      <c r="E486" s="1">
        <v>45620</v>
      </c>
      <c r="F486" t="s">
        <v>18</v>
      </c>
      <c r="G486" t="s">
        <v>23</v>
      </c>
      <c r="H486">
        <v>9</v>
      </c>
      <c r="I486" t="s">
        <v>20</v>
      </c>
      <c r="J486">
        <v>1</v>
      </c>
      <c r="K486" t="s">
        <v>24</v>
      </c>
      <c r="L486" t="s">
        <v>25</v>
      </c>
    </row>
    <row r="487" spans="1:12" x14ac:dyDescent="0.25">
      <c r="A487">
        <v>486</v>
      </c>
      <c r="B487">
        <v>63</v>
      </c>
      <c r="C487" t="s">
        <v>26</v>
      </c>
      <c r="D487" s="1">
        <v>45354</v>
      </c>
      <c r="E487" s="1">
        <v>45366</v>
      </c>
      <c r="F487" t="s">
        <v>31</v>
      </c>
      <c r="G487" t="s">
        <v>19</v>
      </c>
      <c r="H487">
        <v>12</v>
      </c>
      <c r="I487" t="s">
        <v>15</v>
      </c>
      <c r="J487">
        <v>4</v>
      </c>
      <c r="K487" t="s">
        <v>16</v>
      </c>
      <c r="L487" t="s">
        <v>22</v>
      </c>
    </row>
    <row r="488" spans="1:12" x14ac:dyDescent="0.25">
      <c r="A488">
        <v>487</v>
      </c>
      <c r="B488">
        <v>50</v>
      </c>
      <c r="C488" t="s">
        <v>12</v>
      </c>
      <c r="D488" s="1">
        <v>45407</v>
      </c>
      <c r="E488" s="1">
        <v>45410</v>
      </c>
      <c r="F488" t="s">
        <v>18</v>
      </c>
      <c r="G488" t="s">
        <v>14</v>
      </c>
      <c r="H488">
        <v>3</v>
      </c>
      <c r="I488" t="s">
        <v>15</v>
      </c>
      <c r="J488">
        <v>0</v>
      </c>
      <c r="K488" t="s">
        <v>21</v>
      </c>
      <c r="L488" t="s">
        <v>17</v>
      </c>
    </row>
    <row r="489" spans="1:12" x14ac:dyDescent="0.25">
      <c r="A489">
        <v>488</v>
      </c>
      <c r="B489">
        <v>73</v>
      </c>
      <c r="C489" t="s">
        <v>26</v>
      </c>
      <c r="D489" s="1">
        <v>45457</v>
      </c>
      <c r="E489" s="1">
        <v>45464</v>
      </c>
      <c r="F489" t="s">
        <v>18</v>
      </c>
      <c r="G489" t="s">
        <v>23</v>
      </c>
      <c r="H489">
        <v>7</v>
      </c>
      <c r="I489" t="s">
        <v>15</v>
      </c>
      <c r="J489">
        <v>3</v>
      </c>
      <c r="K489" t="s">
        <v>21</v>
      </c>
      <c r="L489" t="s">
        <v>29</v>
      </c>
    </row>
    <row r="490" spans="1:12" x14ac:dyDescent="0.25">
      <c r="A490">
        <v>489</v>
      </c>
      <c r="B490">
        <v>34</v>
      </c>
      <c r="C490" t="s">
        <v>12</v>
      </c>
      <c r="D490" s="1">
        <v>45582</v>
      </c>
      <c r="E490" s="1">
        <v>45591</v>
      </c>
      <c r="F490" t="s">
        <v>28</v>
      </c>
      <c r="G490" t="s">
        <v>19</v>
      </c>
      <c r="H490">
        <v>9</v>
      </c>
      <c r="I490" t="s">
        <v>20</v>
      </c>
      <c r="J490">
        <v>3</v>
      </c>
      <c r="K490" t="s">
        <v>21</v>
      </c>
      <c r="L490" t="s">
        <v>17</v>
      </c>
    </row>
    <row r="491" spans="1:12" x14ac:dyDescent="0.25">
      <c r="A491">
        <v>490</v>
      </c>
      <c r="B491">
        <v>33</v>
      </c>
      <c r="C491" t="s">
        <v>26</v>
      </c>
      <c r="D491" s="1">
        <v>45469</v>
      </c>
      <c r="E491" s="1">
        <v>45474</v>
      </c>
      <c r="F491" t="s">
        <v>27</v>
      </c>
      <c r="G491" t="s">
        <v>19</v>
      </c>
      <c r="H491">
        <v>5</v>
      </c>
      <c r="I491" t="s">
        <v>15</v>
      </c>
      <c r="J491">
        <v>2</v>
      </c>
      <c r="K491" t="s">
        <v>24</v>
      </c>
      <c r="L491" t="s">
        <v>29</v>
      </c>
    </row>
    <row r="492" spans="1:12" x14ac:dyDescent="0.25">
      <c r="A492">
        <v>491</v>
      </c>
      <c r="B492">
        <v>42</v>
      </c>
      <c r="C492" t="s">
        <v>26</v>
      </c>
      <c r="D492" s="1">
        <v>45563</v>
      </c>
      <c r="E492" s="1">
        <v>45564</v>
      </c>
      <c r="F492" t="s">
        <v>31</v>
      </c>
      <c r="G492" t="s">
        <v>14</v>
      </c>
      <c r="H492">
        <v>1</v>
      </c>
      <c r="I492" t="s">
        <v>15</v>
      </c>
      <c r="J492">
        <v>0</v>
      </c>
      <c r="K492" t="s">
        <v>21</v>
      </c>
      <c r="L492" t="s">
        <v>30</v>
      </c>
    </row>
    <row r="493" spans="1:12" x14ac:dyDescent="0.25">
      <c r="A493">
        <v>492</v>
      </c>
      <c r="B493">
        <v>84</v>
      </c>
      <c r="C493" t="s">
        <v>26</v>
      </c>
      <c r="D493" s="1">
        <v>45599</v>
      </c>
      <c r="E493" s="1">
        <v>45613</v>
      </c>
      <c r="F493" t="s">
        <v>28</v>
      </c>
      <c r="G493" t="s">
        <v>14</v>
      </c>
      <c r="H493">
        <v>14</v>
      </c>
      <c r="I493" t="s">
        <v>15</v>
      </c>
      <c r="J493">
        <v>1</v>
      </c>
      <c r="K493" t="s">
        <v>21</v>
      </c>
      <c r="L493" t="s">
        <v>17</v>
      </c>
    </row>
    <row r="494" spans="1:12" x14ac:dyDescent="0.25">
      <c r="A494">
        <v>493</v>
      </c>
      <c r="B494">
        <v>41</v>
      </c>
      <c r="C494" t="s">
        <v>12</v>
      </c>
      <c r="D494" s="1">
        <v>45654</v>
      </c>
      <c r="E494" s="1">
        <v>45664</v>
      </c>
      <c r="F494" t="s">
        <v>13</v>
      </c>
      <c r="G494" t="s">
        <v>14</v>
      </c>
      <c r="H494">
        <v>10</v>
      </c>
      <c r="I494" t="s">
        <v>15</v>
      </c>
      <c r="J494">
        <v>4</v>
      </c>
      <c r="K494" t="s">
        <v>21</v>
      </c>
      <c r="L494" t="s">
        <v>25</v>
      </c>
    </row>
    <row r="495" spans="1:12" x14ac:dyDescent="0.25">
      <c r="A495">
        <v>494</v>
      </c>
      <c r="B495">
        <v>82</v>
      </c>
      <c r="C495" t="s">
        <v>26</v>
      </c>
      <c r="D495" s="1">
        <v>45350</v>
      </c>
      <c r="E495" s="1">
        <v>45352</v>
      </c>
      <c r="F495" t="s">
        <v>27</v>
      </c>
      <c r="G495" t="s">
        <v>14</v>
      </c>
      <c r="H495">
        <v>2</v>
      </c>
      <c r="I495" t="s">
        <v>20</v>
      </c>
      <c r="J495">
        <v>2</v>
      </c>
      <c r="K495" t="s">
        <v>21</v>
      </c>
      <c r="L495" t="s">
        <v>25</v>
      </c>
    </row>
    <row r="496" spans="1:12" x14ac:dyDescent="0.25">
      <c r="A496">
        <v>495</v>
      </c>
      <c r="B496">
        <v>46</v>
      </c>
      <c r="C496" t="s">
        <v>26</v>
      </c>
      <c r="D496" s="1">
        <v>45302</v>
      </c>
      <c r="E496" s="1">
        <v>45309</v>
      </c>
      <c r="F496" t="s">
        <v>13</v>
      </c>
      <c r="G496" t="s">
        <v>23</v>
      </c>
      <c r="H496">
        <v>7</v>
      </c>
      <c r="I496" t="s">
        <v>15</v>
      </c>
      <c r="J496">
        <v>3</v>
      </c>
      <c r="K496" t="s">
        <v>16</v>
      </c>
      <c r="L496" t="s">
        <v>30</v>
      </c>
    </row>
    <row r="497" spans="1:12" x14ac:dyDescent="0.25">
      <c r="A497">
        <v>496</v>
      </c>
      <c r="B497">
        <v>29</v>
      </c>
      <c r="C497" t="s">
        <v>26</v>
      </c>
      <c r="D497" s="1">
        <v>45333</v>
      </c>
      <c r="E497" s="1">
        <v>45335</v>
      </c>
      <c r="F497" t="s">
        <v>13</v>
      </c>
      <c r="G497" t="s">
        <v>23</v>
      </c>
      <c r="H497">
        <v>2</v>
      </c>
      <c r="I497" t="s">
        <v>15</v>
      </c>
      <c r="J497">
        <v>0</v>
      </c>
      <c r="K497" t="s">
        <v>16</v>
      </c>
      <c r="L497" t="s">
        <v>22</v>
      </c>
    </row>
    <row r="498" spans="1:12" x14ac:dyDescent="0.25">
      <c r="A498">
        <v>497</v>
      </c>
      <c r="B498">
        <v>70</v>
      </c>
      <c r="C498" t="s">
        <v>26</v>
      </c>
      <c r="D498" s="1">
        <v>45302</v>
      </c>
      <c r="E498" s="1">
        <v>45314</v>
      </c>
      <c r="F498" t="s">
        <v>27</v>
      </c>
      <c r="G498" t="s">
        <v>23</v>
      </c>
      <c r="H498">
        <v>12</v>
      </c>
      <c r="I498" t="s">
        <v>15</v>
      </c>
      <c r="J498">
        <v>0</v>
      </c>
      <c r="K498" t="s">
        <v>16</v>
      </c>
      <c r="L498" t="s">
        <v>25</v>
      </c>
    </row>
    <row r="499" spans="1:12" x14ac:dyDescent="0.25">
      <c r="A499">
        <v>498</v>
      </c>
      <c r="B499">
        <v>56</v>
      </c>
      <c r="C499" t="s">
        <v>26</v>
      </c>
      <c r="D499" s="1">
        <v>45380</v>
      </c>
      <c r="E499" s="1">
        <v>45383</v>
      </c>
      <c r="F499" t="s">
        <v>27</v>
      </c>
      <c r="G499" t="s">
        <v>23</v>
      </c>
      <c r="H499">
        <v>3</v>
      </c>
      <c r="I499" t="s">
        <v>15</v>
      </c>
      <c r="J499">
        <v>4</v>
      </c>
      <c r="K499" t="s">
        <v>24</v>
      </c>
      <c r="L499" t="s">
        <v>22</v>
      </c>
    </row>
    <row r="500" spans="1:12" x14ac:dyDescent="0.25">
      <c r="A500">
        <v>499</v>
      </c>
      <c r="B500">
        <v>29</v>
      </c>
      <c r="C500" t="s">
        <v>12</v>
      </c>
      <c r="D500" s="1">
        <v>45352</v>
      </c>
      <c r="E500" s="1">
        <v>45363</v>
      </c>
      <c r="F500" t="s">
        <v>31</v>
      </c>
      <c r="G500" t="s">
        <v>14</v>
      </c>
      <c r="H500">
        <v>11</v>
      </c>
      <c r="I500" t="s">
        <v>20</v>
      </c>
      <c r="J500">
        <v>2</v>
      </c>
      <c r="K500" t="s">
        <v>16</v>
      </c>
      <c r="L500" t="s">
        <v>22</v>
      </c>
    </row>
    <row r="501" spans="1:12" x14ac:dyDescent="0.25">
      <c r="A501">
        <v>500</v>
      </c>
      <c r="B501">
        <v>46</v>
      </c>
      <c r="C501" t="s">
        <v>26</v>
      </c>
      <c r="D501" s="1">
        <v>45394</v>
      </c>
      <c r="E501" s="1">
        <v>45399</v>
      </c>
      <c r="F501" t="s">
        <v>28</v>
      </c>
      <c r="G501" t="s">
        <v>23</v>
      </c>
      <c r="H501">
        <v>5</v>
      </c>
      <c r="I501" t="s">
        <v>20</v>
      </c>
      <c r="J501">
        <v>0</v>
      </c>
      <c r="K501" t="s">
        <v>21</v>
      </c>
      <c r="L501" t="s">
        <v>29</v>
      </c>
    </row>
    <row r="502" spans="1:12" x14ac:dyDescent="0.25">
      <c r="A502">
        <v>501</v>
      </c>
      <c r="B502">
        <v>86</v>
      </c>
      <c r="C502" t="s">
        <v>12</v>
      </c>
      <c r="D502" s="1">
        <v>45446</v>
      </c>
      <c r="E502" s="1">
        <v>45458</v>
      </c>
      <c r="F502" t="s">
        <v>18</v>
      </c>
      <c r="G502" t="s">
        <v>23</v>
      </c>
      <c r="H502">
        <v>12</v>
      </c>
      <c r="I502" t="s">
        <v>15</v>
      </c>
      <c r="J502">
        <v>4</v>
      </c>
      <c r="K502" t="s">
        <v>21</v>
      </c>
      <c r="L502" t="s">
        <v>25</v>
      </c>
    </row>
    <row r="503" spans="1:12" x14ac:dyDescent="0.25">
      <c r="A503">
        <v>502</v>
      </c>
      <c r="B503">
        <v>74</v>
      </c>
      <c r="C503" t="s">
        <v>12</v>
      </c>
      <c r="D503" s="1">
        <v>45373</v>
      </c>
      <c r="E503" s="1">
        <v>45386</v>
      </c>
      <c r="F503" t="s">
        <v>27</v>
      </c>
      <c r="G503" t="s">
        <v>19</v>
      </c>
      <c r="H503">
        <v>13</v>
      </c>
      <c r="I503" t="s">
        <v>15</v>
      </c>
      <c r="J503">
        <v>1</v>
      </c>
      <c r="K503" t="s">
        <v>21</v>
      </c>
      <c r="L503" t="s">
        <v>17</v>
      </c>
    </row>
    <row r="504" spans="1:12" x14ac:dyDescent="0.25">
      <c r="A504">
        <v>503</v>
      </c>
      <c r="B504">
        <v>50</v>
      </c>
      <c r="C504" t="s">
        <v>26</v>
      </c>
      <c r="D504" s="1">
        <v>45349</v>
      </c>
      <c r="E504" s="1">
        <v>45357</v>
      </c>
      <c r="F504" t="s">
        <v>28</v>
      </c>
      <c r="G504" t="s">
        <v>19</v>
      </c>
      <c r="H504">
        <v>8</v>
      </c>
      <c r="I504" t="s">
        <v>15</v>
      </c>
      <c r="J504">
        <v>1</v>
      </c>
      <c r="K504" t="s">
        <v>21</v>
      </c>
      <c r="L504" t="s">
        <v>22</v>
      </c>
    </row>
    <row r="505" spans="1:12" x14ac:dyDescent="0.25">
      <c r="A505">
        <v>504</v>
      </c>
      <c r="B505">
        <v>37</v>
      </c>
      <c r="C505" t="s">
        <v>26</v>
      </c>
      <c r="D505" s="1">
        <v>45533</v>
      </c>
      <c r="E505" s="1">
        <v>45544</v>
      </c>
      <c r="F505" t="s">
        <v>18</v>
      </c>
      <c r="G505" t="s">
        <v>14</v>
      </c>
      <c r="H505">
        <v>11</v>
      </c>
      <c r="I505" t="s">
        <v>20</v>
      </c>
      <c r="J505">
        <v>2</v>
      </c>
      <c r="K505" t="s">
        <v>21</v>
      </c>
      <c r="L505" t="s">
        <v>30</v>
      </c>
    </row>
    <row r="506" spans="1:12" x14ac:dyDescent="0.25">
      <c r="A506">
        <v>505</v>
      </c>
      <c r="B506">
        <v>73</v>
      </c>
      <c r="C506" t="s">
        <v>26</v>
      </c>
      <c r="D506" s="1">
        <v>45442</v>
      </c>
      <c r="E506" s="1">
        <v>45449</v>
      </c>
      <c r="F506" t="s">
        <v>27</v>
      </c>
      <c r="G506" t="s">
        <v>14</v>
      </c>
      <c r="H506">
        <v>7</v>
      </c>
      <c r="I506" t="s">
        <v>20</v>
      </c>
      <c r="J506">
        <v>3</v>
      </c>
      <c r="K506" t="s">
        <v>16</v>
      </c>
      <c r="L506" t="s">
        <v>22</v>
      </c>
    </row>
    <row r="507" spans="1:12" x14ac:dyDescent="0.25">
      <c r="A507">
        <v>506</v>
      </c>
      <c r="B507">
        <v>45</v>
      </c>
      <c r="C507" t="s">
        <v>26</v>
      </c>
      <c r="D507" s="1">
        <v>45571</v>
      </c>
      <c r="E507" s="1">
        <v>45576</v>
      </c>
      <c r="F507" t="s">
        <v>13</v>
      </c>
      <c r="G507" t="s">
        <v>19</v>
      </c>
      <c r="H507">
        <v>5</v>
      </c>
      <c r="I507" t="s">
        <v>20</v>
      </c>
      <c r="J507">
        <v>2</v>
      </c>
      <c r="K507" t="s">
        <v>21</v>
      </c>
      <c r="L507" t="s">
        <v>17</v>
      </c>
    </row>
    <row r="508" spans="1:12" x14ac:dyDescent="0.25">
      <c r="A508">
        <v>507</v>
      </c>
      <c r="B508">
        <v>72</v>
      </c>
      <c r="C508" t="s">
        <v>12</v>
      </c>
      <c r="D508" s="1">
        <v>45537</v>
      </c>
      <c r="E508" s="1">
        <v>45538</v>
      </c>
      <c r="F508" t="s">
        <v>27</v>
      </c>
      <c r="G508" t="s">
        <v>19</v>
      </c>
      <c r="H508">
        <v>1</v>
      </c>
      <c r="I508" t="s">
        <v>15</v>
      </c>
      <c r="J508">
        <v>1</v>
      </c>
      <c r="K508" t="s">
        <v>21</v>
      </c>
      <c r="L508" t="s">
        <v>17</v>
      </c>
    </row>
    <row r="509" spans="1:12" x14ac:dyDescent="0.25">
      <c r="A509">
        <v>508</v>
      </c>
      <c r="B509">
        <v>21</v>
      </c>
      <c r="C509" t="s">
        <v>26</v>
      </c>
      <c r="D509" s="1">
        <v>45362</v>
      </c>
      <c r="E509" s="1">
        <v>45376</v>
      </c>
      <c r="F509" t="s">
        <v>18</v>
      </c>
      <c r="G509" t="s">
        <v>23</v>
      </c>
      <c r="H509">
        <v>14</v>
      </c>
      <c r="I509" t="s">
        <v>15</v>
      </c>
      <c r="J509">
        <v>4</v>
      </c>
      <c r="K509" t="s">
        <v>16</v>
      </c>
      <c r="L509" t="s">
        <v>22</v>
      </c>
    </row>
    <row r="510" spans="1:12" x14ac:dyDescent="0.25">
      <c r="A510">
        <v>509</v>
      </c>
      <c r="B510">
        <v>32</v>
      </c>
      <c r="C510" t="s">
        <v>12</v>
      </c>
      <c r="D510" s="1">
        <v>45425</v>
      </c>
      <c r="E510" s="1">
        <v>45437</v>
      </c>
      <c r="F510" t="s">
        <v>13</v>
      </c>
      <c r="G510" t="s">
        <v>14</v>
      </c>
      <c r="H510">
        <v>12</v>
      </c>
      <c r="I510" t="s">
        <v>15</v>
      </c>
      <c r="J510">
        <v>0</v>
      </c>
      <c r="K510" t="s">
        <v>16</v>
      </c>
      <c r="L510" t="s">
        <v>25</v>
      </c>
    </row>
    <row r="511" spans="1:12" x14ac:dyDescent="0.25">
      <c r="A511">
        <v>510</v>
      </c>
      <c r="B511">
        <v>33</v>
      </c>
      <c r="C511" t="s">
        <v>12</v>
      </c>
      <c r="D511" s="1">
        <v>45531</v>
      </c>
      <c r="E511" s="1">
        <v>45536</v>
      </c>
      <c r="F511" t="s">
        <v>28</v>
      </c>
      <c r="G511" t="s">
        <v>14</v>
      </c>
      <c r="H511">
        <v>5</v>
      </c>
      <c r="I511" t="s">
        <v>15</v>
      </c>
      <c r="J511">
        <v>2</v>
      </c>
      <c r="K511" t="s">
        <v>16</v>
      </c>
      <c r="L511" t="s">
        <v>25</v>
      </c>
    </row>
    <row r="512" spans="1:12" x14ac:dyDescent="0.25">
      <c r="A512">
        <v>511</v>
      </c>
      <c r="B512">
        <v>67</v>
      </c>
      <c r="C512" t="s">
        <v>12</v>
      </c>
      <c r="D512" s="1">
        <v>45532</v>
      </c>
      <c r="E512" s="1">
        <v>45538</v>
      </c>
      <c r="F512" t="s">
        <v>27</v>
      </c>
      <c r="G512" t="s">
        <v>19</v>
      </c>
      <c r="H512">
        <v>6</v>
      </c>
      <c r="I512" t="s">
        <v>20</v>
      </c>
      <c r="J512">
        <v>3</v>
      </c>
      <c r="K512" t="s">
        <v>24</v>
      </c>
      <c r="L512" t="s">
        <v>29</v>
      </c>
    </row>
    <row r="513" spans="1:12" x14ac:dyDescent="0.25">
      <c r="A513">
        <v>512</v>
      </c>
      <c r="B513">
        <v>53</v>
      </c>
      <c r="C513" t="s">
        <v>12</v>
      </c>
      <c r="D513" s="1">
        <v>45566</v>
      </c>
      <c r="E513" s="1">
        <v>45567</v>
      </c>
      <c r="F513" t="s">
        <v>31</v>
      </c>
      <c r="G513" t="s">
        <v>14</v>
      </c>
      <c r="H513">
        <v>1</v>
      </c>
      <c r="I513" t="s">
        <v>20</v>
      </c>
      <c r="J513">
        <v>1</v>
      </c>
      <c r="K513" t="s">
        <v>16</v>
      </c>
      <c r="L513" t="s">
        <v>22</v>
      </c>
    </row>
    <row r="514" spans="1:12" x14ac:dyDescent="0.25">
      <c r="A514">
        <v>513</v>
      </c>
      <c r="B514">
        <v>22</v>
      </c>
      <c r="C514" t="s">
        <v>12</v>
      </c>
      <c r="D514" s="1">
        <v>45408</v>
      </c>
      <c r="E514" s="1">
        <v>45422</v>
      </c>
      <c r="F514" t="s">
        <v>28</v>
      </c>
      <c r="G514" t="s">
        <v>19</v>
      </c>
      <c r="H514">
        <v>14</v>
      </c>
      <c r="I514" t="s">
        <v>15</v>
      </c>
      <c r="J514">
        <v>1</v>
      </c>
      <c r="K514" t="s">
        <v>16</v>
      </c>
      <c r="L514" t="s">
        <v>17</v>
      </c>
    </row>
    <row r="515" spans="1:12" x14ac:dyDescent="0.25">
      <c r="A515">
        <v>514</v>
      </c>
      <c r="B515">
        <v>35</v>
      </c>
      <c r="C515" t="s">
        <v>26</v>
      </c>
      <c r="D515" s="1">
        <v>45499</v>
      </c>
      <c r="E515" s="1">
        <v>45511</v>
      </c>
      <c r="F515" t="s">
        <v>27</v>
      </c>
      <c r="G515" t="s">
        <v>23</v>
      </c>
      <c r="H515">
        <v>12</v>
      </c>
      <c r="I515" t="s">
        <v>15</v>
      </c>
      <c r="J515">
        <v>3</v>
      </c>
      <c r="K515" t="s">
        <v>16</v>
      </c>
      <c r="L515" t="s">
        <v>25</v>
      </c>
    </row>
    <row r="516" spans="1:12" x14ac:dyDescent="0.25">
      <c r="A516">
        <v>515</v>
      </c>
      <c r="B516">
        <v>83</v>
      </c>
      <c r="C516" t="s">
        <v>12</v>
      </c>
      <c r="D516" s="1">
        <v>45334</v>
      </c>
      <c r="E516" s="1">
        <v>45339</v>
      </c>
      <c r="F516" t="s">
        <v>18</v>
      </c>
      <c r="G516" t="s">
        <v>14</v>
      </c>
      <c r="H516">
        <v>5</v>
      </c>
      <c r="I516" t="s">
        <v>15</v>
      </c>
      <c r="J516">
        <v>1</v>
      </c>
      <c r="K516" t="s">
        <v>24</v>
      </c>
      <c r="L516" t="s">
        <v>30</v>
      </c>
    </row>
    <row r="517" spans="1:12" x14ac:dyDescent="0.25">
      <c r="A517">
        <v>516</v>
      </c>
      <c r="B517">
        <v>80</v>
      </c>
      <c r="C517" t="s">
        <v>12</v>
      </c>
      <c r="D517" s="1">
        <v>45608</v>
      </c>
      <c r="E517" s="1">
        <v>45610</v>
      </c>
      <c r="F517" t="s">
        <v>31</v>
      </c>
      <c r="G517" t="s">
        <v>19</v>
      </c>
      <c r="H517">
        <v>2</v>
      </c>
      <c r="I517" t="s">
        <v>15</v>
      </c>
      <c r="J517">
        <v>1</v>
      </c>
      <c r="K517" t="s">
        <v>24</v>
      </c>
      <c r="L517" t="s">
        <v>17</v>
      </c>
    </row>
    <row r="518" spans="1:12" x14ac:dyDescent="0.25">
      <c r="A518">
        <v>517</v>
      </c>
      <c r="B518">
        <v>21</v>
      </c>
      <c r="C518" t="s">
        <v>26</v>
      </c>
      <c r="D518" s="1">
        <v>45638</v>
      </c>
      <c r="E518" s="1">
        <v>45639</v>
      </c>
      <c r="F518" t="s">
        <v>31</v>
      </c>
      <c r="G518" t="s">
        <v>14</v>
      </c>
      <c r="H518">
        <v>1</v>
      </c>
      <c r="I518" t="s">
        <v>15</v>
      </c>
      <c r="J518">
        <v>4</v>
      </c>
      <c r="K518" t="s">
        <v>16</v>
      </c>
      <c r="L518" t="s">
        <v>22</v>
      </c>
    </row>
    <row r="519" spans="1:12" x14ac:dyDescent="0.25">
      <c r="A519">
        <v>518</v>
      </c>
      <c r="B519">
        <v>62</v>
      </c>
      <c r="C519" t="s">
        <v>12</v>
      </c>
      <c r="D519" s="1">
        <v>45392</v>
      </c>
      <c r="E519" s="1">
        <v>45401</v>
      </c>
      <c r="F519" t="s">
        <v>18</v>
      </c>
      <c r="G519" t="s">
        <v>19</v>
      </c>
      <c r="H519">
        <v>9</v>
      </c>
      <c r="I519" t="s">
        <v>15</v>
      </c>
      <c r="J519">
        <v>4</v>
      </c>
      <c r="K519" t="s">
        <v>24</v>
      </c>
      <c r="L519" t="s">
        <v>29</v>
      </c>
    </row>
    <row r="520" spans="1:12" x14ac:dyDescent="0.25">
      <c r="A520">
        <v>519</v>
      </c>
      <c r="B520">
        <v>85</v>
      </c>
      <c r="C520" t="s">
        <v>26</v>
      </c>
      <c r="D520" s="1">
        <v>45393</v>
      </c>
      <c r="E520" s="1">
        <v>45397</v>
      </c>
      <c r="F520" t="s">
        <v>18</v>
      </c>
      <c r="G520" t="s">
        <v>23</v>
      </c>
      <c r="H520">
        <v>4</v>
      </c>
      <c r="I520" t="s">
        <v>15</v>
      </c>
      <c r="J520">
        <v>2</v>
      </c>
      <c r="K520" t="s">
        <v>16</v>
      </c>
      <c r="L520" t="s">
        <v>25</v>
      </c>
    </row>
    <row r="521" spans="1:12" x14ac:dyDescent="0.25">
      <c r="A521">
        <v>520</v>
      </c>
      <c r="B521">
        <v>87</v>
      </c>
      <c r="C521" t="s">
        <v>12</v>
      </c>
      <c r="D521" s="1">
        <v>45546</v>
      </c>
      <c r="E521" s="1">
        <v>45548</v>
      </c>
      <c r="F521" t="s">
        <v>31</v>
      </c>
      <c r="G521" t="s">
        <v>23</v>
      </c>
      <c r="H521">
        <v>2</v>
      </c>
      <c r="I521" t="s">
        <v>15</v>
      </c>
      <c r="J521">
        <v>0</v>
      </c>
      <c r="K521" t="s">
        <v>21</v>
      </c>
      <c r="L521" t="s">
        <v>17</v>
      </c>
    </row>
    <row r="522" spans="1:12" x14ac:dyDescent="0.25">
      <c r="A522">
        <v>521</v>
      </c>
      <c r="B522">
        <v>48</v>
      </c>
      <c r="C522" t="s">
        <v>12</v>
      </c>
      <c r="D522" s="1">
        <v>45496</v>
      </c>
      <c r="E522" s="1">
        <v>45502</v>
      </c>
      <c r="F522" t="s">
        <v>28</v>
      </c>
      <c r="G522" t="s">
        <v>23</v>
      </c>
      <c r="H522">
        <v>6</v>
      </c>
      <c r="I522" t="s">
        <v>20</v>
      </c>
      <c r="J522">
        <v>3</v>
      </c>
      <c r="K522" t="s">
        <v>16</v>
      </c>
      <c r="L522" t="s">
        <v>22</v>
      </c>
    </row>
    <row r="523" spans="1:12" x14ac:dyDescent="0.25">
      <c r="A523">
        <v>522</v>
      </c>
      <c r="B523">
        <v>42</v>
      </c>
      <c r="C523" t="s">
        <v>12</v>
      </c>
      <c r="D523" s="1">
        <v>45571</v>
      </c>
      <c r="E523" s="1">
        <v>45583</v>
      </c>
      <c r="F523" t="s">
        <v>18</v>
      </c>
      <c r="G523" t="s">
        <v>19</v>
      </c>
      <c r="H523">
        <v>12</v>
      </c>
      <c r="I523" t="s">
        <v>15</v>
      </c>
      <c r="J523">
        <v>1</v>
      </c>
      <c r="K523" t="s">
        <v>16</v>
      </c>
      <c r="L523" t="s">
        <v>25</v>
      </c>
    </row>
    <row r="524" spans="1:12" x14ac:dyDescent="0.25">
      <c r="A524">
        <v>523</v>
      </c>
      <c r="B524">
        <v>58</v>
      </c>
      <c r="C524" t="s">
        <v>12</v>
      </c>
      <c r="D524" s="1">
        <v>45434</v>
      </c>
      <c r="E524" s="1">
        <v>45438</v>
      </c>
      <c r="F524" t="s">
        <v>13</v>
      </c>
      <c r="G524" t="s">
        <v>23</v>
      </c>
      <c r="H524">
        <v>4</v>
      </c>
      <c r="I524" t="s">
        <v>20</v>
      </c>
      <c r="J524">
        <v>1</v>
      </c>
      <c r="K524" t="s">
        <v>21</v>
      </c>
      <c r="L524" t="s">
        <v>29</v>
      </c>
    </row>
    <row r="525" spans="1:12" x14ac:dyDescent="0.25">
      <c r="A525">
        <v>524</v>
      </c>
      <c r="B525">
        <v>28</v>
      </c>
      <c r="C525" t="s">
        <v>12</v>
      </c>
      <c r="D525" s="1">
        <v>45327</v>
      </c>
      <c r="E525" s="1">
        <v>45332</v>
      </c>
      <c r="F525" t="s">
        <v>18</v>
      </c>
      <c r="G525" t="s">
        <v>14</v>
      </c>
      <c r="H525">
        <v>5</v>
      </c>
      <c r="I525" t="s">
        <v>15</v>
      </c>
      <c r="J525">
        <v>3</v>
      </c>
      <c r="K525" t="s">
        <v>24</v>
      </c>
      <c r="L525" t="s">
        <v>25</v>
      </c>
    </row>
    <row r="526" spans="1:12" x14ac:dyDescent="0.25">
      <c r="A526">
        <v>525</v>
      </c>
      <c r="B526">
        <v>72</v>
      </c>
      <c r="C526" t="s">
        <v>26</v>
      </c>
      <c r="D526" s="1">
        <v>45324</v>
      </c>
      <c r="E526" s="1">
        <v>45338</v>
      </c>
      <c r="F526" t="s">
        <v>27</v>
      </c>
      <c r="G526" t="s">
        <v>14</v>
      </c>
      <c r="H526">
        <v>14</v>
      </c>
      <c r="I526" t="s">
        <v>15</v>
      </c>
      <c r="J526">
        <v>2</v>
      </c>
      <c r="K526" t="s">
        <v>16</v>
      </c>
      <c r="L526" t="s">
        <v>17</v>
      </c>
    </row>
    <row r="527" spans="1:12" x14ac:dyDescent="0.25">
      <c r="A527">
        <v>526</v>
      </c>
      <c r="B527">
        <v>30</v>
      </c>
      <c r="C527" t="s">
        <v>12</v>
      </c>
      <c r="D527" s="1">
        <v>45360</v>
      </c>
      <c r="E527" s="1">
        <v>45364</v>
      </c>
      <c r="F527" t="s">
        <v>31</v>
      </c>
      <c r="G527" t="s">
        <v>23</v>
      </c>
      <c r="H527">
        <v>4</v>
      </c>
      <c r="I527" t="s">
        <v>15</v>
      </c>
      <c r="J527">
        <v>1</v>
      </c>
      <c r="K527" t="s">
        <v>21</v>
      </c>
      <c r="L527" t="s">
        <v>29</v>
      </c>
    </row>
    <row r="528" spans="1:12" x14ac:dyDescent="0.25">
      <c r="A528">
        <v>527</v>
      </c>
      <c r="B528">
        <v>52</v>
      </c>
      <c r="C528" t="s">
        <v>26</v>
      </c>
      <c r="D528" s="1">
        <v>45302</v>
      </c>
      <c r="E528" s="1">
        <v>45315</v>
      </c>
      <c r="F528" t="s">
        <v>13</v>
      </c>
      <c r="G528" t="s">
        <v>14</v>
      </c>
      <c r="H528">
        <v>13</v>
      </c>
      <c r="I528" t="s">
        <v>20</v>
      </c>
      <c r="J528">
        <v>0</v>
      </c>
      <c r="K528" t="s">
        <v>24</v>
      </c>
      <c r="L528" t="s">
        <v>29</v>
      </c>
    </row>
    <row r="529" spans="1:12" x14ac:dyDescent="0.25">
      <c r="A529">
        <v>528</v>
      </c>
      <c r="B529">
        <v>66</v>
      </c>
      <c r="C529" t="s">
        <v>26</v>
      </c>
      <c r="D529" s="1">
        <v>45651</v>
      </c>
      <c r="E529" s="1">
        <v>45663</v>
      </c>
      <c r="F529" t="s">
        <v>31</v>
      </c>
      <c r="G529" t="s">
        <v>14</v>
      </c>
      <c r="H529">
        <v>12</v>
      </c>
      <c r="I529" t="s">
        <v>15</v>
      </c>
      <c r="J529">
        <v>3</v>
      </c>
      <c r="K529" t="s">
        <v>16</v>
      </c>
      <c r="L529" t="s">
        <v>30</v>
      </c>
    </row>
    <row r="530" spans="1:12" x14ac:dyDescent="0.25">
      <c r="A530">
        <v>529</v>
      </c>
      <c r="B530">
        <v>67</v>
      </c>
      <c r="C530" t="s">
        <v>26</v>
      </c>
      <c r="D530" s="1">
        <v>45537</v>
      </c>
      <c r="E530" s="1">
        <v>45550</v>
      </c>
      <c r="F530" t="s">
        <v>13</v>
      </c>
      <c r="G530" t="s">
        <v>23</v>
      </c>
      <c r="H530">
        <v>13</v>
      </c>
      <c r="I530" t="s">
        <v>15</v>
      </c>
      <c r="J530">
        <v>3</v>
      </c>
      <c r="K530" t="s">
        <v>24</v>
      </c>
      <c r="L530" t="s">
        <v>22</v>
      </c>
    </row>
    <row r="531" spans="1:12" x14ac:dyDescent="0.25">
      <c r="A531">
        <v>530</v>
      </c>
      <c r="B531">
        <v>40</v>
      </c>
      <c r="C531" t="s">
        <v>26</v>
      </c>
      <c r="D531" s="1">
        <v>45425</v>
      </c>
      <c r="E531" s="1">
        <v>45428</v>
      </c>
      <c r="F531" t="s">
        <v>18</v>
      </c>
      <c r="G531" t="s">
        <v>23</v>
      </c>
      <c r="H531">
        <v>3</v>
      </c>
      <c r="I531" t="s">
        <v>15</v>
      </c>
      <c r="J531">
        <v>1</v>
      </c>
      <c r="K531" t="s">
        <v>16</v>
      </c>
      <c r="L531" t="s">
        <v>25</v>
      </c>
    </row>
    <row r="532" spans="1:12" x14ac:dyDescent="0.25">
      <c r="A532">
        <v>531</v>
      </c>
      <c r="B532">
        <v>28</v>
      </c>
      <c r="C532" t="s">
        <v>26</v>
      </c>
      <c r="D532" s="1">
        <v>45434</v>
      </c>
      <c r="E532" s="1">
        <v>45442</v>
      </c>
      <c r="F532" t="s">
        <v>28</v>
      </c>
      <c r="G532" t="s">
        <v>14</v>
      </c>
      <c r="H532">
        <v>8</v>
      </c>
      <c r="I532" t="s">
        <v>15</v>
      </c>
      <c r="J532">
        <v>1</v>
      </c>
      <c r="K532" t="s">
        <v>21</v>
      </c>
      <c r="L532" t="s">
        <v>30</v>
      </c>
    </row>
    <row r="533" spans="1:12" x14ac:dyDescent="0.25">
      <c r="A533">
        <v>532</v>
      </c>
      <c r="B533">
        <v>89</v>
      </c>
      <c r="C533" t="s">
        <v>12</v>
      </c>
      <c r="D533" s="1">
        <v>45652</v>
      </c>
      <c r="E533" s="1">
        <v>45666</v>
      </c>
      <c r="F533" t="s">
        <v>27</v>
      </c>
      <c r="G533" t="s">
        <v>23</v>
      </c>
      <c r="H533">
        <v>14</v>
      </c>
      <c r="I533" t="s">
        <v>15</v>
      </c>
      <c r="J533">
        <v>2</v>
      </c>
      <c r="K533" t="s">
        <v>21</v>
      </c>
      <c r="L533" t="s">
        <v>25</v>
      </c>
    </row>
    <row r="534" spans="1:12" x14ac:dyDescent="0.25">
      <c r="A534">
        <v>533</v>
      </c>
      <c r="B534">
        <v>26</v>
      </c>
      <c r="C534" t="s">
        <v>12</v>
      </c>
      <c r="D534" s="1">
        <v>45377</v>
      </c>
      <c r="E534" s="1">
        <v>45388</v>
      </c>
      <c r="F534" t="s">
        <v>27</v>
      </c>
      <c r="G534" t="s">
        <v>14</v>
      </c>
      <c r="H534">
        <v>11</v>
      </c>
      <c r="I534" t="s">
        <v>20</v>
      </c>
      <c r="J534">
        <v>3</v>
      </c>
      <c r="K534" t="s">
        <v>16</v>
      </c>
      <c r="L534" t="s">
        <v>22</v>
      </c>
    </row>
    <row r="535" spans="1:12" x14ac:dyDescent="0.25">
      <c r="A535">
        <v>534</v>
      </c>
      <c r="B535">
        <v>34</v>
      </c>
      <c r="C535" t="s">
        <v>12</v>
      </c>
      <c r="D535" s="1">
        <v>45328</v>
      </c>
      <c r="E535" s="1">
        <v>45329</v>
      </c>
      <c r="F535" t="s">
        <v>28</v>
      </c>
      <c r="G535" t="s">
        <v>19</v>
      </c>
      <c r="H535">
        <v>1</v>
      </c>
      <c r="I535" t="s">
        <v>20</v>
      </c>
      <c r="J535">
        <v>2</v>
      </c>
      <c r="K535" t="s">
        <v>24</v>
      </c>
      <c r="L535" t="s">
        <v>17</v>
      </c>
    </row>
    <row r="536" spans="1:12" x14ac:dyDescent="0.25">
      <c r="A536">
        <v>535</v>
      </c>
      <c r="B536">
        <v>81</v>
      </c>
      <c r="C536" t="s">
        <v>12</v>
      </c>
      <c r="D536" s="1">
        <v>45593</v>
      </c>
      <c r="E536" s="1">
        <v>45603</v>
      </c>
      <c r="F536" t="s">
        <v>13</v>
      </c>
      <c r="G536" t="s">
        <v>14</v>
      </c>
      <c r="H536">
        <v>10</v>
      </c>
      <c r="I536" t="s">
        <v>15</v>
      </c>
      <c r="J536">
        <v>0</v>
      </c>
      <c r="K536" t="s">
        <v>24</v>
      </c>
      <c r="L536" t="s">
        <v>30</v>
      </c>
    </row>
    <row r="537" spans="1:12" x14ac:dyDescent="0.25">
      <c r="A537">
        <v>536</v>
      </c>
      <c r="B537">
        <v>84</v>
      </c>
      <c r="C537" t="s">
        <v>12</v>
      </c>
      <c r="D537" s="1">
        <v>45418</v>
      </c>
      <c r="E537" s="1">
        <v>45422</v>
      </c>
      <c r="F537" t="s">
        <v>18</v>
      </c>
      <c r="G537" t="s">
        <v>14</v>
      </c>
      <c r="H537">
        <v>4</v>
      </c>
      <c r="I537" t="s">
        <v>15</v>
      </c>
      <c r="J537">
        <v>0</v>
      </c>
      <c r="K537" t="s">
        <v>16</v>
      </c>
      <c r="L537" t="s">
        <v>30</v>
      </c>
    </row>
    <row r="538" spans="1:12" x14ac:dyDescent="0.25">
      <c r="A538">
        <v>537</v>
      </c>
      <c r="B538">
        <v>26</v>
      </c>
      <c r="C538" t="s">
        <v>26</v>
      </c>
      <c r="D538" s="1">
        <v>45308</v>
      </c>
      <c r="E538" s="1">
        <v>45313</v>
      </c>
      <c r="F538" t="s">
        <v>28</v>
      </c>
      <c r="G538" t="s">
        <v>19</v>
      </c>
      <c r="H538">
        <v>5</v>
      </c>
      <c r="I538" t="s">
        <v>15</v>
      </c>
      <c r="J538">
        <v>1</v>
      </c>
      <c r="K538" t="s">
        <v>16</v>
      </c>
      <c r="L538" t="s">
        <v>25</v>
      </c>
    </row>
    <row r="539" spans="1:12" x14ac:dyDescent="0.25">
      <c r="A539">
        <v>538</v>
      </c>
      <c r="B539">
        <v>75</v>
      </c>
      <c r="C539" t="s">
        <v>26</v>
      </c>
      <c r="D539" s="1">
        <v>45437</v>
      </c>
      <c r="E539" s="1">
        <v>45440</v>
      </c>
      <c r="F539" t="s">
        <v>28</v>
      </c>
      <c r="G539" t="s">
        <v>14</v>
      </c>
      <c r="H539">
        <v>3</v>
      </c>
      <c r="I539" t="s">
        <v>15</v>
      </c>
      <c r="J539">
        <v>3</v>
      </c>
      <c r="K539" t="s">
        <v>16</v>
      </c>
      <c r="L539" t="s">
        <v>22</v>
      </c>
    </row>
    <row r="540" spans="1:12" x14ac:dyDescent="0.25">
      <c r="A540">
        <v>539</v>
      </c>
      <c r="B540">
        <v>45</v>
      </c>
      <c r="C540" t="s">
        <v>26</v>
      </c>
      <c r="D540" s="1">
        <v>45454</v>
      </c>
      <c r="E540" s="1">
        <v>45467</v>
      </c>
      <c r="F540" t="s">
        <v>13</v>
      </c>
      <c r="G540" t="s">
        <v>23</v>
      </c>
      <c r="H540">
        <v>13</v>
      </c>
      <c r="I540" t="s">
        <v>15</v>
      </c>
      <c r="J540">
        <v>4</v>
      </c>
      <c r="K540" t="s">
        <v>24</v>
      </c>
      <c r="L540" t="s">
        <v>25</v>
      </c>
    </row>
    <row r="541" spans="1:12" x14ac:dyDescent="0.25">
      <c r="A541">
        <v>540</v>
      </c>
      <c r="B541">
        <v>23</v>
      </c>
      <c r="C541" t="s">
        <v>12</v>
      </c>
      <c r="D541" s="1">
        <v>45520</v>
      </c>
      <c r="E541" s="1">
        <v>45523</v>
      </c>
      <c r="F541" t="s">
        <v>27</v>
      </c>
      <c r="G541" t="s">
        <v>14</v>
      </c>
      <c r="H541">
        <v>3</v>
      </c>
      <c r="I541" t="s">
        <v>15</v>
      </c>
      <c r="J541">
        <v>2</v>
      </c>
      <c r="K541" t="s">
        <v>21</v>
      </c>
      <c r="L541" t="s">
        <v>30</v>
      </c>
    </row>
    <row r="542" spans="1:12" x14ac:dyDescent="0.25">
      <c r="A542">
        <v>541</v>
      </c>
      <c r="B542">
        <v>49</v>
      </c>
      <c r="C542" t="s">
        <v>26</v>
      </c>
      <c r="D542" s="1">
        <v>45360</v>
      </c>
      <c r="E542" s="1">
        <v>45371</v>
      </c>
      <c r="F542" t="s">
        <v>31</v>
      </c>
      <c r="G542" t="s">
        <v>23</v>
      </c>
      <c r="H542">
        <v>11</v>
      </c>
      <c r="I542" t="s">
        <v>15</v>
      </c>
      <c r="J542">
        <v>1</v>
      </c>
      <c r="K542" t="s">
        <v>24</v>
      </c>
      <c r="L542" t="s">
        <v>22</v>
      </c>
    </row>
    <row r="543" spans="1:12" x14ac:dyDescent="0.25">
      <c r="A543">
        <v>542</v>
      </c>
      <c r="B543">
        <v>22</v>
      </c>
      <c r="C543" t="s">
        <v>26</v>
      </c>
      <c r="D543" s="1">
        <v>45641</v>
      </c>
      <c r="E543" s="1">
        <v>45643</v>
      </c>
      <c r="F543" t="s">
        <v>18</v>
      </c>
      <c r="G543" t="s">
        <v>14</v>
      </c>
      <c r="H543">
        <v>2</v>
      </c>
      <c r="I543" t="s">
        <v>20</v>
      </c>
      <c r="J543">
        <v>2</v>
      </c>
      <c r="K543" t="s">
        <v>21</v>
      </c>
      <c r="L543" t="s">
        <v>22</v>
      </c>
    </row>
    <row r="544" spans="1:12" x14ac:dyDescent="0.25">
      <c r="A544">
        <v>543</v>
      </c>
      <c r="B544">
        <v>27</v>
      </c>
      <c r="C544" t="s">
        <v>26</v>
      </c>
      <c r="D544" s="1">
        <v>45500</v>
      </c>
      <c r="E544" s="1">
        <v>45514</v>
      </c>
      <c r="F544" t="s">
        <v>13</v>
      </c>
      <c r="G544" t="s">
        <v>19</v>
      </c>
      <c r="H544">
        <v>14</v>
      </c>
      <c r="I544" t="s">
        <v>15</v>
      </c>
      <c r="J544">
        <v>0</v>
      </c>
      <c r="K544" t="s">
        <v>21</v>
      </c>
      <c r="L544" t="s">
        <v>29</v>
      </c>
    </row>
    <row r="545" spans="1:12" x14ac:dyDescent="0.25">
      <c r="A545">
        <v>544</v>
      </c>
      <c r="B545">
        <v>64</v>
      </c>
      <c r="C545" t="s">
        <v>26</v>
      </c>
      <c r="D545" s="1">
        <v>45601</v>
      </c>
      <c r="E545" s="1">
        <v>45608</v>
      </c>
      <c r="F545" t="s">
        <v>28</v>
      </c>
      <c r="G545" t="s">
        <v>14</v>
      </c>
      <c r="H545">
        <v>7</v>
      </c>
      <c r="I545" t="s">
        <v>15</v>
      </c>
      <c r="J545">
        <v>3</v>
      </c>
      <c r="K545" t="s">
        <v>21</v>
      </c>
      <c r="L545" t="s">
        <v>29</v>
      </c>
    </row>
    <row r="546" spans="1:12" x14ac:dyDescent="0.25">
      <c r="A546">
        <v>545</v>
      </c>
      <c r="B546">
        <v>55</v>
      </c>
      <c r="C546" t="s">
        <v>26</v>
      </c>
      <c r="D546" s="1">
        <v>45545</v>
      </c>
      <c r="E546" s="1">
        <v>45560</v>
      </c>
      <c r="F546" t="s">
        <v>13</v>
      </c>
      <c r="G546" t="s">
        <v>23</v>
      </c>
      <c r="H546">
        <v>15</v>
      </c>
      <c r="I546" t="s">
        <v>15</v>
      </c>
      <c r="J546">
        <v>1</v>
      </c>
      <c r="K546" t="s">
        <v>24</v>
      </c>
      <c r="L546" t="s">
        <v>22</v>
      </c>
    </row>
    <row r="547" spans="1:12" x14ac:dyDescent="0.25">
      <c r="A547">
        <v>546</v>
      </c>
      <c r="B547">
        <v>80</v>
      </c>
      <c r="C547" t="s">
        <v>12</v>
      </c>
      <c r="D547" s="1">
        <v>45558</v>
      </c>
      <c r="E547" s="1">
        <v>45561</v>
      </c>
      <c r="F547" t="s">
        <v>27</v>
      </c>
      <c r="G547" t="s">
        <v>14</v>
      </c>
      <c r="H547">
        <v>3</v>
      </c>
      <c r="I547" t="s">
        <v>15</v>
      </c>
      <c r="J547">
        <v>4</v>
      </c>
      <c r="K547" t="s">
        <v>24</v>
      </c>
      <c r="L547" t="s">
        <v>30</v>
      </c>
    </row>
    <row r="548" spans="1:12" x14ac:dyDescent="0.25">
      <c r="A548">
        <v>547</v>
      </c>
      <c r="B548">
        <v>50</v>
      </c>
      <c r="C548" t="s">
        <v>12</v>
      </c>
      <c r="D548" s="1">
        <v>45629</v>
      </c>
      <c r="E548" s="1">
        <v>45643</v>
      </c>
      <c r="F548" t="s">
        <v>27</v>
      </c>
      <c r="G548" t="s">
        <v>19</v>
      </c>
      <c r="H548">
        <v>14</v>
      </c>
      <c r="I548" t="s">
        <v>15</v>
      </c>
      <c r="J548">
        <v>1</v>
      </c>
      <c r="K548" t="s">
        <v>24</v>
      </c>
      <c r="L548" t="s">
        <v>25</v>
      </c>
    </row>
    <row r="549" spans="1:12" x14ac:dyDescent="0.25">
      <c r="A549">
        <v>548</v>
      </c>
      <c r="B549">
        <v>86</v>
      </c>
      <c r="C549" t="s">
        <v>26</v>
      </c>
      <c r="D549" s="1">
        <v>45451</v>
      </c>
      <c r="E549" s="1">
        <v>45458</v>
      </c>
      <c r="F549" t="s">
        <v>27</v>
      </c>
      <c r="G549" t="s">
        <v>19</v>
      </c>
      <c r="H549">
        <v>7</v>
      </c>
      <c r="I549" t="s">
        <v>15</v>
      </c>
      <c r="J549">
        <v>1</v>
      </c>
      <c r="K549" t="s">
        <v>21</v>
      </c>
      <c r="L549" t="s">
        <v>17</v>
      </c>
    </row>
    <row r="550" spans="1:12" x14ac:dyDescent="0.25">
      <c r="A550">
        <v>549</v>
      </c>
      <c r="B550">
        <v>36</v>
      </c>
      <c r="C550" t="s">
        <v>12</v>
      </c>
      <c r="D550" s="1">
        <v>45541</v>
      </c>
      <c r="E550" s="1">
        <v>45547</v>
      </c>
      <c r="F550" t="s">
        <v>31</v>
      </c>
      <c r="G550" t="s">
        <v>23</v>
      </c>
      <c r="H550">
        <v>6</v>
      </c>
      <c r="I550" t="s">
        <v>15</v>
      </c>
      <c r="J550">
        <v>4</v>
      </c>
      <c r="K550" t="s">
        <v>24</v>
      </c>
      <c r="L550" t="s">
        <v>29</v>
      </c>
    </row>
    <row r="551" spans="1:12" x14ac:dyDescent="0.25">
      <c r="A551">
        <v>550</v>
      </c>
      <c r="B551">
        <v>38</v>
      </c>
      <c r="C551" t="s">
        <v>12</v>
      </c>
      <c r="D551" s="1">
        <v>45651</v>
      </c>
      <c r="E551" s="1">
        <v>45653</v>
      </c>
      <c r="F551" t="s">
        <v>13</v>
      </c>
      <c r="G551" t="s">
        <v>14</v>
      </c>
      <c r="H551">
        <v>2</v>
      </c>
      <c r="I551" t="s">
        <v>20</v>
      </c>
      <c r="J551">
        <v>4</v>
      </c>
      <c r="K551" t="s">
        <v>21</v>
      </c>
      <c r="L551" t="s">
        <v>25</v>
      </c>
    </row>
    <row r="552" spans="1:12" x14ac:dyDescent="0.25">
      <c r="A552">
        <v>551</v>
      </c>
      <c r="B552">
        <v>36</v>
      </c>
      <c r="C552" t="s">
        <v>12</v>
      </c>
      <c r="D552" s="1">
        <v>45298</v>
      </c>
      <c r="E552" s="1">
        <v>45308</v>
      </c>
      <c r="F552" t="s">
        <v>13</v>
      </c>
      <c r="G552" t="s">
        <v>23</v>
      </c>
      <c r="H552">
        <v>10</v>
      </c>
      <c r="I552" t="s">
        <v>15</v>
      </c>
      <c r="J552">
        <v>4</v>
      </c>
      <c r="K552" t="s">
        <v>21</v>
      </c>
      <c r="L552" t="s">
        <v>25</v>
      </c>
    </row>
    <row r="553" spans="1:12" x14ac:dyDescent="0.25">
      <c r="A553">
        <v>552</v>
      </c>
      <c r="B553">
        <v>63</v>
      </c>
      <c r="C553" t="s">
        <v>26</v>
      </c>
      <c r="D553" s="1">
        <v>45445</v>
      </c>
      <c r="E553" s="1">
        <v>45450</v>
      </c>
      <c r="F553" t="s">
        <v>13</v>
      </c>
      <c r="G553" t="s">
        <v>14</v>
      </c>
      <c r="H553">
        <v>5</v>
      </c>
      <c r="I553" t="s">
        <v>15</v>
      </c>
      <c r="J553">
        <v>4</v>
      </c>
      <c r="K553" t="s">
        <v>16</v>
      </c>
      <c r="L553" t="s">
        <v>29</v>
      </c>
    </row>
    <row r="554" spans="1:12" x14ac:dyDescent="0.25">
      <c r="A554">
        <v>553</v>
      </c>
      <c r="B554">
        <v>50</v>
      </c>
      <c r="C554" t="s">
        <v>12</v>
      </c>
      <c r="D554" s="1">
        <v>45307</v>
      </c>
      <c r="E554" s="1">
        <v>45311</v>
      </c>
      <c r="F554" t="s">
        <v>13</v>
      </c>
      <c r="G554" t="s">
        <v>19</v>
      </c>
      <c r="H554">
        <v>4</v>
      </c>
      <c r="I554" t="s">
        <v>15</v>
      </c>
      <c r="J554">
        <v>3</v>
      </c>
      <c r="K554" t="s">
        <v>21</v>
      </c>
      <c r="L554" t="s">
        <v>22</v>
      </c>
    </row>
    <row r="555" spans="1:12" x14ac:dyDescent="0.25">
      <c r="A555">
        <v>554</v>
      </c>
      <c r="B555">
        <v>36</v>
      </c>
      <c r="C555" t="s">
        <v>12</v>
      </c>
      <c r="D555" s="1">
        <v>45519</v>
      </c>
      <c r="E555" s="1">
        <v>45524</v>
      </c>
      <c r="F555" t="s">
        <v>31</v>
      </c>
      <c r="G555" t="s">
        <v>14</v>
      </c>
      <c r="H555">
        <v>5</v>
      </c>
      <c r="I555" t="s">
        <v>15</v>
      </c>
      <c r="J555">
        <v>2</v>
      </c>
      <c r="K555" t="s">
        <v>16</v>
      </c>
      <c r="L555" t="s">
        <v>29</v>
      </c>
    </row>
    <row r="556" spans="1:12" x14ac:dyDescent="0.25">
      <c r="A556">
        <v>555</v>
      </c>
      <c r="B556">
        <v>49</v>
      </c>
      <c r="C556" t="s">
        <v>26</v>
      </c>
      <c r="D556" s="1">
        <v>45574</v>
      </c>
      <c r="E556" s="1">
        <v>45586</v>
      </c>
      <c r="F556" t="s">
        <v>18</v>
      </c>
      <c r="G556" t="s">
        <v>14</v>
      </c>
      <c r="H556">
        <v>12</v>
      </c>
      <c r="I556" t="s">
        <v>20</v>
      </c>
      <c r="J556">
        <v>1</v>
      </c>
      <c r="K556" t="s">
        <v>16</v>
      </c>
      <c r="L556" t="s">
        <v>22</v>
      </c>
    </row>
    <row r="557" spans="1:12" x14ac:dyDescent="0.25">
      <c r="A557">
        <v>556</v>
      </c>
      <c r="B557">
        <v>87</v>
      </c>
      <c r="C557" t="s">
        <v>26</v>
      </c>
      <c r="D557" s="1">
        <v>45428</v>
      </c>
      <c r="E557" s="1">
        <v>45430</v>
      </c>
      <c r="F557" t="s">
        <v>13</v>
      </c>
      <c r="G557" t="s">
        <v>19</v>
      </c>
      <c r="H557">
        <v>2</v>
      </c>
      <c r="I557" t="s">
        <v>20</v>
      </c>
      <c r="J557">
        <v>3</v>
      </c>
      <c r="K557" t="s">
        <v>21</v>
      </c>
      <c r="L557" t="s">
        <v>25</v>
      </c>
    </row>
    <row r="558" spans="1:12" x14ac:dyDescent="0.25">
      <c r="A558">
        <v>557</v>
      </c>
      <c r="B558">
        <v>88</v>
      </c>
      <c r="C558" t="s">
        <v>26</v>
      </c>
      <c r="D558" s="1">
        <v>45445</v>
      </c>
      <c r="E558" s="1">
        <v>45447</v>
      </c>
      <c r="F558" t="s">
        <v>13</v>
      </c>
      <c r="G558" t="s">
        <v>14</v>
      </c>
      <c r="H558">
        <v>2</v>
      </c>
      <c r="I558" t="s">
        <v>15</v>
      </c>
      <c r="J558">
        <v>0</v>
      </c>
      <c r="K558" t="s">
        <v>16</v>
      </c>
      <c r="L558" t="s">
        <v>17</v>
      </c>
    </row>
    <row r="559" spans="1:12" x14ac:dyDescent="0.25">
      <c r="A559">
        <v>558</v>
      </c>
      <c r="B559">
        <v>54</v>
      </c>
      <c r="C559" t="s">
        <v>26</v>
      </c>
      <c r="D559" s="1">
        <v>45610</v>
      </c>
      <c r="E559" s="1">
        <v>45612</v>
      </c>
      <c r="F559" t="s">
        <v>13</v>
      </c>
      <c r="G559" t="s">
        <v>23</v>
      </c>
      <c r="H559">
        <v>2</v>
      </c>
      <c r="I559" t="s">
        <v>15</v>
      </c>
      <c r="J559">
        <v>0</v>
      </c>
      <c r="K559" t="s">
        <v>16</v>
      </c>
      <c r="L559" t="s">
        <v>29</v>
      </c>
    </row>
    <row r="560" spans="1:12" x14ac:dyDescent="0.25">
      <c r="A560">
        <v>559</v>
      </c>
      <c r="B560">
        <v>52</v>
      </c>
      <c r="C560" t="s">
        <v>26</v>
      </c>
      <c r="D560" s="1">
        <v>45641</v>
      </c>
      <c r="E560" s="1">
        <v>45650</v>
      </c>
      <c r="F560" t="s">
        <v>31</v>
      </c>
      <c r="G560" t="s">
        <v>23</v>
      </c>
      <c r="H560">
        <v>9</v>
      </c>
      <c r="I560" t="s">
        <v>15</v>
      </c>
      <c r="J560">
        <v>2</v>
      </c>
      <c r="K560" t="s">
        <v>21</v>
      </c>
      <c r="L560" t="s">
        <v>30</v>
      </c>
    </row>
    <row r="561" spans="1:12" x14ac:dyDescent="0.25">
      <c r="A561">
        <v>560</v>
      </c>
      <c r="B561">
        <v>29</v>
      </c>
      <c r="C561" t="s">
        <v>12</v>
      </c>
      <c r="D561" s="1">
        <v>45297</v>
      </c>
      <c r="E561" s="1">
        <v>45302</v>
      </c>
      <c r="F561" t="s">
        <v>27</v>
      </c>
      <c r="G561" t="s">
        <v>19</v>
      </c>
      <c r="H561">
        <v>5</v>
      </c>
      <c r="I561" t="s">
        <v>15</v>
      </c>
      <c r="J561">
        <v>4</v>
      </c>
      <c r="K561" t="s">
        <v>21</v>
      </c>
      <c r="L561" t="s">
        <v>17</v>
      </c>
    </row>
    <row r="562" spans="1:12" x14ac:dyDescent="0.25">
      <c r="A562">
        <v>561</v>
      </c>
      <c r="B562">
        <v>61</v>
      </c>
      <c r="C562" t="s">
        <v>12</v>
      </c>
      <c r="D562" s="1">
        <v>45654</v>
      </c>
      <c r="E562" s="1">
        <v>45666</v>
      </c>
      <c r="F562" t="s">
        <v>13</v>
      </c>
      <c r="G562" t="s">
        <v>14</v>
      </c>
      <c r="H562">
        <v>12</v>
      </c>
      <c r="I562" t="s">
        <v>20</v>
      </c>
      <c r="J562">
        <v>1</v>
      </c>
      <c r="K562" t="s">
        <v>21</v>
      </c>
      <c r="L562" t="s">
        <v>22</v>
      </c>
    </row>
    <row r="563" spans="1:12" x14ac:dyDescent="0.25">
      <c r="A563">
        <v>562</v>
      </c>
      <c r="B563">
        <v>42</v>
      </c>
      <c r="C563" t="s">
        <v>12</v>
      </c>
      <c r="D563" s="1">
        <v>45378</v>
      </c>
      <c r="E563" s="1">
        <v>45382</v>
      </c>
      <c r="F563" t="s">
        <v>18</v>
      </c>
      <c r="G563" t="s">
        <v>14</v>
      </c>
      <c r="H563">
        <v>4</v>
      </c>
      <c r="I563" t="s">
        <v>15</v>
      </c>
      <c r="J563">
        <v>2</v>
      </c>
      <c r="K563" t="s">
        <v>21</v>
      </c>
      <c r="L563" t="s">
        <v>25</v>
      </c>
    </row>
    <row r="564" spans="1:12" x14ac:dyDescent="0.25">
      <c r="A564">
        <v>563</v>
      </c>
      <c r="B564">
        <v>21</v>
      </c>
      <c r="C564" t="s">
        <v>12</v>
      </c>
      <c r="D564" s="1">
        <v>45595</v>
      </c>
      <c r="E564" s="1">
        <v>45598</v>
      </c>
      <c r="F564" t="s">
        <v>13</v>
      </c>
      <c r="G564" t="s">
        <v>19</v>
      </c>
      <c r="H564">
        <v>3</v>
      </c>
      <c r="I564" t="s">
        <v>15</v>
      </c>
      <c r="J564">
        <v>3</v>
      </c>
      <c r="K564" t="s">
        <v>16</v>
      </c>
      <c r="L564" t="s">
        <v>22</v>
      </c>
    </row>
    <row r="565" spans="1:12" x14ac:dyDescent="0.25">
      <c r="A565">
        <v>564</v>
      </c>
      <c r="B565">
        <v>56</v>
      </c>
      <c r="C565" t="s">
        <v>12</v>
      </c>
      <c r="D565" s="1">
        <v>45337</v>
      </c>
      <c r="E565" s="1">
        <v>45352</v>
      </c>
      <c r="F565" t="s">
        <v>13</v>
      </c>
      <c r="G565" t="s">
        <v>14</v>
      </c>
      <c r="H565">
        <v>15</v>
      </c>
      <c r="I565" t="s">
        <v>20</v>
      </c>
      <c r="J565">
        <v>1</v>
      </c>
      <c r="K565" t="s">
        <v>16</v>
      </c>
      <c r="L565" t="s">
        <v>22</v>
      </c>
    </row>
    <row r="566" spans="1:12" x14ac:dyDescent="0.25">
      <c r="A566">
        <v>565</v>
      </c>
      <c r="B566">
        <v>82</v>
      </c>
      <c r="C566" t="s">
        <v>12</v>
      </c>
      <c r="D566" s="1">
        <v>45438</v>
      </c>
      <c r="E566" s="1">
        <v>45443</v>
      </c>
      <c r="F566" t="s">
        <v>31</v>
      </c>
      <c r="G566" t="s">
        <v>19</v>
      </c>
      <c r="H566">
        <v>5</v>
      </c>
      <c r="I566" t="s">
        <v>20</v>
      </c>
      <c r="J566">
        <v>0</v>
      </c>
      <c r="K566" t="s">
        <v>21</v>
      </c>
      <c r="L566" t="s">
        <v>22</v>
      </c>
    </row>
    <row r="567" spans="1:12" x14ac:dyDescent="0.25">
      <c r="A567">
        <v>566</v>
      </c>
      <c r="B567">
        <v>57</v>
      </c>
      <c r="C567" t="s">
        <v>12</v>
      </c>
      <c r="D567" s="1">
        <v>45359</v>
      </c>
      <c r="E567" s="1">
        <v>45374</v>
      </c>
      <c r="F567" t="s">
        <v>27</v>
      </c>
      <c r="G567" t="s">
        <v>19</v>
      </c>
      <c r="H567">
        <v>15</v>
      </c>
      <c r="I567" t="s">
        <v>15</v>
      </c>
      <c r="J567">
        <v>4</v>
      </c>
      <c r="K567" t="s">
        <v>16</v>
      </c>
      <c r="L567" t="s">
        <v>29</v>
      </c>
    </row>
    <row r="568" spans="1:12" x14ac:dyDescent="0.25">
      <c r="A568">
        <v>567</v>
      </c>
      <c r="B568">
        <v>52</v>
      </c>
      <c r="C568" t="s">
        <v>26</v>
      </c>
      <c r="D568" s="1">
        <v>45508</v>
      </c>
      <c r="E568" s="1">
        <v>45517</v>
      </c>
      <c r="F568" t="s">
        <v>31</v>
      </c>
      <c r="G568" t="s">
        <v>23</v>
      </c>
      <c r="H568">
        <v>9</v>
      </c>
      <c r="I568" t="s">
        <v>15</v>
      </c>
      <c r="J568">
        <v>0</v>
      </c>
      <c r="K568" t="s">
        <v>24</v>
      </c>
      <c r="L568" t="s">
        <v>30</v>
      </c>
    </row>
    <row r="569" spans="1:12" x14ac:dyDescent="0.25">
      <c r="A569">
        <v>568</v>
      </c>
      <c r="B569">
        <v>68</v>
      </c>
      <c r="C569" t="s">
        <v>26</v>
      </c>
      <c r="D569" s="1">
        <v>45385</v>
      </c>
      <c r="E569" s="1">
        <v>45386</v>
      </c>
      <c r="F569" t="s">
        <v>28</v>
      </c>
      <c r="G569" t="s">
        <v>19</v>
      </c>
      <c r="H569">
        <v>1</v>
      </c>
      <c r="I569" t="s">
        <v>15</v>
      </c>
      <c r="J569">
        <v>3</v>
      </c>
      <c r="K569" t="s">
        <v>24</v>
      </c>
      <c r="L569" t="s">
        <v>17</v>
      </c>
    </row>
    <row r="570" spans="1:12" x14ac:dyDescent="0.25">
      <c r="A570">
        <v>569</v>
      </c>
      <c r="B570">
        <v>62</v>
      </c>
      <c r="C570" t="s">
        <v>12</v>
      </c>
      <c r="D570" s="1">
        <v>45495</v>
      </c>
      <c r="E570" s="1">
        <v>45498</v>
      </c>
      <c r="F570" t="s">
        <v>28</v>
      </c>
      <c r="G570" t="s">
        <v>14</v>
      </c>
      <c r="H570">
        <v>3</v>
      </c>
      <c r="I570" t="s">
        <v>15</v>
      </c>
      <c r="J570">
        <v>4</v>
      </c>
      <c r="K570" t="s">
        <v>16</v>
      </c>
      <c r="L570" t="s">
        <v>25</v>
      </c>
    </row>
    <row r="571" spans="1:12" x14ac:dyDescent="0.25">
      <c r="A571">
        <v>570</v>
      </c>
      <c r="B571">
        <v>73</v>
      </c>
      <c r="C571" t="s">
        <v>26</v>
      </c>
      <c r="D571" s="1">
        <v>45543</v>
      </c>
      <c r="E571" s="1">
        <v>45547</v>
      </c>
      <c r="F571" t="s">
        <v>28</v>
      </c>
      <c r="G571" t="s">
        <v>19</v>
      </c>
      <c r="H571">
        <v>4</v>
      </c>
      <c r="I571" t="s">
        <v>15</v>
      </c>
      <c r="J571">
        <v>3</v>
      </c>
      <c r="K571" t="s">
        <v>24</v>
      </c>
      <c r="L571" t="s">
        <v>17</v>
      </c>
    </row>
    <row r="572" spans="1:12" x14ac:dyDescent="0.25">
      <c r="A572">
        <v>571</v>
      </c>
      <c r="B572">
        <v>44</v>
      </c>
      <c r="C572" t="s">
        <v>26</v>
      </c>
      <c r="D572" s="1">
        <v>45441</v>
      </c>
      <c r="E572" s="1">
        <v>45454</v>
      </c>
      <c r="F572" t="s">
        <v>18</v>
      </c>
      <c r="G572" t="s">
        <v>19</v>
      </c>
      <c r="H572">
        <v>13</v>
      </c>
      <c r="I572" t="s">
        <v>15</v>
      </c>
      <c r="J572">
        <v>2</v>
      </c>
      <c r="K572" t="s">
        <v>21</v>
      </c>
      <c r="L572" t="s">
        <v>29</v>
      </c>
    </row>
    <row r="573" spans="1:12" x14ac:dyDescent="0.25">
      <c r="A573">
        <v>572</v>
      </c>
      <c r="B573">
        <v>85</v>
      </c>
      <c r="C573" t="s">
        <v>26</v>
      </c>
      <c r="D573" s="1">
        <v>45331</v>
      </c>
      <c r="E573" s="1">
        <v>45334</v>
      </c>
      <c r="F573" t="s">
        <v>28</v>
      </c>
      <c r="G573" t="s">
        <v>14</v>
      </c>
      <c r="H573">
        <v>3</v>
      </c>
      <c r="I573" t="s">
        <v>20</v>
      </c>
      <c r="J573">
        <v>1</v>
      </c>
      <c r="K573" t="s">
        <v>16</v>
      </c>
      <c r="L573" t="s">
        <v>17</v>
      </c>
    </row>
    <row r="574" spans="1:12" x14ac:dyDescent="0.25">
      <c r="A574">
        <v>573</v>
      </c>
      <c r="B574">
        <v>50</v>
      </c>
      <c r="C574" t="s">
        <v>26</v>
      </c>
      <c r="D574" s="1">
        <v>45610</v>
      </c>
      <c r="E574" s="1">
        <v>45625</v>
      </c>
      <c r="F574" t="s">
        <v>18</v>
      </c>
      <c r="G574" t="s">
        <v>23</v>
      </c>
      <c r="H574">
        <v>15</v>
      </c>
      <c r="I574" t="s">
        <v>15</v>
      </c>
      <c r="J574">
        <v>1</v>
      </c>
      <c r="K574" t="s">
        <v>21</v>
      </c>
      <c r="L574" t="s">
        <v>30</v>
      </c>
    </row>
    <row r="575" spans="1:12" x14ac:dyDescent="0.25">
      <c r="A575">
        <v>574</v>
      </c>
      <c r="B575">
        <v>89</v>
      </c>
      <c r="C575" t="s">
        <v>12</v>
      </c>
      <c r="D575" s="1">
        <v>45618</v>
      </c>
      <c r="E575" s="1">
        <v>45630</v>
      </c>
      <c r="F575" t="s">
        <v>31</v>
      </c>
      <c r="G575" t="s">
        <v>19</v>
      </c>
      <c r="H575">
        <v>12</v>
      </c>
      <c r="I575" t="s">
        <v>15</v>
      </c>
      <c r="J575">
        <v>4</v>
      </c>
      <c r="K575" t="s">
        <v>21</v>
      </c>
      <c r="L575" t="s">
        <v>30</v>
      </c>
    </row>
    <row r="576" spans="1:12" x14ac:dyDescent="0.25">
      <c r="A576">
        <v>575</v>
      </c>
      <c r="B576">
        <v>25</v>
      </c>
      <c r="C576" t="s">
        <v>26</v>
      </c>
      <c r="D576" s="1">
        <v>45394</v>
      </c>
      <c r="E576" s="1">
        <v>45401</v>
      </c>
      <c r="F576" t="s">
        <v>27</v>
      </c>
      <c r="G576" t="s">
        <v>23</v>
      </c>
      <c r="H576">
        <v>7</v>
      </c>
      <c r="I576" t="s">
        <v>15</v>
      </c>
      <c r="J576">
        <v>1</v>
      </c>
      <c r="K576" t="s">
        <v>16</v>
      </c>
      <c r="L576" t="s">
        <v>17</v>
      </c>
    </row>
    <row r="577" spans="1:12" x14ac:dyDescent="0.25">
      <c r="A577">
        <v>576</v>
      </c>
      <c r="B577">
        <v>22</v>
      </c>
      <c r="C577" t="s">
        <v>12</v>
      </c>
      <c r="D577" s="1">
        <v>45394</v>
      </c>
      <c r="E577" s="1">
        <v>45396</v>
      </c>
      <c r="F577" t="s">
        <v>31</v>
      </c>
      <c r="G577" t="s">
        <v>23</v>
      </c>
      <c r="H577">
        <v>2</v>
      </c>
      <c r="I577" t="s">
        <v>20</v>
      </c>
      <c r="J577">
        <v>0</v>
      </c>
      <c r="K577" t="s">
        <v>21</v>
      </c>
      <c r="L577" t="s">
        <v>22</v>
      </c>
    </row>
    <row r="578" spans="1:12" x14ac:dyDescent="0.25">
      <c r="A578">
        <v>577</v>
      </c>
      <c r="B578">
        <v>46</v>
      </c>
      <c r="C578" t="s">
        <v>12</v>
      </c>
      <c r="D578" s="1">
        <v>45609</v>
      </c>
      <c r="E578" s="1">
        <v>45622</v>
      </c>
      <c r="F578" t="s">
        <v>13</v>
      </c>
      <c r="G578" t="s">
        <v>23</v>
      </c>
      <c r="H578">
        <v>13</v>
      </c>
      <c r="I578" t="s">
        <v>15</v>
      </c>
      <c r="J578">
        <v>2</v>
      </c>
      <c r="K578" t="s">
        <v>21</v>
      </c>
      <c r="L578" t="s">
        <v>25</v>
      </c>
    </row>
    <row r="579" spans="1:12" x14ac:dyDescent="0.25">
      <c r="A579">
        <v>578</v>
      </c>
      <c r="B579">
        <v>54</v>
      </c>
      <c r="C579" t="s">
        <v>12</v>
      </c>
      <c r="D579" s="1">
        <v>45561</v>
      </c>
      <c r="E579" s="1">
        <v>45574</v>
      </c>
      <c r="F579" t="s">
        <v>28</v>
      </c>
      <c r="G579" t="s">
        <v>19</v>
      </c>
      <c r="H579">
        <v>13</v>
      </c>
      <c r="I579" t="s">
        <v>15</v>
      </c>
      <c r="J579">
        <v>3</v>
      </c>
      <c r="K579" t="s">
        <v>16</v>
      </c>
      <c r="L579" t="s">
        <v>25</v>
      </c>
    </row>
    <row r="580" spans="1:12" x14ac:dyDescent="0.25">
      <c r="A580">
        <v>579</v>
      </c>
      <c r="B580">
        <v>37</v>
      </c>
      <c r="C580" t="s">
        <v>12</v>
      </c>
      <c r="D580" s="1">
        <v>45548</v>
      </c>
      <c r="E580" s="1">
        <v>45555</v>
      </c>
      <c r="F580" t="s">
        <v>13</v>
      </c>
      <c r="G580" t="s">
        <v>23</v>
      </c>
      <c r="H580">
        <v>7</v>
      </c>
      <c r="I580" t="s">
        <v>15</v>
      </c>
      <c r="J580">
        <v>3</v>
      </c>
      <c r="K580" t="s">
        <v>21</v>
      </c>
      <c r="L580" t="s">
        <v>25</v>
      </c>
    </row>
    <row r="581" spans="1:12" x14ac:dyDescent="0.25">
      <c r="A581">
        <v>580</v>
      </c>
      <c r="B581">
        <v>85</v>
      </c>
      <c r="C581" t="s">
        <v>26</v>
      </c>
      <c r="D581" s="1">
        <v>45503</v>
      </c>
      <c r="E581" s="1">
        <v>45511</v>
      </c>
      <c r="F581" t="s">
        <v>31</v>
      </c>
      <c r="G581" t="s">
        <v>23</v>
      </c>
      <c r="H581">
        <v>8</v>
      </c>
      <c r="I581" t="s">
        <v>15</v>
      </c>
      <c r="J581">
        <v>4</v>
      </c>
      <c r="K581" t="s">
        <v>24</v>
      </c>
      <c r="L581" t="s">
        <v>30</v>
      </c>
    </row>
    <row r="582" spans="1:12" x14ac:dyDescent="0.25">
      <c r="A582">
        <v>581</v>
      </c>
      <c r="B582">
        <v>50</v>
      </c>
      <c r="C582" t="s">
        <v>26</v>
      </c>
      <c r="D582" s="1">
        <v>45623</v>
      </c>
      <c r="E582" s="1">
        <v>45630</v>
      </c>
      <c r="F582" t="s">
        <v>27</v>
      </c>
      <c r="G582" t="s">
        <v>23</v>
      </c>
      <c r="H582">
        <v>7</v>
      </c>
      <c r="I582" t="s">
        <v>15</v>
      </c>
      <c r="J582">
        <v>2</v>
      </c>
      <c r="K582" t="s">
        <v>16</v>
      </c>
      <c r="L582" t="s">
        <v>22</v>
      </c>
    </row>
    <row r="583" spans="1:12" x14ac:dyDescent="0.25">
      <c r="A583">
        <v>582</v>
      </c>
      <c r="B583">
        <v>24</v>
      </c>
      <c r="C583" t="s">
        <v>12</v>
      </c>
      <c r="D583" s="1">
        <v>45635</v>
      </c>
      <c r="E583" s="1">
        <v>45641</v>
      </c>
      <c r="F583" t="s">
        <v>27</v>
      </c>
      <c r="G583" t="s">
        <v>23</v>
      </c>
      <c r="H583">
        <v>6</v>
      </c>
      <c r="I583" t="s">
        <v>15</v>
      </c>
      <c r="J583">
        <v>0</v>
      </c>
      <c r="K583" t="s">
        <v>16</v>
      </c>
      <c r="L583" t="s">
        <v>30</v>
      </c>
    </row>
    <row r="584" spans="1:12" x14ac:dyDescent="0.25">
      <c r="A584">
        <v>583</v>
      </c>
      <c r="B584">
        <v>40</v>
      </c>
      <c r="C584" t="s">
        <v>12</v>
      </c>
      <c r="D584" s="1">
        <v>45484</v>
      </c>
      <c r="E584" s="1">
        <v>45495</v>
      </c>
      <c r="F584" t="s">
        <v>31</v>
      </c>
      <c r="G584" t="s">
        <v>14</v>
      </c>
      <c r="H584">
        <v>11</v>
      </c>
      <c r="I584" t="s">
        <v>20</v>
      </c>
      <c r="J584">
        <v>4</v>
      </c>
      <c r="K584" t="s">
        <v>24</v>
      </c>
      <c r="L584" t="s">
        <v>29</v>
      </c>
    </row>
    <row r="585" spans="1:12" x14ac:dyDescent="0.25">
      <c r="A585">
        <v>584</v>
      </c>
      <c r="B585">
        <v>35</v>
      </c>
      <c r="C585" t="s">
        <v>26</v>
      </c>
      <c r="D585" s="1">
        <v>45538</v>
      </c>
      <c r="E585" s="1">
        <v>45539</v>
      </c>
      <c r="F585" t="s">
        <v>31</v>
      </c>
      <c r="G585" t="s">
        <v>14</v>
      </c>
      <c r="H585">
        <v>1</v>
      </c>
      <c r="I585" t="s">
        <v>15</v>
      </c>
      <c r="J585">
        <v>3</v>
      </c>
      <c r="K585" t="s">
        <v>16</v>
      </c>
      <c r="L585" t="s">
        <v>25</v>
      </c>
    </row>
    <row r="586" spans="1:12" x14ac:dyDescent="0.25">
      <c r="A586">
        <v>585</v>
      </c>
      <c r="B586">
        <v>25</v>
      </c>
      <c r="C586" t="s">
        <v>26</v>
      </c>
      <c r="D586" s="1">
        <v>45348</v>
      </c>
      <c r="E586" s="1">
        <v>45361</v>
      </c>
      <c r="F586" t="s">
        <v>13</v>
      </c>
      <c r="G586" t="s">
        <v>19</v>
      </c>
      <c r="H586">
        <v>13</v>
      </c>
      <c r="I586" t="s">
        <v>20</v>
      </c>
      <c r="J586">
        <v>2</v>
      </c>
      <c r="K586" t="s">
        <v>16</v>
      </c>
      <c r="L586" t="s">
        <v>17</v>
      </c>
    </row>
    <row r="587" spans="1:12" x14ac:dyDescent="0.25">
      <c r="A587">
        <v>586</v>
      </c>
      <c r="B587">
        <v>80</v>
      </c>
      <c r="C587" t="s">
        <v>26</v>
      </c>
      <c r="D587" s="1">
        <v>45306</v>
      </c>
      <c r="E587" s="1">
        <v>45312</v>
      </c>
      <c r="F587" t="s">
        <v>27</v>
      </c>
      <c r="G587" t="s">
        <v>19</v>
      </c>
      <c r="H587">
        <v>6</v>
      </c>
      <c r="I587" t="s">
        <v>20</v>
      </c>
      <c r="J587">
        <v>2</v>
      </c>
      <c r="K587" t="s">
        <v>21</v>
      </c>
      <c r="L587" t="s">
        <v>17</v>
      </c>
    </row>
    <row r="588" spans="1:12" x14ac:dyDescent="0.25">
      <c r="A588">
        <v>587</v>
      </c>
      <c r="B588">
        <v>44</v>
      </c>
      <c r="C588" t="s">
        <v>12</v>
      </c>
      <c r="D588" s="1">
        <v>45378</v>
      </c>
      <c r="E588" s="1">
        <v>45385</v>
      </c>
      <c r="F588" t="s">
        <v>27</v>
      </c>
      <c r="G588" t="s">
        <v>23</v>
      </c>
      <c r="H588">
        <v>7</v>
      </c>
      <c r="I588" t="s">
        <v>15</v>
      </c>
      <c r="J588">
        <v>2</v>
      </c>
      <c r="K588" t="s">
        <v>24</v>
      </c>
      <c r="L588" t="s">
        <v>17</v>
      </c>
    </row>
    <row r="589" spans="1:12" x14ac:dyDescent="0.25">
      <c r="A589">
        <v>588</v>
      </c>
      <c r="B589">
        <v>24</v>
      </c>
      <c r="C589" t="s">
        <v>12</v>
      </c>
      <c r="D589" s="1">
        <v>45558</v>
      </c>
      <c r="E589" s="1">
        <v>45571</v>
      </c>
      <c r="F589" t="s">
        <v>28</v>
      </c>
      <c r="G589" t="s">
        <v>14</v>
      </c>
      <c r="H589">
        <v>13</v>
      </c>
      <c r="I589" t="s">
        <v>20</v>
      </c>
      <c r="J589">
        <v>1</v>
      </c>
      <c r="K589" t="s">
        <v>16</v>
      </c>
      <c r="L589" t="s">
        <v>29</v>
      </c>
    </row>
    <row r="590" spans="1:12" x14ac:dyDescent="0.25">
      <c r="A590">
        <v>589</v>
      </c>
      <c r="B590">
        <v>70</v>
      </c>
      <c r="C590" t="s">
        <v>26</v>
      </c>
      <c r="D590" s="1">
        <v>45480</v>
      </c>
      <c r="E590" s="1">
        <v>45489</v>
      </c>
      <c r="F590" t="s">
        <v>28</v>
      </c>
      <c r="G590" t="s">
        <v>19</v>
      </c>
      <c r="H590">
        <v>9</v>
      </c>
      <c r="I590" t="s">
        <v>20</v>
      </c>
      <c r="J590">
        <v>1</v>
      </c>
      <c r="K590" t="s">
        <v>21</v>
      </c>
      <c r="L590" t="s">
        <v>17</v>
      </c>
    </row>
    <row r="591" spans="1:12" x14ac:dyDescent="0.25">
      <c r="A591">
        <v>590</v>
      </c>
      <c r="B591">
        <v>62</v>
      </c>
      <c r="C591" t="s">
        <v>12</v>
      </c>
      <c r="D591" s="1">
        <v>45416</v>
      </c>
      <c r="E591" s="1">
        <v>45427</v>
      </c>
      <c r="F591" t="s">
        <v>27</v>
      </c>
      <c r="G591" t="s">
        <v>19</v>
      </c>
      <c r="H591">
        <v>11</v>
      </c>
      <c r="I591" t="s">
        <v>15</v>
      </c>
      <c r="J591">
        <v>1</v>
      </c>
      <c r="K591" t="s">
        <v>16</v>
      </c>
      <c r="L591" t="s">
        <v>30</v>
      </c>
    </row>
    <row r="592" spans="1:12" x14ac:dyDescent="0.25">
      <c r="A592">
        <v>591</v>
      </c>
      <c r="B592">
        <v>57</v>
      </c>
      <c r="C592" t="s">
        <v>12</v>
      </c>
      <c r="D592" s="1">
        <v>45367</v>
      </c>
      <c r="E592" s="1">
        <v>45375</v>
      </c>
      <c r="F592" t="s">
        <v>18</v>
      </c>
      <c r="G592" t="s">
        <v>14</v>
      </c>
      <c r="H592">
        <v>8</v>
      </c>
      <c r="I592" t="s">
        <v>15</v>
      </c>
      <c r="J592">
        <v>2</v>
      </c>
      <c r="K592" t="s">
        <v>16</v>
      </c>
      <c r="L592" t="s">
        <v>22</v>
      </c>
    </row>
    <row r="593" spans="1:12" x14ac:dyDescent="0.25">
      <c r="A593">
        <v>592</v>
      </c>
      <c r="B593">
        <v>80</v>
      </c>
      <c r="C593" t="s">
        <v>26</v>
      </c>
      <c r="D593" s="1">
        <v>45420</v>
      </c>
      <c r="E593" s="1">
        <v>45434</v>
      </c>
      <c r="F593" t="s">
        <v>28</v>
      </c>
      <c r="G593" t="s">
        <v>23</v>
      </c>
      <c r="H593">
        <v>14</v>
      </c>
      <c r="I593" t="s">
        <v>15</v>
      </c>
      <c r="J593">
        <v>1</v>
      </c>
      <c r="K593" t="s">
        <v>24</v>
      </c>
      <c r="L593" t="s">
        <v>30</v>
      </c>
    </row>
    <row r="594" spans="1:12" x14ac:dyDescent="0.25">
      <c r="A594">
        <v>593</v>
      </c>
      <c r="B594">
        <v>54</v>
      </c>
      <c r="C594" t="s">
        <v>12</v>
      </c>
      <c r="D594" s="1">
        <v>45641</v>
      </c>
      <c r="E594" s="1">
        <v>45644</v>
      </c>
      <c r="F594" t="s">
        <v>18</v>
      </c>
      <c r="G594" t="s">
        <v>14</v>
      </c>
      <c r="H594">
        <v>3</v>
      </c>
      <c r="I594" t="s">
        <v>15</v>
      </c>
      <c r="J594">
        <v>3</v>
      </c>
      <c r="K594" t="s">
        <v>24</v>
      </c>
      <c r="L594" t="s">
        <v>30</v>
      </c>
    </row>
    <row r="595" spans="1:12" x14ac:dyDescent="0.25">
      <c r="A595">
        <v>594</v>
      </c>
      <c r="B595">
        <v>39</v>
      </c>
      <c r="C595" t="s">
        <v>26</v>
      </c>
      <c r="D595" s="1">
        <v>45515</v>
      </c>
      <c r="E595" s="1">
        <v>45519</v>
      </c>
      <c r="F595" t="s">
        <v>27</v>
      </c>
      <c r="G595" t="s">
        <v>19</v>
      </c>
      <c r="H595">
        <v>4</v>
      </c>
      <c r="I595" t="s">
        <v>20</v>
      </c>
      <c r="J595">
        <v>1</v>
      </c>
      <c r="K595" t="s">
        <v>24</v>
      </c>
      <c r="L595" t="s">
        <v>25</v>
      </c>
    </row>
    <row r="596" spans="1:12" x14ac:dyDescent="0.25">
      <c r="A596">
        <v>595</v>
      </c>
      <c r="B596">
        <v>26</v>
      </c>
      <c r="C596" t="s">
        <v>26</v>
      </c>
      <c r="D596" s="1">
        <v>45496</v>
      </c>
      <c r="E596" s="1">
        <v>45502</v>
      </c>
      <c r="F596" t="s">
        <v>18</v>
      </c>
      <c r="G596" t="s">
        <v>23</v>
      </c>
      <c r="H596">
        <v>6</v>
      </c>
      <c r="I596" t="s">
        <v>20</v>
      </c>
      <c r="J596">
        <v>4</v>
      </c>
      <c r="K596" t="s">
        <v>21</v>
      </c>
      <c r="L596" t="s">
        <v>22</v>
      </c>
    </row>
    <row r="597" spans="1:12" x14ac:dyDescent="0.25">
      <c r="A597">
        <v>596</v>
      </c>
      <c r="B597">
        <v>85</v>
      </c>
      <c r="C597" t="s">
        <v>26</v>
      </c>
      <c r="D597" s="1">
        <v>45414</v>
      </c>
      <c r="E597" s="1">
        <v>45428</v>
      </c>
      <c r="F597" t="s">
        <v>13</v>
      </c>
      <c r="G597" t="s">
        <v>23</v>
      </c>
      <c r="H597">
        <v>14</v>
      </c>
      <c r="I597" t="s">
        <v>20</v>
      </c>
      <c r="J597">
        <v>2</v>
      </c>
      <c r="K597" t="s">
        <v>16</v>
      </c>
      <c r="L597" t="s">
        <v>17</v>
      </c>
    </row>
    <row r="598" spans="1:12" x14ac:dyDescent="0.25">
      <c r="A598">
        <v>597</v>
      </c>
      <c r="B598">
        <v>36</v>
      </c>
      <c r="C598" t="s">
        <v>12</v>
      </c>
      <c r="D598" s="1">
        <v>45564</v>
      </c>
      <c r="E598" s="1">
        <v>45575</v>
      </c>
      <c r="F598" t="s">
        <v>13</v>
      </c>
      <c r="G598" t="s">
        <v>23</v>
      </c>
      <c r="H598">
        <v>11</v>
      </c>
      <c r="I598" t="s">
        <v>15</v>
      </c>
      <c r="J598">
        <v>1</v>
      </c>
      <c r="K598" t="s">
        <v>24</v>
      </c>
      <c r="L598" t="s">
        <v>22</v>
      </c>
    </row>
    <row r="599" spans="1:12" x14ac:dyDescent="0.25">
      <c r="A599">
        <v>598</v>
      </c>
      <c r="B599">
        <v>23</v>
      </c>
      <c r="C599" t="s">
        <v>12</v>
      </c>
      <c r="D599" s="1">
        <v>45489</v>
      </c>
      <c r="E599" s="1">
        <v>45493</v>
      </c>
      <c r="F599" t="s">
        <v>31</v>
      </c>
      <c r="G599" t="s">
        <v>14</v>
      </c>
      <c r="H599">
        <v>4</v>
      </c>
      <c r="I599" t="s">
        <v>20</v>
      </c>
      <c r="J599">
        <v>3</v>
      </c>
      <c r="K599" t="s">
        <v>21</v>
      </c>
      <c r="L599" t="s">
        <v>22</v>
      </c>
    </row>
    <row r="600" spans="1:12" x14ac:dyDescent="0.25">
      <c r="A600">
        <v>599</v>
      </c>
      <c r="B600">
        <v>23</v>
      </c>
      <c r="C600" t="s">
        <v>26</v>
      </c>
      <c r="D600" s="1">
        <v>45554</v>
      </c>
      <c r="E600" s="1">
        <v>45555</v>
      </c>
      <c r="F600" t="s">
        <v>28</v>
      </c>
      <c r="G600" t="s">
        <v>19</v>
      </c>
      <c r="H600">
        <v>1</v>
      </c>
      <c r="I600" t="s">
        <v>15</v>
      </c>
      <c r="J600">
        <v>3</v>
      </c>
      <c r="K600" t="s">
        <v>16</v>
      </c>
      <c r="L600" t="s">
        <v>29</v>
      </c>
    </row>
    <row r="601" spans="1:12" x14ac:dyDescent="0.25">
      <c r="A601">
        <v>600</v>
      </c>
      <c r="B601">
        <v>85</v>
      </c>
      <c r="C601" t="s">
        <v>12</v>
      </c>
      <c r="D601" s="1">
        <v>45368</v>
      </c>
      <c r="E601" s="1">
        <v>45379</v>
      </c>
      <c r="F601" t="s">
        <v>27</v>
      </c>
      <c r="G601" t="s">
        <v>23</v>
      </c>
      <c r="H601">
        <v>11</v>
      </c>
      <c r="I601" t="s">
        <v>15</v>
      </c>
      <c r="J601">
        <v>2</v>
      </c>
      <c r="K601" t="s">
        <v>21</v>
      </c>
      <c r="L601" t="s">
        <v>25</v>
      </c>
    </row>
    <row r="602" spans="1:12" x14ac:dyDescent="0.25">
      <c r="A602">
        <v>601</v>
      </c>
      <c r="B602">
        <v>62</v>
      </c>
      <c r="C602" t="s">
        <v>26</v>
      </c>
      <c r="D602" s="1">
        <v>45355</v>
      </c>
      <c r="E602" s="1">
        <v>45358</v>
      </c>
      <c r="F602" t="s">
        <v>18</v>
      </c>
      <c r="G602" t="s">
        <v>19</v>
      </c>
      <c r="H602">
        <v>3</v>
      </c>
      <c r="I602" t="s">
        <v>20</v>
      </c>
      <c r="J602">
        <v>3</v>
      </c>
      <c r="K602" t="s">
        <v>24</v>
      </c>
      <c r="L602" t="s">
        <v>25</v>
      </c>
    </row>
    <row r="603" spans="1:12" x14ac:dyDescent="0.25">
      <c r="A603">
        <v>602</v>
      </c>
      <c r="B603">
        <v>89</v>
      </c>
      <c r="C603" t="s">
        <v>12</v>
      </c>
      <c r="D603" s="1">
        <v>45437</v>
      </c>
      <c r="E603" s="1">
        <v>45445</v>
      </c>
      <c r="F603" t="s">
        <v>27</v>
      </c>
      <c r="G603" t="s">
        <v>23</v>
      </c>
      <c r="H603">
        <v>8</v>
      </c>
      <c r="I603" t="s">
        <v>15</v>
      </c>
      <c r="J603">
        <v>3</v>
      </c>
      <c r="K603" t="s">
        <v>21</v>
      </c>
      <c r="L603" t="s">
        <v>30</v>
      </c>
    </row>
    <row r="604" spans="1:12" x14ac:dyDescent="0.25">
      <c r="A604">
        <v>603</v>
      </c>
      <c r="B604">
        <v>30</v>
      </c>
      <c r="C604" t="s">
        <v>26</v>
      </c>
      <c r="D604" s="1">
        <v>45558</v>
      </c>
      <c r="E604" s="1">
        <v>45570</v>
      </c>
      <c r="F604" t="s">
        <v>13</v>
      </c>
      <c r="G604" t="s">
        <v>23</v>
      </c>
      <c r="H604">
        <v>12</v>
      </c>
      <c r="I604" t="s">
        <v>15</v>
      </c>
      <c r="J604">
        <v>3</v>
      </c>
      <c r="K604" t="s">
        <v>21</v>
      </c>
      <c r="L604" t="s">
        <v>22</v>
      </c>
    </row>
    <row r="605" spans="1:12" x14ac:dyDescent="0.25">
      <c r="A605">
        <v>604</v>
      </c>
      <c r="B605">
        <v>56</v>
      </c>
      <c r="C605" t="s">
        <v>26</v>
      </c>
      <c r="D605" s="1">
        <v>45394</v>
      </c>
      <c r="E605" s="1">
        <v>45395</v>
      </c>
      <c r="F605" t="s">
        <v>27</v>
      </c>
      <c r="G605" t="s">
        <v>23</v>
      </c>
      <c r="H605">
        <v>1</v>
      </c>
      <c r="I605" t="s">
        <v>15</v>
      </c>
      <c r="J605">
        <v>2</v>
      </c>
      <c r="K605" t="s">
        <v>21</v>
      </c>
      <c r="L605" t="s">
        <v>22</v>
      </c>
    </row>
    <row r="606" spans="1:12" x14ac:dyDescent="0.25">
      <c r="A606">
        <v>605</v>
      </c>
      <c r="B606">
        <v>61</v>
      </c>
      <c r="C606" t="s">
        <v>12</v>
      </c>
      <c r="D606" s="1">
        <v>45348</v>
      </c>
      <c r="E606" s="1">
        <v>45362</v>
      </c>
      <c r="F606" t="s">
        <v>27</v>
      </c>
      <c r="G606" t="s">
        <v>19</v>
      </c>
      <c r="H606">
        <v>14</v>
      </c>
      <c r="I606" t="s">
        <v>15</v>
      </c>
      <c r="J606">
        <v>0</v>
      </c>
      <c r="K606" t="s">
        <v>24</v>
      </c>
      <c r="L606" t="s">
        <v>30</v>
      </c>
    </row>
    <row r="607" spans="1:12" x14ac:dyDescent="0.25">
      <c r="A607">
        <v>606</v>
      </c>
      <c r="B607">
        <v>76</v>
      </c>
      <c r="C607" t="s">
        <v>26</v>
      </c>
      <c r="D607" s="1">
        <v>45302</v>
      </c>
      <c r="E607" s="1">
        <v>45310</v>
      </c>
      <c r="F607" t="s">
        <v>27</v>
      </c>
      <c r="G607" t="s">
        <v>23</v>
      </c>
      <c r="H607">
        <v>8</v>
      </c>
      <c r="I607" t="s">
        <v>15</v>
      </c>
      <c r="J607">
        <v>1</v>
      </c>
      <c r="K607" t="s">
        <v>21</v>
      </c>
      <c r="L607" t="s">
        <v>22</v>
      </c>
    </row>
    <row r="608" spans="1:12" x14ac:dyDescent="0.25">
      <c r="A608">
        <v>607</v>
      </c>
      <c r="B608">
        <v>37</v>
      </c>
      <c r="C608" t="s">
        <v>12</v>
      </c>
      <c r="D608" s="1">
        <v>45364</v>
      </c>
      <c r="E608" s="1">
        <v>45367</v>
      </c>
      <c r="F608" t="s">
        <v>28</v>
      </c>
      <c r="G608" t="s">
        <v>23</v>
      </c>
      <c r="H608">
        <v>3</v>
      </c>
      <c r="I608" t="s">
        <v>20</v>
      </c>
      <c r="J608">
        <v>1</v>
      </c>
      <c r="K608" t="s">
        <v>24</v>
      </c>
      <c r="L608" t="s">
        <v>25</v>
      </c>
    </row>
    <row r="609" spans="1:12" x14ac:dyDescent="0.25">
      <c r="A609">
        <v>608</v>
      </c>
      <c r="B609">
        <v>26</v>
      </c>
      <c r="C609" t="s">
        <v>12</v>
      </c>
      <c r="D609" s="1">
        <v>45573</v>
      </c>
      <c r="E609" s="1">
        <v>45588</v>
      </c>
      <c r="F609" t="s">
        <v>27</v>
      </c>
      <c r="G609" t="s">
        <v>14</v>
      </c>
      <c r="H609">
        <v>15</v>
      </c>
      <c r="I609" t="s">
        <v>15</v>
      </c>
      <c r="J609">
        <v>3</v>
      </c>
      <c r="K609" t="s">
        <v>24</v>
      </c>
      <c r="L609" t="s">
        <v>25</v>
      </c>
    </row>
    <row r="610" spans="1:12" x14ac:dyDescent="0.25">
      <c r="A610">
        <v>609</v>
      </c>
      <c r="B610">
        <v>53</v>
      </c>
      <c r="C610" t="s">
        <v>12</v>
      </c>
      <c r="D610" s="1">
        <v>45400</v>
      </c>
      <c r="E610" s="1">
        <v>45412</v>
      </c>
      <c r="F610" t="s">
        <v>13</v>
      </c>
      <c r="G610" t="s">
        <v>19</v>
      </c>
      <c r="H610">
        <v>12</v>
      </c>
      <c r="I610" t="s">
        <v>15</v>
      </c>
      <c r="J610">
        <v>4</v>
      </c>
      <c r="K610" t="s">
        <v>24</v>
      </c>
      <c r="L610" t="s">
        <v>29</v>
      </c>
    </row>
    <row r="611" spans="1:12" x14ac:dyDescent="0.25">
      <c r="A611">
        <v>610</v>
      </c>
      <c r="B611">
        <v>36</v>
      </c>
      <c r="C611" t="s">
        <v>26</v>
      </c>
      <c r="D611" s="1">
        <v>45618</v>
      </c>
      <c r="E611" s="1">
        <v>45619</v>
      </c>
      <c r="F611" t="s">
        <v>18</v>
      </c>
      <c r="G611" t="s">
        <v>14</v>
      </c>
      <c r="H611">
        <v>1</v>
      </c>
      <c r="I611" t="s">
        <v>20</v>
      </c>
      <c r="J611">
        <v>3</v>
      </c>
      <c r="K611" t="s">
        <v>16</v>
      </c>
      <c r="L611" t="s">
        <v>29</v>
      </c>
    </row>
    <row r="612" spans="1:12" x14ac:dyDescent="0.25">
      <c r="A612">
        <v>611</v>
      </c>
      <c r="B612">
        <v>23</v>
      </c>
      <c r="C612" t="s">
        <v>12</v>
      </c>
      <c r="D612" s="1">
        <v>45340</v>
      </c>
      <c r="E612" s="1">
        <v>45342</v>
      </c>
      <c r="F612" t="s">
        <v>13</v>
      </c>
      <c r="G612" t="s">
        <v>14</v>
      </c>
      <c r="H612">
        <v>2</v>
      </c>
      <c r="I612" t="s">
        <v>15</v>
      </c>
      <c r="J612">
        <v>0</v>
      </c>
      <c r="K612" t="s">
        <v>24</v>
      </c>
      <c r="L612" t="s">
        <v>30</v>
      </c>
    </row>
    <row r="613" spans="1:12" x14ac:dyDescent="0.25">
      <c r="A613">
        <v>612</v>
      </c>
      <c r="B613">
        <v>78</v>
      </c>
      <c r="C613" t="s">
        <v>12</v>
      </c>
      <c r="D613" s="1">
        <v>45503</v>
      </c>
      <c r="E613" s="1">
        <v>45514</v>
      </c>
      <c r="F613" t="s">
        <v>18</v>
      </c>
      <c r="G613" t="s">
        <v>14</v>
      </c>
      <c r="H613">
        <v>11</v>
      </c>
      <c r="I613" t="s">
        <v>20</v>
      </c>
      <c r="J613">
        <v>1</v>
      </c>
      <c r="K613" t="s">
        <v>16</v>
      </c>
      <c r="L613" t="s">
        <v>22</v>
      </c>
    </row>
    <row r="614" spans="1:12" x14ac:dyDescent="0.25">
      <c r="A614">
        <v>613</v>
      </c>
      <c r="B614">
        <v>85</v>
      </c>
      <c r="C614" t="s">
        <v>26</v>
      </c>
      <c r="D614" s="1">
        <v>45430</v>
      </c>
      <c r="E614" s="1">
        <v>45442</v>
      </c>
      <c r="F614" t="s">
        <v>27</v>
      </c>
      <c r="G614" t="s">
        <v>23</v>
      </c>
      <c r="H614">
        <v>12</v>
      </c>
      <c r="I614" t="s">
        <v>20</v>
      </c>
      <c r="J614">
        <v>2</v>
      </c>
      <c r="K614" t="s">
        <v>16</v>
      </c>
      <c r="L614" t="s">
        <v>17</v>
      </c>
    </row>
    <row r="615" spans="1:12" x14ac:dyDescent="0.25">
      <c r="A615">
        <v>614</v>
      </c>
      <c r="B615">
        <v>71</v>
      </c>
      <c r="C615" t="s">
        <v>26</v>
      </c>
      <c r="D615" s="1">
        <v>45509</v>
      </c>
      <c r="E615" s="1">
        <v>45514</v>
      </c>
      <c r="F615" t="s">
        <v>28</v>
      </c>
      <c r="G615" t="s">
        <v>19</v>
      </c>
      <c r="H615">
        <v>5</v>
      </c>
      <c r="I615" t="s">
        <v>20</v>
      </c>
      <c r="J615">
        <v>3</v>
      </c>
      <c r="K615" t="s">
        <v>21</v>
      </c>
      <c r="L615" t="s">
        <v>22</v>
      </c>
    </row>
    <row r="616" spans="1:12" x14ac:dyDescent="0.25">
      <c r="A616">
        <v>615</v>
      </c>
      <c r="B616">
        <v>63</v>
      </c>
      <c r="C616" t="s">
        <v>26</v>
      </c>
      <c r="D616" s="1">
        <v>45648</v>
      </c>
      <c r="E616" s="1">
        <v>45651</v>
      </c>
      <c r="F616" t="s">
        <v>13</v>
      </c>
      <c r="G616" t="s">
        <v>23</v>
      </c>
      <c r="H616">
        <v>3</v>
      </c>
      <c r="I616" t="s">
        <v>15</v>
      </c>
      <c r="J616">
        <v>4</v>
      </c>
      <c r="K616" t="s">
        <v>21</v>
      </c>
      <c r="L616" t="s">
        <v>30</v>
      </c>
    </row>
    <row r="617" spans="1:12" x14ac:dyDescent="0.25">
      <c r="A617">
        <v>616</v>
      </c>
      <c r="B617">
        <v>48</v>
      </c>
      <c r="C617" t="s">
        <v>26</v>
      </c>
      <c r="D617" s="1">
        <v>45476</v>
      </c>
      <c r="E617" s="1">
        <v>45488</v>
      </c>
      <c r="F617" t="s">
        <v>28</v>
      </c>
      <c r="G617" t="s">
        <v>19</v>
      </c>
      <c r="H617">
        <v>12</v>
      </c>
      <c r="I617" t="s">
        <v>20</v>
      </c>
      <c r="J617">
        <v>3</v>
      </c>
      <c r="K617" t="s">
        <v>21</v>
      </c>
      <c r="L617" t="s">
        <v>22</v>
      </c>
    </row>
    <row r="618" spans="1:12" x14ac:dyDescent="0.25">
      <c r="A618">
        <v>617</v>
      </c>
      <c r="B618">
        <v>26</v>
      </c>
      <c r="C618" t="s">
        <v>26</v>
      </c>
      <c r="D618" s="1">
        <v>45652</v>
      </c>
      <c r="E618" s="1">
        <v>45655</v>
      </c>
      <c r="F618" t="s">
        <v>13</v>
      </c>
      <c r="G618" t="s">
        <v>23</v>
      </c>
      <c r="H618">
        <v>3</v>
      </c>
      <c r="I618" t="s">
        <v>15</v>
      </c>
      <c r="J618">
        <v>4</v>
      </c>
      <c r="K618" t="s">
        <v>24</v>
      </c>
      <c r="L618" t="s">
        <v>22</v>
      </c>
    </row>
    <row r="619" spans="1:12" x14ac:dyDescent="0.25">
      <c r="A619">
        <v>618</v>
      </c>
      <c r="B619">
        <v>87</v>
      </c>
      <c r="C619" t="s">
        <v>12</v>
      </c>
      <c r="D619" s="1">
        <v>45623</v>
      </c>
      <c r="E619" s="1">
        <v>45637</v>
      </c>
      <c r="F619" t="s">
        <v>27</v>
      </c>
      <c r="G619" t="s">
        <v>23</v>
      </c>
      <c r="H619">
        <v>14</v>
      </c>
      <c r="I619" t="s">
        <v>15</v>
      </c>
      <c r="J619">
        <v>1</v>
      </c>
      <c r="K619" t="s">
        <v>16</v>
      </c>
      <c r="L619" t="s">
        <v>17</v>
      </c>
    </row>
    <row r="620" spans="1:12" x14ac:dyDescent="0.25">
      <c r="A620">
        <v>619</v>
      </c>
      <c r="B620">
        <v>42</v>
      </c>
      <c r="C620" t="s">
        <v>26</v>
      </c>
      <c r="D620" s="1">
        <v>45584</v>
      </c>
      <c r="E620" s="1">
        <v>45595</v>
      </c>
      <c r="F620" t="s">
        <v>31</v>
      </c>
      <c r="G620" t="s">
        <v>19</v>
      </c>
      <c r="H620">
        <v>11</v>
      </c>
      <c r="I620" t="s">
        <v>15</v>
      </c>
      <c r="J620">
        <v>4</v>
      </c>
      <c r="K620" t="s">
        <v>24</v>
      </c>
      <c r="L620" t="s">
        <v>30</v>
      </c>
    </row>
    <row r="621" spans="1:12" x14ac:dyDescent="0.25">
      <c r="A621">
        <v>620</v>
      </c>
      <c r="B621">
        <v>73</v>
      </c>
      <c r="C621" t="s">
        <v>12</v>
      </c>
      <c r="D621" s="1">
        <v>45612</v>
      </c>
      <c r="E621" s="1">
        <v>45613</v>
      </c>
      <c r="F621" t="s">
        <v>18</v>
      </c>
      <c r="G621" t="s">
        <v>23</v>
      </c>
      <c r="H621">
        <v>1</v>
      </c>
      <c r="I621" t="s">
        <v>15</v>
      </c>
      <c r="J621">
        <v>3</v>
      </c>
      <c r="K621" t="s">
        <v>21</v>
      </c>
      <c r="L621" t="s">
        <v>22</v>
      </c>
    </row>
    <row r="622" spans="1:12" x14ac:dyDescent="0.25">
      <c r="A622">
        <v>621</v>
      </c>
      <c r="B622">
        <v>70</v>
      </c>
      <c r="C622" t="s">
        <v>26</v>
      </c>
      <c r="D622" s="1">
        <v>45429</v>
      </c>
      <c r="E622" s="1">
        <v>45434</v>
      </c>
      <c r="F622" t="s">
        <v>31</v>
      </c>
      <c r="G622" t="s">
        <v>14</v>
      </c>
      <c r="H622">
        <v>5</v>
      </c>
      <c r="I622" t="s">
        <v>15</v>
      </c>
      <c r="J622">
        <v>0</v>
      </c>
      <c r="K622" t="s">
        <v>24</v>
      </c>
      <c r="L622" t="s">
        <v>25</v>
      </c>
    </row>
    <row r="623" spans="1:12" x14ac:dyDescent="0.25">
      <c r="A623">
        <v>622</v>
      </c>
      <c r="B623">
        <v>29</v>
      </c>
      <c r="C623" t="s">
        <v>12</v>
      </c>
      <c r="D623" s="1">
        <v>45387</v>
      </c>
      <c r="E623" s="1">
        <v>45394</v>
      </c>
      <c r="F623" t="s">
        <v>31</v>
      </c>
      <c r="G623" t="s">
        <v>23</v>
      </c>
      <c r="H623">
        <v>7</v>
      </c>
      <c r="I623" t="s">
        <v>20</v>
      </c>
      <c r="J623">
        <v>4</v>
      </c>
      <c r="K623" t="s">
        <v>21</v>
      </c>
      <c r="L623" t="s">
        <v>17</v>
      </c>
    </row>
    <row r="624" spans="1:12" x14ac:dyDescent="0.25">
      <c r="A624">
        <v>623</v>
      </c>
      <c r="B624">
        <v>21</v>
      </c>
      <c r="C624" t="s">
        <v>12</v>
      </c>
      <c r="D624" s="1">
        <v>45434</v>
      </c>
      <c r="E624" s="1">
        <v>45438</v>
      </c>
      <c r="F624" t="s">
        <v>13</v>
      </c>
      <c r="G624" t="s">
        <v>19</v>
      </c>
      <c r="H624">
        <v>4</v>
      </c>
      <c r="I624" t="s">
        <v>15</v>
      </c>
      <c r="J624">
        <v>0</v>
      </c>
      <c r="K624" t="s">
        <v>24</v>
      </c>
      <c r="L624" t="s">
        <v>30</v>
      </c>
    </row>
    <row r="625" spans="1:12" x14ac:dyDescent="0.25">
      <c r="A625">
        <v>624</v>
      </c>
      <c r="B625">
        <v>21</v>
      </c>
      <c r="C625" t="s">
        <v>12</v>
      </c>
      <c r="D625" s="1">
        <v>45406</v>
      </c>
      <c r="E625" s="1">
        <v>45419</v>
      </c>
      <c r="F625" t="s">
        <v>31</v>
      </c>
      <c r="G625" t="s">
        <v>14</v>
      </c>
      <c r="H625">
        <v>13</v>
      </c>
      <c r="I625" t="s">
        <v>20</v>
      </c>
      <c r="J625">
        <v>0</v>
      </c>
      <c r="K625" t="s">
        <v>16</v>
      </c>
      <c r="L625" t="s">
        <v>17</v>
      </c>
    </row>
    <row r="626" spans="1:12" x14ac:dyDescent="0.25">
      <c r="A626">
        <v>625</v>
      </c>
      <c r="B626">
        <v>59</v>
      </c>
      <c r="C626" t="s">
        <v>26</v>
      </c>
      <c r="D626" s="1">
        <v>45340</v>
      </c>
      <c r="E626" s="1">
        <v>45352</v>
      </c>
      <c r="F626" t="s">
        <v>13</v>
      </c>
      <c r="G626" t="s">
        <v>14</v>
      </c>
      <c r="H626">
        <v>12</v>
      </c>
      <c r="I626" t="s">
        <v>15</v>
      </c>
      <c r="J626">
        <v>0</v>
      </c>
      <c r="K626" t="s">
        <v>24</v>
      </c>
      <c r="L626" t="s">
        <v>29</v>
      </c>
    </row>
    <row r="627" spans="1:12" x14ac:dyDescent="0.25">
      <c r="A627">
        <v>626</v>
      </c>
      <c r="B627">
        <v>20</v>
      </c>
      <c r="C627" t="s">
        <v>12</v>
      </c>
      <c r="D627" s="1">
        <v>45372</v>
      </c>
      <c r="E627" s="1">
        <v>45375</v>
      </c>
      <c r="F627" t="s">
        <v>18</v>
      </c>
      <c r="G627" t="s">
        <v>19</v>
      </c>
      <c r="H627">
        <v>3</v>
      </c>
      <c r="I627" t="s">
        <v>20</v>
      </c>
      <c r="J627">
        <v>2</v>
      </c>
      <c r="K627" t="s">
        <v>21</v>
      </c>
      <c r="L627" t="s">
        <v>17</v>
      </c>
    </row>
    <row r="628" spans="1:12" x14ac:dyDescent="0.25">
      <c r="A628">
        <v>627</v>
      </c>
      <c r="B628">
        <v>65</v>
      </c>
      <c r="C628" t="s">
        <v>26</v>
      </c>
      <c r="D628" s="1">
        <v>45637</v>
      </c>
      <c r="E628" s="1">
        <v>45647</v>
      </c>
      <c r="F628" t="s">
        <v>13</v>
      </c>
      <c r="G628" t="s">
        <v>14</v>
      </c>
      <c r="H628">
        <v>10</v>
      </c>
      <c r="I628" t="s">
        <v>15</v>
      </c>
      <c r="J628">
        <v>4</v>
      </c>
      <c r="K628" t="s">
        <v>21</v>
      </c>
      <c r="L628" t="s">
        <v>29</v>
      </c>
    </row>
    <row r="629" spans="1:12" x14ac:dyDescent="0.25">
      <c r="A629">
        <v>628</v>
      </c>
      <c r="B629">
        <v>51</v>
      </c>
      <c r="C629" t="s">
        <v>26</v>
      </c>
      <c r="D629" s="1">
        <v>45453</v>
      </c>
      <c r="E629" s="1">
        <v>45454</v>
      </c>
      <c r="F629" t="s">
        <v>18</v>
      </c>
      <c r="G629" t="s">
        <v>19</v>
      </c>
      <c r="H629">
        <v>1</v>
      </c>
      <c r="I629" t="s">
        <v>15</v>
      </c>
      <c r="J629">
        <v>1</v>
      </c>
      <c r="K629" t="s">
        <v>24</v>
      </c>
      <c r="L629" t="s">
        <v>22</v>
      </c>
    </row>
    <row r="630" spans="1:12" x14ac:dyDescent="0.25">
      <c r="A630">
        <v>629</v>
      </c>
      <c r="B630">
        <v>25</v>
      </c>
      <c r="C630" t="s">
        <v>12</v>
      </c>
      <c r="D630" s="1">
        <v>45593</v>
      </c>
      <c r="E630" s="1">
        <v>45600</v>
      </c>
      <c r="F630" t="s">
        <v>13</v>
      </c>
      <c r="G630" t="s">
        <v>23</v>
      </c>
      <c r="H630">
        <v>7</v>
      </c>
      <c r="I630" t="s">
        <v>15</v>
      </c>
      <c r="J630">
        <v>0</v>
      </c>
      <c r="K630" t="s">
        <v>21</v>
      </c>
      <c r="L630" t="s">
        <v>29</v>
      </c>
    </row>
    <row r="631" spans="1:12" x14ac:dyDescent="0.25">
      <c r="A631">
        <v>630</v>
      </c>
      <c r="B631">
        <v>65</v>
      </c>
      <c r="C631" t="s">
        <v>12</v>
      </c>
      <c r="D631" s="1">
        <v>45395</v>
      </c>
      <c r="E631" s="1">
        <v>45409</v>
      </c>
      <c r="F631" t="s">
        <v>31</v>
      </c>
      <c r="G631" t="s">
        <v>19</v>
      </c>
      <c r="H631">
        <v>14</v>
      </c>
      <c r="I631" t="s">
        <v>15</v>
      </c>
      <c r="J631">
        <v>0</v>
      </c>
      <c r="K631" t="s">
        <v>21</v>
      </c>
      <c r="L631" t="s">
        <v>30</v>
      </c>
    </row>
    <row r="632" spans="1:12" x14ac:dyDescent="0.25">
      <c r="A632">
        <v>631</v>
      </c>
      <c r="B632">
        <v>34</v>
      </c>
      <c r="C632" t="s">
        <v>12</v>
      </c>
      <c r="D632" s="1">
        <v>45356</v>
      </c>
      <c r="E632" s="1">
        <v>45359</v>
      </c>
      <c r="F632" t="s">
        <v>18</v>
      </c>
      <c r="G632" t="s">
        <v>14</v>
      </c>
      <c r="H632">
        <v>3</v>
      </c>
      <c r="I632" t="s">
        <v>20</v>
      </c>
      <c r="J632">
        <v>3</v>
      </c>
      <c r="K632" t="s">
        <v>24</v>
      </c>
      <c r="L632" t="s">
        <v>30</v>
      </c>
    </row>
    <row r="633" spans="1:12" x14ac:dyDescent="0.25">
      <c r="A633">
        <v>632</v>
      </c>
      <c r="B633">
        <v>90</v>
      </c>
      <c r="C633" t="s">
        <v>26</v>
      </c>
      <c r="D633" s="1">
        <v>45550</v>
      </c>
      <c r="E633" s="1">
        <v>45563</v>
      </c>
      <c r="F633" t="s">
        <v>13</v>
      </c>
      <c r="G633" t="s">
        <v>23</v>
      </c>
      <c r="H633">
        <v>13</v>
      </c>
      <c r="I633" t="s">
        <v>15</v>
      </c>
      <c r="J633">
        <v>2</v>
      </c>
      <c r="K633" t="s">
        <v>21</v>
      </c>
      <c r="L633" t="s">
        <v>17</v>
      </c>
    </row>
    <row r="634" spans="1:12" x14ac:dyDescent="0.25">
      <c r="A634">
        <v>633</v>
      </c>
      <c r="B634">
        <v>87</v>
      </c>
      <c r="C634" t="s">
        <v>12</v>
      </c>
      <c r="D634" s="1">
        <v>45332</v>
      </c>
      <c r="E634" s="1">
        <v>45345</v>
      </c>
      <c r="F634" t="s">
        <v>27</v>
      </c>
      <c r="G634" t="s">
        <v>19</v>
      </c>
      <c r="H634">
        <v>13</v>
      </c>
      <c r="I634" t="s">
        <v>15</v>
      </c>
      <c r="J634">
        <v>3</v>
      </c>
      <c r="K634" t="s">
        <v>21</v>
      </c>
      <c r="L634" t="s">
        <v>25</v>
      </c>
    </row>
    <row r="635" spans="1:12" x14ac:dyDescent="0.25">
      <c r="A635">
        <v>634</v>
      </c>
      <c r="B635">
        <v>89</v>
      </c>
      <c r="C635" t="s">
        <v>26</v>
      </c>
      <c r="D635" s="1">
        <v>45565</v>
      </c>
      <c r="E635" s="1">
        <v>45576</v>
      </c>
      <c r="F635" t="s">
        <v>27</v>
      </c>
      <c r="G635" t="s">
        <v>14</v>
      </c>
      <c r="H635">
        <v>11</v>
      </c>
      <c r="I635" t="s">
        <v>15</v>
      </c>
      <c r="J635">
        <v>0</v>
      </c>
      <c r="K635" t="s">
        <v>16</v>
      </c>
      <c r="L635" t="s">
        <v>22</v>
      </c>
    </row>
    <row r="636" spans="1:12" x14ac:dyDescent="0.25">
      <c r="A636">
        <v>635</v>
      </c>
      <c r="B636">
        <v>39</v>
      </c>
      <c r="C636" t="s">
        <v>26</v>
      </c>
      <c r="D636" s="1">
        <v>45594</v>
      </c>
      <c r="E636" s="1">
        <v>45605</v>
      </c>
      <c r="F636" t="s">
        <v>13</v>
      </c>
      <c r="G636" t="s">
        <v>23</v>
      </c>
      <c r="H636">
        <v>11</v>
      </c>
      <c r="I636" t="s">
        <v>15</v>
      </c>
      <c r="J636">
        <v>4</v>
      </c>
      <c r="K636" t="s">
        <v>21</v>
      </c>
      <c r="L636" t="s">
        <v>17</v>
      </c>
    </row>
    <row r="637" spans="1:12" x14ac:dyDescent="0.25">
      <c r="A637">
        <v>636</v>
      </c>
      <c r="B637">
        <v>56</v>
      </c>
      <c r="C637" t="s">
        <v>26</v>
      </c>
      <c r="D637" s="1">
        <v>45464</v>
      </c>
      <c r="E637" s="1">
        <v>45474</v>
      </c>
      <c r="F637" t="s">
        <v>27</v>
      </c>
      <c r="G637" t="s">
        <v>14</v>
      </c>
      <c r="H637">
        <v>10</v>
      </c>
      <c r="I637" t="s">
        <v>15</v>
      </c>
      <c r="J637">
        <v>2</v>
      </c>
      <c r="K637" t="s">
        <v>16</v>
      </c>
      <c r="L637" t="s">
        <v>30</v>
      </c>
    </row>
    <row r="638" spans="1:12" x14ac:dyDescent="0.25">
      <c r="A638">
        <v>637</v>
      </c>
      <c r="B638">
        <v>55</v>
      </c>
      <c r="C638" t="s">
        <v>26</v>
      </c>
      <c r="D638" s="1">
        <v>45442</v>
      </c>
      <c r="E638" s="1">
        <v>45447</v>
      </c>
      <c r="F638" t="s">
        <v>31</v>
      </c>
      <c r="G638" t="s">
        <v>14</v>
      </c>
      <c r="H638">
        <v>5</v>
      </c>
      <c r="I638" t="s">
        <v>20</v>
      </c>
      <c r="J638">
        <v>4</v>
      </c>
      <c r="K638" t="s">
        <v>24</v>
      </c>
      <c r="L638" t="s">
        <v>17</v>
      </c>
    </row>
    <row r="639" spans="1:12" x14ac:dyDescent="0.25">
      <c r="A639">
        <v>638</v>
      </c>
      <c r="B639">
        <v>78</v>
      </c>
      <c r="C639" t="s">
        <v>12</v>
      </c>
      <c r="D639" s="1">
        <v>45585</v>
      </c>
      <c r="E639" s="1">
        <v>45590</v>
      </c>
      <c r="F639" t="s">
        <v>13</v>
      </c>
      <c r="G639" t="s">
        <v>19</v>
      </c>
      <c r="H639">
        <v>5</v>
      </c>
      <c r="I639" t="s">
        <v>20</v>
      </c>
      <c r="J639">
        <v>2</v>
      </c>
      <c r="K639" t="s">
        <v>21</v>
      </c>
      <c r="L639" t="s">
        <v>29</v>
      </c>
    </row>
    <row r="640" spans="1:12" x14ac:dyDescent="0.25">
      <c r="A640">
        <v>639</v>
      </c>
      <c r="B640">
        <v>70</v>
      </c>
      <c r="C640" t="s">
        <v>12</v>
      </c>
      <c r="D640" s="1">
        <v>45388</v>
      </c>
      <c r="E640" s="1">
        <v>45389</v>
      </c>
      <c r="F640" t="s">
        <v>18</v>
      </c>
      <c r="G640" t="s">
        <v>23</v>
      </c>
      <c r="H640">
        <v>1</v>
      </c>
      <c r="I640" t="s">
        <v>15</v>
      </c>
      <c r="J640">
        <v>3</v>
      </c>
      <c r="K640" t="s">
        <v>24</v>
      </c>
      <c r="L640" t="s">
        <v>22</v>
      </c>
    </row>
    <row r="641" spans="1:12" x14ac:dyDescent="0.25">
      <c r="A641">
        <v>640</v>
      </c>
      <c r="B641">
        <v>55</v>
      </c>
      <c r="C641" t="s">
        <v>26</v>
      </c>
      <c r="D641" s="1">
        <v>45583</v>
      </c>
      <c r="E641" s="1">
        <v>45594</v>
      </c>
      <c r="F641" t="s">
        <v>13</v>
      </c>
      <c r="G641" t="s">
        <v>14</v>
      </c>
      <c r="H641">
        <v>11</v>
      </c>
      <c r="I641" t="s">
        <v>15</v>
      </c>
      <c r="J641">
        <v>1</v>
      </c>
      <c r="K641" t="s">
        <v>21</v>
      </c>
      <c r="L641" t="s">
        <v>17</v>
      </c>
    </row>
    <row r="642" spans="1:12" x14ac:dyDescent="0.25">
      <c r="A642">
        <v>641</v>
      </c>
      <c r="B642">
        <v>65</v>
      </c>
      <c r="C642" t="s">
        <v>26</v>
      </c>
      <c r="D642" s="1">
        <v>45426</v>
      </c>
      <c r="E642" s="1">
        <v>45437</v>
      </c>
      <c r="F642" t="s">
        <v>28</v>
      </c>
      <c r="G642" t="s">
        <v>23</v>
      </c>
      <c r="H642">
        <v>11</v>
      </c>
      <c r="I642" t="s">
        <v>20</v>
      </c>
      <c r="J642">
        <v>2</v>
      </c>
      <c r="K642" t="s">
        <v>21</v>
      </c>
      <c r="L642" t="s">
        <v>25</v>
      </c>
    </row>
    <row r="643" spans="1:12" x14ac:dyDescent="0.25">
      <c r="A643">
        <v>642</v>
      </c>
      <c r="B643">
        <v>54</v>
      </c>
      <c r="C643" t="s">
        <v>26</v>
      </c>
      <c r="D643" s="1">
        <v>45345</v>
      </c>
      <c r="E643" s="1">
        <v>45347</v>
      </c>
      <c r="F643" t="s">
        <v>18</v>
      </c>
      <c r="G643" t="s">
        <v>14</v>
      </c>
      <c r="H643">
        <v>2</v>
      </c>
      <c r="I643" t="s">
        <v>15</v>
      </c>
      <c r="J643">
        <v>3</v>
      </c>
      <c r="K643" t="s">
        <v>16</v>
      </c>
      <c r="L643" t="s">
        <v>30</v>
      </c>
    </row>
    <row r="644" spans="1:12" x14ac:dyDescent="0.25">
      <c r="A644">
        <v>643</v>
      </c>
      <c r="B644">
        <v>67</v>
      </c>
      <c r="C644" t="s">
        <v>12</v>
      </c>
      <c r="D644" s="1">
        <v>45445</v>
      </c>
      <c r="E644" s="1">
        <v>45448</v>
      </c>
      <c r="F644" t="s">
        <v>18</v>
      </c>
      <c r="G644" t="s">
        <v>19</v>
      </c>
      <c r="H644">
        <v>3</v>
      </c>
      <c r="I644" t="s">
        <v>15</v>
      </c>
      <c r="J644">
        <v>1</v>
      </c>
      <c r="K644" t="s">
        <v>16</v>
      </c>
      <c r="L644" t="s">
        <v>25</v>
      </c>
    </row>
    <row r="645" spans="1:12" x14ac:dyDescent="0.25">
      <c r="A645">
        <v>644</v>
      </c>
      <c r="B645">
        <v>78</v>
      </c>
      <c r="C645" t="s">
        <v>26</v>
      </c>
      <c r="D645" s="1">
        <v>45575</v>
      </c>
      <c r="E645" s="1">
        <v>45590</v>
      </c>
      <c r="F645" t="s">
        <v>13</v>
      </c>
      <c r="G645" t="s">
        <v>23</v>
      </c>
      <c r="H645">
        <v>15</v>
      </c>
      <c r="I645" t="s">
        <v>15</v>
      </c>
      <c r="J645">
        <v>3</v>
      </c>
      <c r="K645" t="s">
        <v>24</v>
      </c>
      <c r="L645" t="s">
        <v>30</v>
      </c>
    </row>
    <row r="646" spans="1:12" x14ac:dyDescent="0.25">
      <c r="A646">
        <v>645</v>
      </c>
      <c r="B646">
        <v>69</v>
      </c>
      <c r="C646" t="s">
        <v>12</v>
      </c>
      <c r="D646" s="1">
        <v>45293</v>
      </c>
      <c r="E646" s="1">
        <v>45306</v>
      </c>
      <c r="F646" t="s">
        <v>18</v>
      </c>
      <c r="G646" t="s">
        <v>23</v>
      </c>
      <c r="H646">
        <v>13</v>
      </c>
      <c r="I646" t="s">
        <v>20</v>
      </c>
      <c r="J646">
        <v>4</v>
      </c>
      <c r="K646" t="s">
        <v>24</v>
      </c>
      <c r="L646" t="s">
        <v>17</v>
      </c>
    </row>
    <row r="647" spans="1:12" x14ac:dyDescent="0.25">
      <c r="A647">
        <v>646</v>
      </c>
      <c r="B647">
        <v>29</v>
      </c>
      <c r="C647" t="s">
        <v>12</v>
      </c>
      <c r="D647" s="1">
        <v>45489</v>
      </c>
      <c r="E647" s="1">
        <v>45496</v>
      </c>
      <c r="F647" t="s">
        <v>13</v>
      </c>
      <c r="G647" t="s">
        <v>19</v>
      </c>
      <c r="H647">
        <v>7</v>
      </c>
      <c r="I647" t="s">
        <v>15</v>
      </c>
      <c r="J647">
        <v>1</v>
      </c>
      <c r="K647" t="s">
        <v>21</v>
      </c>
      <c r="L647" t="s">
        <v>30</v>
      </c>
    </row>
    <row r="648" spans="1:12" x14ac:dyDescent="0.25">
      <c r="A648">
        <v>647</v>
      </c>
      <c r="B648">
        <v>25</v>
      </c>
      <c r="C648" t="s">
        <v>26</v>
      </c>
      <c r="D648" s="1">
        <v>45487</v>
      </c>
      <c r="E648" s="1">
        <v>45496</v>
      </c>
      <c r="F648" t="s">
        <v>18</v>
      </c>
      <c r="G648" t="s">
        <v>19</v>
      </c>
      <c r="H648">
        <v>9</v>
      </c>
      <c r="I648" t="s">
        <v>15</v>
      </c>
      <c r="J648">
        <v>2</v>
      </c>
      <c r="K648" t="s">
        <v>24</v>
      </c>
      <c r="L648" t="s">
        <v>25</v>
      </c>
    </row>
    <row r="649" spans="1:12" x14ac:dyDescent="0.25">
      <c r="A649">
        <v>648</v>
      </c>
      <c r="B649">
        <v>89</v>
      </c>
      <c r="C649" t="s">
        <v>12</v>
      </c>
      <c r="D649" s="1">
        <v>45560</v>
      </c>
      <c r="E649" s="1">
        <v>45571</v>
      </c>
      <c r="F649" t="s">
        <v>18</v>
      </c>
      <c r="G649" t="s">
        <v>19</v>
      </c>
      <c r="H649">
        <v>11</v>
      </c>
      <c r="I649" t="s">
        <v>20</v>
      </c>
      <c r="J649">
        <v>2</v>
      </c>
      <c r="K649" t="s">
        <v>16</v>
      </c>
      <c r="L649" t="s">
        <v>30</v>
      </c>
    </row>
    <row r="650" spans="1:12" x14ac:dyDescent="0.25">
      <c r="A650">
        <v>649</v>
      </c>
      <c r="B650">
        <v>44</v>
      </c>
      <c r="C650" t="s">
        <v>12</v>
      </c>
      <c r="D650" s="1">
        <v>45414</v>
      </c>
      <c r="E650" s="1">
        <v>45425</v>
      </c>
      <c r="F650" t="s">
        <v>31</v>
      </c>
      <c r="G650" t="s">
        <v>14</v>
      </c>
      <c r="H650">
        <v>11</v>
      </c>
      <c r="I650" t="s">
        <v>20</v>
      </c>
      <c r="J650">
        <v>4</v>
      </c>
      <c r="K650" t="s">
        <v>16</v>
      </c>
      <c r="L650" t="s">
        <v>30</v>
      </c>
    </row>
    <row r="651" spans="1:12" x14ac:dyDescent="0.25">
      <c r="A651">
        <v>650</v>
      </c>
      <c r="B651">
        <v>22</v>
      </c>
      <c r="C651" t="s">
        <v>12</v>
      </c>
      <c r="D651" s="1">
        <v>45316</v>
      </c>
      <c r="E651" s="1">
        <v>45326</v>
      </c>
      <c r="F651" t="s">
        <v>28</v>
      </c>
      <c r="G651" t="s">
        <v>23</v>
      </c>
      <c r="H651">
        <v>10</v>
      </c>
      <c r="I651" t="s">
        <v>15</v>
      </c>
      <c r="J651">
        <v>0</v>
      </c>
      <c r="K651" t="s">
        <v>16</v>
      </c>
      <c r="L651" t="s">
        <v>25</v>
      </c>
    </row>
    <row r="652" spans="1:12" x14ac:dyDescent="0.25">
      <c r="A652">
        <v>651</v>
      </c>
      <c r="B652">
        <v>37</v>
      </c>
      <c r="C652" t="s">
        <v>26</v>
      </c>
      <c r="D652" s="1">
        <v>45545</v>
      </c>
      <c r="E652" s="1">
        <v>45553</v>
      </c>
      <c r="F652" t="s">
        <v>28</v>
      </c>
      <c r="G652" t="s">
        <v>14</v>
      </c>
      <c r="H652">
        <v>8</v>
      </c>
      <c r="I652" t="s">
        <v>15</v>
      </c>
      <c r="J652">
        <v>3</v>
      </c>
      <c r="K652" t="s">
        <v>21</v>
      </c>
      <c r="L652" t="s">
        <v>30</v>
      </c>
    </row>
    <row r="653" spans="1:12" x14ac:dyDescent="0.25">
      <c r="A653">
        <v>652</v>
      </c>
      <c r="B653">
        <v>55</v>
      </c>
      <c r="C653" t="s">
        <v>26</v>
      </c>
      <c r="D653" s="1">
        <v>45397</v>
      </c>
      <c r="E653" s="1">
        <v>45401</v>
      </c>
      <c r="F653" t="s">
        <v>13</v>
      </c>
      <c r="G653" t="s">
        <v>23</v>
      </c>
      <c r="H653">
        <v>4</v>
      </c>
      <c r="I653" t="s">
        <v>15</v>
      </c>
      <c r="J653">
        <v>0</v>
      </c>
      <c r="K653" t="s">
        <v>24</v>
      </c>
      <c r="L653" t="s">
        <v>25</v>
      </c>
    </row>
    <row r="654" spans="1:12" x14ac:dyDescent="0.25">
      <c r="A654">
        <v>653</v>
      </c>
      <c r="B654">
        <v>66</v>
      </c>
      <c r="C654" t="s">
        <v>12</v>
      </c>
      <c r="D654" s="1">
        <v>45440</v>
      </c>
      <c r="E654" s="1">
        <v>45452</v>
      </c>
      <c r="F654" t="s">
        <v>27</v>
      </c>
      <c r="G654" t="s">
        <v>14</v>
      </c>
      <c r="H654">
        <v>12</v>
      </c>
      <c r="I654" t="s">
        <v>15</v>
      </c>
      <c r="J654">
        <v>3</v>
      </c>
      <c r="K654" t="s">
        <v>21</v>
      </c>
      <c r="L654" t="s">
        <v>29</v>
      </c>
    </row>
    <row r="655" spans="1:12" x14ac:dyDescent="0.25">
      <c r="A655">
        <v>654</v>
      </c>
      <c r="B655">
        <v>72</v>
      </c>
      <c r="C655" t="s">
        <v>26</v>
      </c>
      <c r="D655" s="1">
        <v>45432</v>
      </c>
      <c r="E655" s="1">
        <v>45438</v>
      </c>
      <c r="F655" t="s">
        <v>13</v>
      </c>
      <c r="G655" t="s">
        <v>23</v>
      </c>
      <c r="H655">
        <v>6</v>
      </c>
      <c r="I655" t="s">
        <v>20</v>
      </c>
      <c r="J655">
        <v>4</v>
      </c>
      <c r="K655" t="s">
        <v>21</v>
      </c>
      <c r="L655" t="s">
        <v>30</v>
      </c>
    </row>
    <row r="656" spans="1:12" x14ac:dyDescent="0.25">
      <c r="A656">
        <v>655</v>
      </c>
      <c r="B656">
        <v>37</v>
      </c>
      <c r="C656" t="s">
        <v>12</v>
      </c>
      <c r="D656" s="1">
        <v>45300</v>
      </c>
      <c r="E656" s="1">
        <v>45308</v>
      </c>
      <c r="F656" t="s">
        <v>18</v>
      </c>
      <c r="G656" t="s">
        <v>23</v>
      </c>
      <c r="H656">
        <v>8</v>
      </c>
      <c r="I656" t="s">
        <v>15</v>
      </c>
      <c r="J656">
        <v>4</v>
      </c>
      <c r="K656" t="s">
        <v>24</v>
      </c>
      <c r="L656" t="s">
        <v>25</v>
      </c>
    </row>
    <row r="657" spans="1:12" x14ac:dyDescent="0.25">
      <c r="A657">
        <v>656</v>
      </c>
      <c r="B657">
        <v>31</v>
      </c>
      <c r="C657" t="s">
        <v>12</v>
      </c>
      <c r="D657" s="1">
        <v>45604</v>
      </c>
      <c r="E657" s="1">
        <v>45611</v>
      </c>
      <c r="F657" t="s">
        <v>18</v>
      </c>
      <c r="G657" t="s">
        <v>19</v>
      </c>
      <c r="H657">
        <v>7</v>
      </c>
      <c r="I657" t="s">
        <v>15</v>
      </c>
      <c r="J657">
        <v>2</v>
      </c>
      <c r="K657" t="s">
        <v>16</v>
      </c>
      <c r="L657" t="s">
        <v>29</v>
      </c>
    </row>
    <row r="658" spans="1:12" x14ac:dyDescent="0.25">
      <c r="A658">
        <v>657</v>
      </c>
      <c r="B658">
        <v>35</v>
      </c>
      <c r="C658" t="s">
        <v>26</v>
      </c>
      <c r="D658" s="1">
        <v>45597</v>
      </c>
      <c r="E658" s="1">
        <v>45601</v>
      </c>
      <c r="F658" t="s">
        <v>18</v>
      </c>
      <c r="G658" t="s">
        <v>19</v>
      </c>
      <c r="H658">
        <v>4</v>
      </c>
      <c r="I658" t="s">
        <v>20</v>
      </c>
      <c r="J658">
        <v>4</v>
      </c>
      <c r="K658" t="s">
        <v>16</v>
      </c>
      <c r="L658" t="s">
        <v>29</v>
      </c>
    </row>
    <row r="659" spans="1:12" x14ac:dyDescent="0.25">
      <c r="A659">
        <v>658</v>
      </c>
      <c r="B659">
        <v>50</v>
      </c>
      <c r="C659" t="s">
        <v>26</v>
      </c>
      <c r="D659" s="1">
        <v>45380</v>
      </c>
      <c r="E659" s="1">
        <v>45392</v>
      </c>
      <c r="F659" t="s">
        <v>18</v>
      </c>
      <c r="G659" t="s">
        <v>14</v>
      </c>
      <c r="H659">
        <v>12</v>
      </c>
      <c r="I659" t="s">
        <v>15</v>
      </c>
      <c r="J659">
        <v>2</v>
      </c>
      <c r="K659" t="s">
        <v>21</v>
      </c>
      <c r="L659" t="s">
        <v>29</v>
      </c>
    </row>
    <row r="660" spans="1:12" x14ac:dyDescent="0.25">
      <c r="A660">
        <v>659</v>
      </c>
      <c r="B660">
        <v>42</v>
      </c>
      <c r="C660" t="s">
        <v>12</v>
      </c>
      <c r="D660" s="1">
        <v>45382</v>
      </c>
      <c r="E660" s="1">
        <v>45387</v>
      </c>
      <c r="F660" t="s">
        <v>13</v>
      </c>
      <c r="G660" t="s">
        <v>19</v>
      </c>
      <c r="H660">
        <v>5</v>
      </c>
      <c r="I660" t="s">
        <v>15</v>
      </c>
      <c r="J660">
        <v>4</v>
      </c>
      <c r="K660" t="s">
        <v>16</v>
      </c>
      <c r="L660" t="s">
        <v>17</v>
      </c>
    </row>
    <row r="661" spans="1:12" x14ac:dyDescent="0.25">
      <c r="A661">
        <v>660</v>
      </c>
      <c r="B661">
        <v>46</v>
      </c>
      <c r="C661" t="s">
        <v>26</v>
      </c>
      <c r="D661" s="1">
        <v>45561</v>
      </c>
      <c r="E661" s="1">
        <v>45562</v>
      </c>
      <c r="F661" t="s">
        <v>13</v>
      </c>
      <c r="G661" t="s">
        <v>23</v>
      </c>
      <c r="H661">
        <v>1</v>
      </c>
      <c r="I661" t="s">
        <v>15</v>
      </c>
      <c r="J661">
        <v>2</v>
      </c>
      <c r="K661" t="s">
        <v>24</v>
      </c>
      <c r="L661" t="s">
        <v>29</v>
      </c>
    </row>
    <row r="662" spans="1:12" x14ac:dyDescent="0.25">
      <c r="A662">
        <v>661</v>
      </c>
      <c r="B662">
        <v>46</v>
      </c>
      <c r="C662" t="s">
        <v>26</v>
      </c>
      <c r="D662" s="1">
        <v>45345</v>
      </c>
      <c r="E662" s="1">
        <v>45356</v>
      </c>
      <c r="F662" t="s">
        <v>28</v>
      </c>
      <c r="G662" t="s">
        <v>14</v>
      </c>
      <c r="H662">
        <v>11</v>
      </c>
      <c r="I662" t="s">
        <v>20</v>
      </c>
      <c r="J662">
        <v>1</v>
      </c>
      <c r="K662" t="s">
        <v>24</v>
      </c>
      <c r="L662" t="s">
        <v>22</v>
      </c>
    </row>
    <row r="663" spans="1:12" x14ac:dyDescent="0.25">
      <c r="A663">
        <v>662</v>
      </c>
      <c r="B663">
        <v>79</v>
      </c>
      <c r="C663" t="s">
        <v>26</v>
      </c>
      <c r="D663" s="1">
        <v>45440</v>
      </c>
      <c r="E663" s="1">
        <v>45448</v>
      </c>
      <c r="F663" t="s">
        <v>18</v>
      </c>
      <c r="G663" t="s">
        <v>23</v>
      </c>
      <c r="H663">
        <v>8</v>
      </c>
      <c r="I663" t="s">
        <v>20</v>
      </c>
      <c r="J663">
        <v>2</v>
      </c>
      <c r="K663" t="s">
        <v>24</v>
      </c>
      <c r="L663" t="s">
        <v>22</v>
      </c>
    </row>
    <row r="664" spans="1:12" x14ac:dyDescent="0.25">
      <c r="A664">
        <v>663</v>
      </c>
      <c r="B664">
        <v>38</v>
      </c>
      <c r="C664" t="s">
        <v>26</v>
      </c>
      <c r="D664" s="1">
        <v>45470</v>
      </c>
      <c r="E664" s="1">
        <v>45485</v>
      </c>
      <c r="F664" t="s">
        <v>27</v>
      </c>
      <c r="G664" t="s">
        <v>23</v>
      </c>
      <c r="H664">
        <v>15</v>
      </c>
      <c r="I664" t="s">
        <v>15</v>
      </c>
      <c r="J664">
        <v>1</v>
      </c>
      <c r="K664" t="s">
        <v>24</v>
      </c>
      <c r="L664" t="s">
        <v>30</v>
      </c>
    </row>
    <row r="665" spans="1:12" x14ac:dyDescent="0.25">
      <c r="A665">
        <v>664</v>
      </c>
      <c r="B665">
        <v>30</v>
      </c>
      <c r="C665" t="s">
        <v>12</v>
      </c>
      <c r="D665" s="1">
        <v>45428</v>
      </c>
      <c r="E665" s="1">
        <v>45440</v>
      </c>
      <c r="F665" t="s">
        <v>28</v>
      </c>
      <c r="G665" t="s">
        <v>14</v>
      </c>
      <c r="H665">
        <v>12</v>
      </c>
      <c r="I665" t="s">
        <v>20</v>
      </c>
      <c r="J665">
        <v>1</v>
      </c>
      <c r="K665" t="s">
        <v>24</v>
      </c>
      <c r="L665" t="s">
        <v>17</v>
      </c>
    </row>
    <row r="666" spans="1:12" x14ac:dyDescent="0.25">
      <c r="A666">
        <v>665</v>
      </c>
      <c r="B666">
        <v>34</v>
      </c>
      <c r="C666" t="s">
        <v>12</v>
      </c>
      <c r="D666" s="1">
        <v>45394</v>
      </c>
      <c r="E666" s="1">
        <v>45403</v>
      </c>
      <c r="F666" t="s">
        <v>27</v>
      </c>
      <c r="G666" t="s">
        <v>23</v>
      </c>
      <c r="H666">
        <v>9</v>
      </c>
      <c r="I666" t="s">
        <v>15</v>
      </c>
      <c r="J666">
        <v>2</v>
      </c>
      <c r="K666" t="s">
        <v>24</v>
      </c>
      <c r="L666" t="s">
        <v>30</v>
      </c>
    </row>
    <row r="667" spans="1:12" x14ac:dyDescent="0.25">
      <c r="A667">
        <v>666</v>
      </c>
      <c r="B667">
        <v>52</v>
      </c>
      <c r="C667" t="s">
        <v>12</v>
      </c>
      <c r="D667" s="1">
        <v>45414</v>
      </c>
      <c r="E667" s="1">
        <v>45427</v>
      </c>
      <c r="F667" t="s">
        <v>28</v>
      </c>
      <c r="G667" t="s">
        <v>23</v>
      </c>
      <c r="H667">
        <v>13</v>
      </c>
      <c r="I667" t="s">
        <v>20</v>
      </c>
      <c r="J667">
        <v>3</v>
      </c>
      <c r="K667" t="s">
        <v>16</v>
      </c>
      <c r="L667" t="s">
        <v>25</v>
      </c>
    </row>
    <row r="668" spans="1:12" x14ac:dyDescent="0.25">
      <c r="A668">
        <v>667</v>
      </c>
      <c r="B668">
        <v>72</v>
      </c>
      <c r="C668" t="s">
        <v>12</v>
      </c>
      <c r="D668" s="1">
        <v>45527</v>
      </c>
      <c r="E668" s="1">
        <v>45537</v>
      </c>
      <c r="F668" t="s">
        <v>27</v>
      </c>
      <c r="G668" t="s">
        <v>14</v>
      </c>
      <c r="H668">
        <v>10</v>
      </c>
      <c r="I668" t="s">
        <v>20</v>
      </c>
      <c r="J668">
        <v>2</v>
      </c>
      <c r="K668" t="s">
        <v>16</v>
      </c>
      <c r="L668" t="s">
        <v>30</v>
      </c>
    </row>
    <row r="669" spans="1:12" x14ac:dyDescent="0.25">
      <c r="A669">
        <v>668</v>
      </c>
      <c r="B669">
        <v>31</v>
      </c>
      <c r="C669" t="s">
        <v>26</v>
      </c>
      <c r="D669" s="1">
        <v>45429</v>
      </c>
      <c r="E669" s="1">
        <v>45431</v>
      </c>
      <c r="F669" t="s">
        <v>28</v>
      </c>
      <c r="G669" t="s">
        <v>14</v>
      </c>
      <c r="H669">
        <v>2</v>
      </c>
      <c r="I669" t="s">
        <v>15</v>
      </c>
      <c r="J669">
        <v>4</v>
      </c>
      <c r="K669" t="s">
        <v>21</v>
      </c>
      <c r="L669" t="s">
        <v>22</v>
      </c>
    </row>
    <row r="670" spans="1:12" x14ac:dyDescent="0.25">
      <c r="A670">
        <v>669</v>
      </c>
      <c r="B670">
        <v>37</v>
      </c>
      <c r="C670" t="s">
        <v>26</v>
      </c>
      <c r="D670" s="1">
        <v>45655</v>
      </c>
      <c r="E670" s="1">
        <v>45665</v>
      </c>
      <c r="F670" t="s">
        <v>31</v>
      </c>
      <c r="G670" t="s">
        <v>23</v>
      </c>
      <c r="H670">
        <v>10</v>
      </c>
      <c r="I670" t="s">
        <v>15</v>
      </c>
      <c r="J670">
        <v>3</v>
      </c>
      <c r="K670" t="s">
        <v>16</v>
      </c>
      <c r="L670" t="s">
        <v>22</v>
      </c>
    </row>
    <row r="671" spans="1:12" x14ac:dyDescent="0.25">
      <c r="A671">
        <v>670</v>
      </c>
      <c r="B671">
        <v>37</v>
      </c>
      <c r="C671" t="s">
        <v>12</v>
      </c>
      <c r="D671" s="1">
        <v>45549</v>
      </c>
      <c r="E671" s="1">
        <v>45550</v>
      </c>
      <c r="F671" t="s">
        <v>27</v>
      </c>
      <c r="G671" t="s">
        <v>23</v>
      </c>
      <c r="H671">
        <v>1</v>
      </c>
      <c r="I671" t="s">
        <v>15</v>
      </c>
      <c r="J671">
        <v>4</v>
      </c>
      <c r="K671" t="s">
        <v>24</v>
      </c>
      <c r="L671" t="s">
        <v>30</v>
      </c>
    </row>
    <row r="672" spans="1:12" x14ac:dyDescent="0.25">
      <c r="A672">
        <v>671</v>
      </c>
      <c r="B672">
        <v>68</v>
      </c>
      <c r="C672" t="s">
        <v>26</v>
      </c>
      <c r="D672" s="1">
        <v>45639</v>
      </c>
      <c r="E672" s="1">
        <v>45645</v>
      </c>
      <c r="F672" t="s">
        <v>31</v>
      </c>
      <c r="G672" t="s">
        <v>23</v>
      </c>
      <c r="H672">
        <v>6</v>
      </c>
      <c r="I672" t="s">
        <v>15</v>
      </c>
      <c r="J672">
        <v>4</v>
      </c>
      <c r="K672" t="s">
        <v>16</v>
      </c>
      <c r="L672" t="s">
        <v>30</v>
      </c>
    </row>
    <row r="673" spans="1:12" x14ac:dyDescent="0.25">
      <c r="A673">
        <v>672</v>
      </c>
      <c r="B673">
        <v>68</v>
      </c>
      <c r="C673" t="s">
        <v>26</v>
      </c>
      <c r="D673" s="1">
        <v>45480</v>
      </c>
      <c r="E673" s="1">
        <v>45493</v>
      </c>
      <c r="F673" t="s">
        <v>18</v>
      </c>
      <c r="G673" t="s">
        <v>23</v>
      </c>
      <c r="H673">
        <v>13</v>
      </c>
      <c r="I673" t="s">
        <v>15</v>
      </c>
      <c r="J673">
        <v>1</v>
      </c>
      <c r="K673" t="s">
        <v>21</v>
      </c>
      <c r="L673" t="s">
        <v>22</v>
      </c>
    </row>
    <row r="674" spans="1:12" x14ac:dyDescent="0.25">
      <c r="A674">
        <v>673</v>
      </c>
      <c r="B674">
        <v>88</v>
      </c>
      <c r="C674" t="s">
        <v>26</v>
      </c>
      <c r="D674" s="1">
        <v>45584</v>
      </c>
      <c r="E674" s="1">
        <v>45591</v>
      </c>
      <c r="F674" t="s">
        <v>18</v>
      </c>
      <c r="G674" t="s">
        <v>23</v>
      </c>
      <c r="H674">
        <v>7</v>
      </c>
      <c r="I674" t="s">
        <v>20</v>
      </c>
      <c r="J674">
        <v>1</v>
      </c>
      <c r="K674" t="s">
        <v>21</v>
      </c>
      <c r="L674" t="s">
        <v>22</v>
      </c>
    </row>
    <row r="675" spans="1:12" x14ac:dyDescent="0.25">
      <c r="A675">
        <v>674</v>
      </c>
      <c r="B675">
        <v>59</v>
      </c>
      <c r="C675" t="s">
        <v>12</v>
      </c>
      <c r="D675" s="1">
        <v>45499</v>
      </c>
      <c r="E675" s="1">
        <v>45500</v>
      </c>
      <c r="F675" t="s">
        <v>18</v>
      </c>
      <c r="G675" t="s">
        <v>23</v>
      </c>
      <c r="H675">
        <v>1</v>
      </c>
      <c r="I675" t="s">
        <v>15</v>
      </c>
      <c r="J675">
        <v>2</v>
      </c>
      <c r="K675" t="s">
        <v>24</v>
      </c>
      <c r="L675" t="s">
        <v>30</v>
      </c>
    </row>
    <row r="676" spans="1:12" x14ac:dyDescent="0.25">
      <c r="A676">
        <v>675</v>
      </c>
      <c r="B676">
        <v>30</v>
      </c>
      <c r="C676" t="s">
        <v>26</v>
      </c>
      <c r="D676" s="1">
        <v>45624</v>
      </c>
      <c r="E676" s="1">
        <v>45635</v>
      </c>
      <c r="F676" t="s">
        <v>28</v>
      </c>
      <c r="G676" t="s">
        <v>23</v>
      </c>
      <c r="H676">
        <v>11</v>
      </c>
      <c r="I676" t="s">
        <v>20</v>
      </c>
      <c r="J676">
        <v>4</v>
      </c>
      <c r="K676" t="s">
        <v>21</v>
      </c>
      <c r="L676" t="s">
        <v>22</v>
      </c>
    </row>
    <row r="677" spans="1:12" x14ac:dyDescent="0.25">
      <c r="A677">
        <v>676</v>
      </c>
      <c r="B677">
        <v>56</v>
      </c>
      <c r="C677" t="s">
        <v>12</v>
      </c>
      <c r="D677" s="1">
        <v>45332</v>
      </c>
      <c r="E677" s="1">
        <v>45343</v>
      </c>
      <c r="F677" t="s">
        <v>18</v>
      </c>
      <c r="G677" t="s">
        <v>19</v>
      </c>
      <c r="H677">
        <v>11</v>
      </c>
      <c r="I677" t="s">
        <v>20</v>
      </c>
      <c r="J677">
        <v>3</v>
      </c>
      <c r="K677" t="s">
        <v>16</v>
      </c>
      <c r="L677" t="s">
        <v>17</v>
      </c>
    </row>
    <row r="678" spans="1:12" x14ac:dyDescent="0.25">
      <c r="A678">
        <v>677</v>
      </c>
      <c r="B678">
        <v>59</v>
      </c>
      <c r="C678" t="s">
        <v>26</v>
      </c>
      <c r="D678" s="1">
        <v>45399</v>
      </c>
      <c r="E678" s="1">
        <v>45408</v>
      </c>
      <c r="F678" t="s">
        <v>27</v>
      </c>
      <c r="G678" t="s">
        <v>19</v>
      </c>
      <c r="H678">
        <v>9</v>
      </c>
      <c r="I678" t="s">
        <v>20</v>
      </c>
      <c r="J678">
        <v>4</v>
      </c>
      <c r="K678" t="s">
        <v>24</v>
      </c>
      <c r="L678" t="s">
        <v>25</v>
      </c>
    </row>
    <row r="679" spans="1:12" x14ac:dyDescent="0.25">
      <c r="A679">
        <v>678</v>
      </c>
      <c r="B679">
        <v>71</v>
      </c>
      <c r="C679" t="s">
        <v>26</v>
      </c>
      <c r="D679" s="1">
        <v>45319</v>
      </c>
      <c r="E679" s="1">
        <v>45330</v>
      </c>
      <c r="F679" t="s">
        <v>13</v>
      </c>
      <c r="G679" t="s">
        <v>14</v>
      </c>
      <c r="H679">
        <v>11</v>
      </c>
      <c r="I679" t="s">
        <v>20</v>
      </c>
      <c r="J679">
        <v>4</v>
      </c>
      <c r="K679" t="s">
        <v>16</v>
      </c>
      <c r="L679" t="s">
        <v>25</v>
      </c>
    </row>
    <row r="680" spans="1:12" x14ac:dyDescent="0.25">
      <c r="A680">
        <v>679</v>
      </c>
      <c r="B680">
        <v>25</v>
      </c>
      <c r="C680" t="s">
        <v>12</v>
      </c>
      <c r="D680" s="1">
        <v>45382</v>
      </c>
      <c r="E680" s="1">
        <v>45390</v>
      </c>
      <c r="F680" t="s">
        <v>28</v>
      </c>
      <c r="G680" t="s">
        <v>23</v>
      </c>
      <c r="H680">
        <v>8</v>
      </c>
      <c r="I680" t="s">
        <v>20</v>
      </c>
      <c r="J680">
        <v>3</v>
      </c>
      <c r="K680" t="s">
        <v>21</v>
      </c>
      <c r="L680" t="s">
        <v>17</v>
      </c>
    </row>
    <row r="681" spans="1:12" x14ac:dyDescent="0.25">
      <c r="A681">
        <v>680</v>
      </c>
      <c r="B681">
        <v>44</v>
      </c>
      <c r="C681" t="s">
        <v>12</v>
      </c>
      <c r="D681" s="1">
        <v>45421</v>
      </c>
      <c r="E681" s="1">
        <v>45432</v>
      </c>
      <c r="F681" t="s">
        <v>28</v>
      </c>
      <c r="G681" t="s">
        <v>14</v>
      </c>
      <c r="H681">
        <v>11</v>
      </c>
      <c r="I681" t="s">
        <v>15</v>
      </c>
      <c r="J681">
        <v>3</v>
      </c>
      <c r="K681" t="s">
        <v>24</v>
      </c>
      <c r="L681" t="s">
        <v>30</v>
      </c>
    </row>
    <row r="682" spans="1:12" x14ac:dyDescent="0.25">
      <c r="A682">
        <v>681</v>
      </c>
      <c r="B682">
        <v>37</v>
      </c>
      <c r="C682" t="s">
        <v>26</v>
      </c>
      <c r="D682" s="1">
        <v>45448</v>
      </c>
      <c r="E682" s="1">
        <v>45459</v>
      </c>
      <c r="F682" t="s">
        <v>28</v>
      </c>
      <c r="G682" t="s">
        <v>23</v>
      </c>
      <c r="H682">
        <v>11</v>
      </c>
      <c r="I682" t="s">
        <v>15</v>
      </c>
      <c r="J682">
        <v>2</v>
      </c>
      <c r="K682" t="s">
        <v>16</v>
      </c>
      <c r="L682" t="s">
        <v>17</v>
      </c>
    </row>
    <row r="683" spans="1:12" x14ac:dyDescent="0.25">
      <c r="A683">
        <v>682</v>
      </c>
      <c r="B683">
        <v>53</v>
      </c>
      <c r="C683" t="s">
        <v>12</v>
      </c>
      <c r="D683" s="1">
        <v>45631</v>
      </c>
      <c r="E683" s="1">
        <v>45642</v>
      </c>
      <c r="F683" t="s">
        <v>27</v>
      </c>
      <c r="G683" t="s">
        <v>23</v>
      </c>
      <c r="H683">
        <v>11</v>
      </c>
      <c r="I683" t="s">
        <v>15</v>
      </c>
      <c r="J683">
        <v>3</v>
      </c>
      <c r="K683" t="s">
        <v>16</v>
      </c>
      <c r="L683" t="s">
        <v>29</v>
      </c>
    </row>
    <row r="684" spans="1:12" x14ac:dyDescent="0.25">
      <c r="A684">
        <v>683</v>
      </c>
      <c r="B684">
        <v>58</v>
      </c>
      <c r="C684" t="s">
        <v>26</v>
      </c>
      <c r="D684" s="1">
        <v>45354</v>
      </c>
      <c r="E684" s="1">
        <v>45368</v>
      </c>
      <c r="F684" t="s">
        <v>27</v>
      </c>
      <c r="G684" t="s">
        <v>23</v>
      </c>
      <c r="H684">
        <v>14</v>
      </c>
      <c r="I684" t="s">
        <v>15</v>
      </c>
      <c r="J684">
        <v>0</v>
      </c>
      <c r="K684" t="s">
        <v>16</v>
      </c>
      <c r="L684" t="s">
        <v>25</v>
      </c>
    </row>
    <row r="685" spans="1:12" x14ac:dyDescent="0.25">
      <c r="A685">
        <v>684</v>
      </c>
      <c r="B685">
        <v>84</v>
      </c>
      <c r="C685" t="s">
        <v>26</v>
      </c>
      <c r="D685" s="1">
        <v>45595</v>
      </c>
      <c r="E685" s="1">
        <v>45598</v>
      </c>
      <c r="F685" t="s">
        <v>27</v>
      </c>
      <c r="G685" t="s">
        <v>19</v>
      </c>
      <c r="H685">
        <v>3</v>
      </c>
      <c r="I685" t="s">
        <v>20</v>
      </c>
      <c r="J685">
        <v>4</v>
      </c>
      <c r="K685" t="s">
        <v>21</v>
      </c>
      <c r="L685" t="s">
        <v>29</v>
      </c>
    </row>
    <row r="686" spans="1:12" x14ac:dyDescent="0.25">
      <c r="A686">
        <v>685</v>
      </c>
      <c r="B686">
        <v>28</v>
      </c>
      <c r="C686" t="s">
        <v>12</v>
      </c>
      <c r="D686" s="1">
        <v>45381</v>
      </c>
      <c r="E686" s="1">
        <v>45389</v>
      </c>
      <c r="F686" t="s">
        <v>28</v>
      </c>
      <c r="G686" t="s">
        <v>19</v>
      </c>
      <c r="H686">
        <v>8</v>
      </c>
      <c r="I686" t="s">
        <v>20</v>
      </c>
      <c r="J686">
        <v>3</v>
      </c>
      <c r="K686" t="s">
        <v>24</v>
      </c>
      <c r="L686" t="s">
        <v>22</v>
      </c>
    </row>
    <row r="687" spans="1:12" x14ac:dyDescent="0.25">
      <c r="A687">
        <v>686</v>
      </c>
      <c r="B687">
        <v>36</v>
      </c>
      <c r="C687" t="s">
        <v>26</v>
      </c>
      <c r="D687" s="1">
        <v>45405</v>
      </c>
      <c r="E687" s="1">
        <v>45413</v>
      </c>
      <c r="F687" t="s">
        <v>18</v>
      </c>
      <c r="G687" t="s">
        <v>14</v>
      </c>
      <c r="H687">
        <v>8</v>
      </c>
      <c r="I687" t="s">
        <v>20</v>
      </c>
      <c r="J687">
        <v>1</v>
      </c>
      <c r="K687" t="s">
        <v>16</v>
      </c>
      <c r="L687" t="s">
        <v>29</v>
      </c>
    </row>
    <row r="688" spans="1:12" x14ac:dyDescent="0.25">
      <c r="A688">
        <v>687</v>
      </c>
      <c r="B688">
        <v>69</v>
      </c>
      <c r="C688" t="s">
        <v>26</v>
      </c>
      <c r="D688" s="1">
        <v>45555</v>
      </c>
      <c r="E688" s="1">
        <v>45564</v>
      </c>
      <c r="F688" t="s">
        <v>28</v>
      </c>
      <c r="G688" t="s">
        <v>23</v>
      </c>
      <c r="H688">
        <v>9</v>
      </c>
      <c r="I688" t="s">
        <v>15</v>
      </c>
      <c r="J688">
        <v>4</v>
      </c>
      <c r="K688" t="s">
        <v>16</v>
      </c>
      <c r="L688" t="s">
        <v>30</v>
      </c>
    </row>
    <row r="689" spans="1:12" x14ac:dyDescent="0.25">
      <c r="A689">
        <v>688</v>
      </c>
      <c r="B689">
        <v>27</v>
      </c>
      <c r="C689" t="s">
        <v>12</v>
      </c>
      <c r="D689" s="1">
        <v>45426</v>
      </c>
      <c r="E689" s="1">
        <v>45433</v>
      </c>
      <c r="F689" t="s">
        <v>28</v>
      </c>
      <c r="G689" t="s">
        <v>14</v>
      </c>
      <c r="H689">
        <v>7</v>
      </c>
      <c r="I689" t="s">
        <v>20</v>
      </c>
      <c r="J689">
        <v>4</v>
      </c>
      <c r="K689" t="s">
        <v>24</v>
      </c>
      <c r="L689" t="s">
        <v>30</v>
      </c>
    </row>
    <row r="690" spans="1:12" x14ac:dyDescent="0.25">
      <c r="A690">
        <v>689</v>
      </c>
      <c r="B690">
        <v>38</v>
      </c>
      <c r="C690" t="s">
        <v>26</v>
      </c>
      <c r="D690" s="1">
        <v>45550</v>
      </c>
      <c r="E690" s="1">
        <v>45559</v>
      </c>
      <c r="F690" t="s">
        <v>27</v>
      </c>
      <c r="G690" t="s">
        <v>14</v>
      </c>
      <c r="H690">
        <v>9</v>
      </c>
      <c r="I690" t="s">
        <v>20</v>
      </c>
      <c r="J690">
        <v>3</v>
      </c>
      <c r="K690" t="s">
        <v>16</v>
      </c>
      <c r="L690" t="s">
        <v>22</v>
      </c>
    </row>
    <row r="691" spans="1:12" x14ac:dyDescent="0.25">
      <c r="A691">
        <v>690</v>
      </c>
      <c r="B691">
        <v>28</v>
      </c>
      <c r="C691" t="s">
        <v>26</v>
      </c>
      <c r="D691" s="1">
        <v>45612</v>
      </c>
      <c r="E691" s="1">
        <v>45623</v>
      </c>
      <c r="F691" t="s">
        <v>18</v>
      </c>
      <c r="G691" t="s">
        <v>19</v>
      </c>
      <c r="H691">
        <v>11</v>
      </c>
      <c r="I691" t="s">
        <v>15</v>
      </c>
      <c r="J691">
        <v>1</v>
      </c>
      <c r="K691" t="s">
        <v>24</v>
      </c>
      <c r="L691" t="s">
        <v>22</v>
      </c>
    </row>
    <row r="692" spans="1:12" x14ac:dyDescent="0.25">
      <c r="A692">
        <v>691</v>
      </c>
      <c r="B692">
        <v>77</v>
      </c>
      <c r="C692" t="s">
        <v>26</v>
      </c>
      <c r="D692" s="1">
        <v>45387</v>
      </c>
      <c r="E692" s="1">
        <v>45394</v>
      </c>
      <c r="F692" t="s">
        <v>27</v>
      </c>
      <c r="G692" t="s">
        <v>19</v>
      </c>
      <c r="H692">
        <v>7</v>
      </c>
      <c r="I692" t="s">
        <v>15</v>
      </c>
      <c r="J692">
        <v>4</v>
      </c>
      <c r="K692" t="s">
        <v>24</v>
      </c>
      <c r="L692" t="s">
        <v>17</v>
      </c>
    </row>
    <row r="693" spans="1:12" x14ac:dyDescent="0.25">
      <c r="A693">
        <v>692</v>
      </c>
      <c r="B693">
        <v>69</v>
      </c>
      <c r="C693" t="s">
        <v>12</v>
      </c>
      <c r="D693" s="1">
        <v>45417</v>
      </c>
      <c r="E693" s="1">
        <v>45418</v>
      </c>
      <c r="F693" t="s">
        <v>28</v>
      </c>
      <c r="G693" t="s">
        <v>14</v>
      </c>
      <c r="H693">
        <v>1</v>
      </c>
      <c r="I693" t="s">
        <v>15</v>
      </c>
      <c r="J693">
        <v>4</v>
      </c>
      <c r="K693" t="s">
        <v>16</v>
      </c>
      <c r="L693" t="s">
        <v>25</v>
      </c>
    </row>
    <row r="694" spans="1:12" x14ac:dyDescent="0.25">
      <c r="A694">
        <v>693</v>
      </c>
      <c r="B694">
        <v>67</v>
      </c>
      <c r="C694" t="s">
        <v>26</v>
      </c>
      <c r="D694" s="1">
        <v>45567</v>
      </c>
      <c r="E694" s="1">
        <v>45569</v>
      </c>
      <c r="F694" t="s">
        <v>18</v>
      </c>
      <c r="G694" t="s">
        <v>14</v>
      </c>
      <c r="H694">
        <v>2</v>
      </c>
      <c r="I694" t="s">
        <v>20</v>
      </c>
      <c r="J694">
        <v>0</v>
      </c>
      <c r="K694" t="s">
        <v>21</v>
      </c>
      <c r="L694" t="s">
        <v>29</v>
      </c>
    </row>
    <row r="695" spans="1:12" x14ac:dyDescent="0.25">
      <c r="A695">
        <v>694</v>
      </c>
      <c r="B695">
        <v>54</v>
      </c>
      <c r="C695" t="s">
        <v>12</v>
      </c>
      <c r="D695" s="1">
        <v>45401</v>
      </c>
      <c r="E695" s="1">
        <v>45404</v>
      </c>
      <c r="F695" t="s">
        <v>28</v>
      </c>
      <c r="G695" t="s">
        <v>19</v>
      </c>
      <c r="H695">
        <v>3</v>
      </c>
      <c r="I695" t="s">
        <v>20</v>
      </c>
      <c r="J695">
        <v>2</v>
      </c>
      <c r="K695" t="s">
        <v>24</v>
      </c>
      <c r="L695" t="s">
        <v>25</v>
      </c>
    </row>
    <row r="696" spans="1:12" x14ac:dyDescent="0.25">
      <c r="A696">
        <v>695</v>
      </c>
      <c r="B696">
        <v>78</v>
      </c>
      <c r="C696" t="s">
        <v>26</v>
      </c>
      <c r="D696" s="1">
        <v>45307</v>
      </c>
      <c r="E696" s="1">
        <v>45316</v>
      </c>
      <c r="F696" t="s">
        <v>13</v>
      </c>
      <c r="G696" t="s">
        <v>14</v>
      </c>
      <c r="H696">
        <v>9</v>
      </c>
      <c r="I696" t="s">
        <v>20</v>
      </c>
      <c r="J696">
        <v>4</v>
      </c>
      <c r="K696" t="s">
        <v>24</v>
      </c>
      <c r="L696" t="s">
        <v>22</v>
      </c>
    </row>
    <row r="697" spans="1:12" x14ac:dyDescent="0.25">
      <c r="A697">
        <v>696</v>
      </c>
      <c r="B697">
        <v>77</v>
      </c>
      <c r="C697" t="s">
        <v>12</v>
      </c>
      <c r="D697" s="1">
        <v>45430</v>
      </c>
      <c r="E697" s="1">
        <v>45435</v>
      </c>
      <c r="F697" t="s">
        <v>13</v>
      </c>
      <c r="G697" t="s">
        <v>19</v>
      </c>
      <c r="H697">
        <v>5</v>
      </c>
      <c r="I697" t="s">
        <v>15</v>
      </c>
      <c r="J697">
        <v>2</v>
      </c>
      <c r="K697" t="s">
        <v>24</v>
      </c>
      <c r="L697" t="s">
        <v>22</v>
      </c>
    </row>
    <row r="698" spans="1:12" x14ac:dyDescent="0.25">
      <c r="A698">
        <v>697</v>
      </c>
      <c r="B698">
        <v>44</v>
      </c>
      <c r="C698" t="s">
        <v>12</v>
      </c>
      <c r="D698" s="1">
        <v>45533</v>
      </c>
      <c r="E698" s="1">
        <v>45535</v>
      </c>
      <c r="F698" t="s">
        <v>28</v>
      </c>
      <c r="G698" t="s">
        <v>14</v>
      </c>
      <c r="H698">
        <v>2</v>
      </c>
      <c r="I698" t="s">
        <v>20</v>
      </c>
      <c r="J698">
        <v>1</v>
      </c>
      <c r="K698" t="s">
        <v>21</v>
      </c>
      <c r="L698" t="s">
        <v>30</v>
      </c>
    </row>
    <row r="699" spans="1:12" x14ac:dyDescent="0.25">
      <c r="A699">
        <v>698</v>
      </c>
      <c r="B699">
        <v>33</v>
      </c>
      <c r="C699" t="s">
        <v>26</v>
      </c>
      <c r="D699" s="1">
        <v>45611</v>
      </c>
      <c r="E699" s="1">
        <v>45622</v>
      </c>
      <c r="F699" t="s">
        <v>27</v>
      </c>
      <c r="G699" t="s">
        <v>23</v>
      </c>
      <c r="H699">
        <v>11</v>
      </c>
      <c r="I699" t="s">
        <v>15</v>
      </c>
      <c r="J699">
        <v>1</v>
      </c>
      <c r="K699" t="s">
        <v>24</v>
      </c>
      <c r="L699" t="s">
        <v>29</v>
      </c>
    </row>
    <row r="700" spans="1:12" x14ac:dyDescent="0.25">
      <c r="A700">
        <v>699</v>
      </c>
      <c r="B700">
        <v>39</v>
      </c>
      <c r="C700" t="s">
        <v>12</v>
      </c>
      <c r="D700" s="1">
        <v>45301</v>
      </c>
      <c r="E700" s="1">
        <v>45309</v>
      </c>
      <c r="F700" t="s">
        <v>27</v>
      </c>
      <c r="G700" t="s">
        <v>14</v>
      </c>
      <c r="H700">
        <v>8</v>
      </c>
      <c r="I700" t="s">
        <v>15</v>
      </c>
      <c r="J700">
        <v>0</v>
      </c>
      <c r="K700" t="s">
        <v>21</v>
      </c>
      <c r="L700" t="s">
        <v>17</v>
      </c>
    </row>
    <row r="701" spans="1:12" x14ac:dyDescent="0.25">
      <c r="A701">
        <v>700</v>
      </c>
      <c r="B701">
        <v>27</v>
      </c>
      <c r="C701" t="s">
        <v>26</v>
      </c>
      <c r="D701" s="1">
        <v>45555</v>
      </c>
      <c r="E701" s="1">
        <v>45556</v>
      </c>
      <c r="F701" t="s">
        <v>27</v>
      </c>
      <c r="G701" t="s">
        <v>14</v>
      </c>
      <c r="H701">
        <v>1</v>
      </c>
      <c r="I701" t="s">
        <v>15</v>
      </c>
      <c r="J701">
        <v>3</v>
      </c>
      <c r="K701" t="s">
        <v>24</v>
      </c>
      <c r="L701" t="s">
        <v>17</v>
      </c>
    </row>
    <row r="702" spans="1:12" x14ac:dyDescent="0.25">
      <c r="A702">
        <v>701</v>
      </c>
      <c r="B702">
        <v>32</v>
      </c>
      <c r="C702" t="s">
        <v>26</v>
      </c>
      <c r="D702" s="1">
        <v>45383</v>
      </c>
      <c r="E702" s="1">
        <v>45396</v>
      </c>
      <c r="F702" t="s">
        <v>13</v>
      </c>
      <c r="G702" t="s">
        <v>23</v>
      </c>
      <c r="H702">
        <v>13</v>
      </c>
      <c r="I702" t="s">
        <v>20</v>
      </c>
      <c r="J702">
        <v>4</v>
      </c>
      <c r="K702" t="s">
        <v>16</v>
      </c>
      <c r="L702" t="s">
        <v>17</v>
      </c>
    </row>
    <row r="703" spans="1:12" x14ac:dyDescent="0.25">
      <c r="A703">
        <v>702</v>
      </c>
      <c r="B703">
        <v>58</v>
      </c>
      <c r="C703" t="s">
        <v>26</v>
      </c>
      <c r="D703" s="1">
        <v>45389</v>
      </c>
      <c r="E703" s="1">
        <v>45401</v>
      </c>
      <c r="F703" t="s">
        <v>31</v>
      </c>
      <c r="G703" t="s">
        <v>14</v>
      </c>
      <c r="H703">
        <v>12</v>
      </c>
      <c r="I703" t="s">
        <v>15</v>
      </c>
      <c r="J703">
        <v>0</v>
      </c>
      <c r="K703" t="s">
        <v>24</v>
      </c>
      <c r="L703" t="s">
        <v>25</v>
      </c>
    </row>
    <row r="704" spans="1:12" x14ac:dyDescent="0.25">
      <c r="A704">
        <v>703</v>
      </c>
      <c r="B704">
        <v>86</v>
      </c>
      <c r="C704" t="s">
        <v>12</v>
      </c>
      <c r="D704" s="1">
        <v>45382</v>
      </c>
      <c r="E704" s="1">
        <v>45394</v>
      </c>
      <c r="F704" t="s">
        <v>13</v>
      </c>
      <c r="G704" t="s">
        <v>23</v>
      </c>
      <c r="H704">
        <v>12</v>
      </c>
      <c r="I704" t="s">
        <v>15</v>
      </c>
      <c r="J704">
        <v>2</v>
      </c>
      <c r="K704" t="s">
        <v>24</v>
      </c>
      <c r="L704" t="s">
        <v>17</v>
      </c>
    </row>
    <row r="705" spans="1:12" x14ac:dyDescent="0.25">
      <c r="A705">
        <v>704</v>
      </c>
      <c r="B705">
        <v>80</v>
      </c>
      <c r="C705" t="s">
        <v>26</v>
      </c>
      <c r="D705" s="1">
        <v>45568</v>
      </c>
      <c r="E705" s="1">
        <v>45583</v>
      </c>
      <c r="F705" t="s">
        <v>28</v>
      </c>
      <c r="G705" t="s">
        <v>23</v>
      </c>
      <c r="H705">
        <v>15</v>
      </c>
      <c r="I705" t="s">
        <v>15</v>
      </c>
      <c r="J705">
        <v>2</v>
      </c>
      <c r="K705" t="s">
        <v>21</v>
      </c>
      <c r="L705" t="s">
        <v>29</v>
      </c>
    </row>
    <row r="706" spans="1:12" x14ac:dyDescent="0.25">
      <c r="A706">
        <v>705</v>
      </c>
      <c r="B706">
        <v>56</v>
      </c>
      <c r="C706" t="s">
        <v>26</v>
      </c>
      <c r="D706" s="1">
        <v>45392</v>
      </c>
      <c r="E706" s="1">
        <v>45406</v>
      </c>
      <c r="F706" t="s">
        <v>13</v>
      </c>
      <c r="G706" t="s">
        <v>14</v>
      </c>
      <c r="H706">
        <v>14</v>
      </c>
      <c r="I706" t="s">
        <v>20</v>
      </c>
      <c r="J706">
        <v>4</v>
      </c>
      <c r="K706" t="s">
        <v>16</v>
      </c>
      <c r="L706" t="s">
        <v>29</v>
      </c>
    </row>
    <row r="707" spans="1:12" x14ac:dyDescent="0.25">
      <c r="A707">
        <v>706</v>
      </c>
      <c r="B707">
        <v>38</v>
      </c>
      <c r="C707" t="s">
        <v>12</v>
      </c>
      <c r="D707" s="1">
        <v>45555</v>
      </c>
      <c r="E707" s="1">
        <v>45557</v>
      </c>
      <c r="F707" t="s">
        <v>31</v>
      </c>
      <c r="G707" t="s">
        <v>23</v>
      </c>
      <c r="H707">
        <v>2</v>
      </c>
      <c r="I707" t="s">
        <v>15</v>
      </c>
      <c r="J707">
        <v>1</v>
      </c>
      <c r="K707" t="s">
        <v>21</v>
      </c>
      <c r="L707" t="s">
        <v>17</v>
      </c>
    </row>
    <row r="708" spans="1:12" x14ac:dyDescent="0.25">
      <c r="A708">
        <v>707</v>
      </c>
      <c r="B708">
        <v>53</v>
      </c>
      <c r="C708" t="s">
        <v>12</v>
      </c>
      <c r="D708" s="1">
        <v>45370</v>
      </c>
      <c r="E708" s="1">
        <v>45372</v>
      </c>
      <c r="F708" t="s">
        <v>31</v>
      </c>
      <c r="G708" t="s">
        <v>19</v>
      </c>
      <c r="H708">
        <v>2</v>
      </c>
      <c r="I708" t="s">
        <v>15</v>
      </c>
      <c r="J708">
        <v>2</v>
      </c>
      <c r="K708" t="s">
        <v>16</v>
      </c>
      <c r="L708" t="s">
        <v>29</v>
      </c>
    </row>
    <row r="709" spans="1:12" x14ac:dyDescent="0.25">
      <c r="A709">
        <v>708</v>
      </c>
      <c r="B709">
        <v>27</v>
      </c>
      <c r="C709" t="s">
        <v>12</v>
      </c>
      <c r="D709" s="1">
        <v>45503</v>
      </c>
      <c r="E709" s="1">
        <v>45504</v>
      </c>
      <c r="F709" t="s">
        <v>28</v>
      </c>
      <c r="G709" t="s">
        <v>19</v>
      </c>
      <c r="H709">
        <v>1</v>
      </c>
      <c r="I709" t="s">
        <v>20</v>
      </c>
      <c r="J709">
        <v>0</v>
      </c>
      <c r="K709" t="s">
        <v>24</v>
      </c>
      <c r="L709" t="s">
        <v>17</v>
      </c>
    </row>
    <row r="710" spans="1:12" x14ac:dyDescent="0.25">
      <c r="A710">
        <v>709</v>
      </c>
      <c r="B710">
        <v>26</v>
      </c>
      <c r="C710" t="s">
        <v>26</v>
      </c>
      <c r="D710" s="1">
        <v>45507</v>
      </c>
      <c r="E710" s="1">
        <v>45519</v>
      </c>
      <c r="F710" t="s">
        <v>13</v>
      </c>
      <c r="G710" t="s">
        <v>23</v>
      </c>
      <c r="H710">
        <v>12</v>
      </c>
      <c r="I710" t="s">
        <v>15</v>
      </c>
      <c r="J710">
        <v>4</v>
      </c>
      <c r="K710" t="s">
        <v>16</v>
      </c>
      <c r="L710" t="s">
        <v>29</v>
      </c>
    </row>
    <row r="711" spans="1:12" x14ac:dyDescent="0.25">
      <c r="A711">
        <v>710</v>
      </c>
      <c r="B711">
        <v>90</v>
      </c>
      <c r="C711" t="s">
        <v>26</v>
      </c>
      <c r="D711" s="1">
        <v>45561</v>
      </c>
      <c r="E711" s="1">
        <v>45563</v>
      </c>
      <c r="F711" t="s">
        <v>28</v>
      </c>
      <c r="G711" t="s">
        <v>23</v>
      </c>
      <c r="H711">
        <v>2</v>
      </c>
      <c r="I711" t="s">
        <v>15</v>
      </c>
      <c r="J711">
        <v>1</v>
      </c>
      <c r="K711" t="s">
        <v>21</v>
      </c>
      <c r="L711" t="s">
        <v>25</v>
      </c>
    </row>
    <row r="712" spans="1:12" x14ac:dyDescent="0.25">
      <c r="A712">
        <v>711</v>
      </c>
      <c r="B712">
        <v>49</v>
      </c>
      <c r="C712" t="s">
        <v>12</v>
      </c>
      <c r="D712" s="1">
        <v>45492</v>
      </c>
      <c r="E712" s="1">
        <v>45502</v>
      </c>
      <c r="F712" t="s">
        <v>28</v>
      </c>
      <c r="G712" t="s">
        <v>14</v>
      </c>
      <c r="H712">
        <v>10</v>
      </c>
      <c r="I712" t="s">
        <v>15</v>
      </c>
      <c r="J712">
        <v>2</v>
      </c>
      <c r="K712" t="s">
        <v>16</v>
      </c>
      <c r="L712" t="s">
        <v>29</v>
      </c>
    </row>
    <row r="713" spans="1:12" x14ac:dyDescent="0.25">
      <c r="A713">
        <v>712</v>
      </c>
      <c r="B713">
        <v>23</v>
      </c>
      <c r="C713" t="s">
        <v>26</v>
      </c>
      <c r="D713" s="1">
        <v>45390</v>
      </c>
      <c r="E713" s="1">
        <v>45400</v>
      </c>
      <c r="F713" t="s">
        <v>27</v>
      </c>
      <c r="G713" t="s">
        <v>23</v>
      </c>
      <c r="H713">
        <v>10</v>
      </c>
      <c r="I713" t="s">
        <v>15</v>
      </c>
      <c r="J713">
        <v>3</v>
      </c>
      <c r="K713" t="s">
        <v>21</v>
      </c>
      <c r="L713" t="s">
        <v>22</v>
      </c>
    </row>
    <row r="714" spans="1:12" x14ac:dyDescent="0.25">
      <c r="A714">
        <v>713</v>
      </c>
      <c r="B714">
        <v>30</v>
      </c>
      <c r="C714" t="s">
        <v>12</v>
      </c>
      <c r="D714" s="1">
        <v>45322</v>
      </c>
      <c r="E714" s="1">
        <v>45324</v>
      </c>
      <c r="F714" t="s">
        <v>18</v>
      </c>
      <c r="G714" t="s">
        <v>23</v>
      </c>
      <c r="H714">
        <v>2</v>
      </c>
      <c r="I714" t="s">
        <v>20</v>
      </c>
      <c r="J714">
        <v>3</v>
      </c>
      <c r="K714" t="s">
        <v>16</v>
      </c>
      <c r="L714" t="s">
        <v>30</v>
      </c>
    </row>
    <row r="715" spans="1:12" x14ac:dyDescent="0.25">
      <c r="A715">
        <v>714</v>
      </c>
      <c r="B715">
        <v>72</v>
      </c>
      <c r="C715" t="s">
        <v>26</v>
      </c>
      <c r="D715" s="1">
        <v>45652</v>
      </c>
      <c r="E715" s="1">
        <v>45653</v>
      </c>
      <c r="F715" t="s">
        <v>13</v>
      </c>
      <c r="G715" t="s">
        <v>23</v>
      </c>
      <c r="H715">
        <v>1</v>
      </c>
      <c r="I715" t="s">
        <v>20</v>
      </c>
      <c r="J715">
        <v>4</v>
      </c>
      <c r="K715" t="s">
        <v>24</v>
      </c>
      <c r="L715" t="s">
        <v>22</v>
      </c>
    </row>
    <row r="716" spans="1:12" x14ac:dyDescent="0.25">
      <c r="A716">
        <v>715</v>
      </c>
      <c r="B716">
        <v>57</v>
      </c>
      <c r="C716" t="s">
        <v>26</v>
      </c>
      <c r="D716" s="1">
        <v>45633</v>
      </c>
      <c r="E716" s="1">
        <v>45640</v>
      </c>
      <c r="F716" t="s">
        <v>31</v>
      </c>
      <c r="G716" t="s">
        <v>23</v>
      </c>
      <c r="H716">
        <v>7</v>
      </c>
      <c r="I716" t="s">
        <v>15</v>
      </c>
      <c r="J716">
        <v>2</v>
      </c>
      <c r="K716" t="s">
        <v>16</v>
      </c>
      <c r="L716" t="s">
        <v>22</v>
      </c>
    </row>
    <row r="717" spans="1:12" x14ac:dyDescent="0.25">
      <c r="A717">
        <v>716</v>
      </c>
      <c r="B717">
        <v>33</v>
      </c>
      <c r="C717" t="s">
        <v>26</v>
      </c>
      <c r="D717" s="1">
        <v>45409</v>
      </c>
      <c r="E717" s="1">
        <v>45421</v>
      </c>
      <c r="F717" t="s">
        <v>27</v>
      </c>
      <c r="G717" t="s">
        <v>19</v>
      </c>
      <c r="H717">
        <v>12</v>
      </c>
      <c r="I717" t="s">
        <v>15</v>
      </c>
      <c r="J717">
        <v>3</v>
      </c>
      <c r="K717" t="s">
        <v>16</v>
      </c>
      <c r="L717" t="s">
        <v>29</v>
      </c>
    </row>
    <row r="718" spans="1:12" x14ac:dyDescent="0.25">
      <c r="A718">
        <v>717</v>
      </c>
      <c r="B718">
        <v>90</v>
      </c>
      <c r="C718" t="s">
        <v>26</v>
      </c>
      <c r="D718" s="1">
        <v>45600</v>
      </c>
      <c r="E718" s="1">
        <v>45610</v>
      </c>
      <c r="F718" t="s">
        <v>28</v>
      </c>
      <c r="G718" t="s">
        <v>14</v>
      </c>
      <c r="H718">
        <v>10</v>
      </c>
      <c r="I718" t="s">
        <v>20</v>
      </c>
      <c r="J718">
        <v>1</v>
      </c>
      <c r="K718" t="s">
        <v>21</v>
      </c>
      <c r="L718" t="s">
        <v>29</v>
      </c>
    </row>
    <row r="719" spans="1:12" x14ac:dyDescent="0.25">
      <c r="A719">
        <v>718</v>
      </c>
      <c r="B719">
        <v>60</v>
      </c>
      <c r="C719" t="s">
        <v>26</v>
      </c>
      <c r="D719" s="1">
        <v>45568</v>
      </c>
      <c r="E719" s="1">
        <v>45577</v>
      </c>
      <c r="F719" t="s">
        <v>27</v>
      </c>
      <c r="G719" t="s">
        <v>19</v>
      </c>
      <c r="H719">
        <v>9</v>
      </c>
      <c r="I719" t="s">
        <v>20</v>
      </c>
      <c r="J719">
        <v>2</v>
      </c>
      <c r="K719" t="s">
        <v>16</v>
      </c>
      <c r="L719" t="s">
        <v>30</v>
      </c>
    </row>
    <row r="720" spans="1:12" x14ac:dyDescent="0.25">
      <c r="A720">
        <v>719</v>
      </c>
      <c r="B720">
        <v>64</v>
      </c>
      <c r="C720" t="s">
        <v>26</v>
      </c>
      <c r="D720" s="1">
        <v>45453</v>
      </c>
      <c r="E720" s="1">
        <v>45460</v>
      </c>
      <c r="F720" t="s">
        <v>28</v>
      </c>
      <c r="G720" t="s">
        <v>23</v>
      </c>
      <c r="H720">
        <v>7</v>
      </c>
      <c r="I720" t="s">
        <v>15</v>
      </c>
      <c r="J720">
        <v>4</v>
      </c>
      <c r="K720" t="s">
        <v>24</v>
      </c>
      <c r="L720" t="s">
        <v>29</v>
      </c>
    </row>
    <row r="721" spans="1:12" x14ac:dyDescent="0.25">
      <c r="A721">
        <v>720</v>
      </c>
      <c r="B721">
        <v>37</v>
      </c>
      <c r="C721" t="s">
        <v>12</v>
      </c>
      <c r="D721" s="1">
        <v>45399</v>
      </c>
      <c r="E721" s="1">
        <v>45411</v>
      </c>
      <c r="F721" t="s">
        <v>31</v>
      </c>
      <c r="G721" t="s">
        <v>19</v>
      </c>
      <c r="H721">
        <v>12</v>
      </c>
      <c r="I721" t="s">
        <v>15</v>
      </c>
      <c r="J721">
        <v>4</v>
      </c>
      <c r="K721" t="s">
        <v>21</v>
      </c>
      <c r="L721" t="s">
        <v>29</v>
      </c>
    </row>
    <row r="722" spans="1:12" x14ac:dyDescent="0.25">
      <c r="A722">
        <v>721</v>
      </c>
      <c r="B722">
        <v>23</v>
      </c>
      <c r="C722" t="s">
        <v>12</v>
      </c>
      <c r="D722" s="1">
        <v>45333</v>
      </c>
      <c r="E722" s="1">
        <v>45343</v>
      </c>
      <c r="F722" t="s">
        <v>31</v>
      </c>
      <c r="G722" t="s">
        <v>19</v>
      </c>
      <c r="H722">
        <v>10</v>
      </c>
      <c r="I722" t="s">
        <v>15</v>
      </c>
      <c r="J722">
        <v>2</v>
      </c>
      <c r="K722" t="s">
        <v>24</v>
      </c>
      <c r="L722" t="s">
        <v>25</v>
      </c>
    </row>
    <row r="723" spans="1:12" x14ac:dyDescent="0.25">
      <c r="A723">
        <v>722</v>
      </c>
      <c r="B723">
        <v>41</v>
      </c>
      <c r="C723" t="s">
        <v>26</v>
      </c>
      <c r="D723" s="1">
        <v>45462</v>
      </c>
      <c r="E723" s="1">
        <v>45468</v>
      </c>
      <c r="F723" t="s">
        <v>13</v>
      </c>
      <c r="G723" t="s">
        <v>19</v>
      </c>
      <c r="H723">
        <v>6</v>
      </c>
      <c r="I723" t="s">
        <v>15</v>
      </c>
      <c r="J723">
        <v>1</v>
      </c>
      <c r="K723" t="s">
        <v>24</v>
      </c>
      <c r="L723" t="s">
        <v>22</v>
      </c>
    </row>
    <row r="724" spans="1:12" x14ac:dyDescent="0.25">
      <c r="A724">
        <v>723</v>
      </c>
      <c r="B724">
        <v>44</v>
      </c>
      <c r="C724" t="s">
        <v>12</v>
      </c>
      <c r="D724" s="1">
        <v>45441</v>
      </c>
      <c r="E724" s="1">
        <v>45445</v>
      </c>
      <c r="F724" t="s">
        <v>28</v>
      </c>
      <c r="G724" t="s">
        <v>19</v>
      </c>
      <c r="H724">
        <v>4</v>
      </c>
      <c r="I724" t="s">
        <v>15</v>
      </c>
      <c r="J724">
        <v>1</v>
      </c>
      <c r="K724" t="s">
        <v>16</v>
      </c>
      <c r="L724" t="s">
        <v>30</v>
      </c>
    </row>
    <row r="725" spans="1:12" x14ac:dyDescent="0.25">
      <c r="A725">
        <v>724</v>
      </c>
      <c r="B725">
        <v>82</v>
      </c>
      <c r="C725" t="s">
        <v>26</v>
      </c>
      <c r="D725" s="1">
        <v>45329</v>
      </c>
      <c r="E725" s="1">
        <v>45332</v>
      </c>
      <c r="F725" t="s">
        <v>31</v>
      </c>
      <c r="G725" t="s">
        <v>23</v>
      </c>
      <c r="H725">
        <v>3</v>
      </c>
      <c r="I725" t="s">
        <v>15</v>
      </c>
      <c r="J725">
        <v>4</v>
      </c>
      <c r="K725" t="s">
        <v>21</v>
      </c>
      <c r="L725" t="s">
        <v>25</v>
      </c>
    </row>
    <row r="726" spans="1:12" x14ac:dyDescent="0.25">
      <c r="A726">
        <v>725</v>
      </c>
      <c r="B726">
        <v>69</v>
      </c>
      <c r="C726" t="s">
        <v>12</v>
      </c>
      <c r="D726" s="1">
        <v>45332</v>
      </c>
      <c r="E726" s="1">
        <v>45347</v>
      </c>
      <c r="F726" t="s">
        <v>13</v>
      </c>
      <c r="G726" t="s">
        <v>14</v>
      </c>
      <c r="H726">
        <v>15</v>
      </c>
      <c r="I726" t="s">
        <v>15</v>
      </c>
      <c r="J726">
        <v>1</v>
      </c>
      <c r="K726" t="s">
        <v>16</v>
      </c>
      <c r="L726" t="s">
        <v>22</v>
      </c>
    </row>
    <row r="727" spans="1:12" x14ac:dyDescent="0.25">
      <c r="A727">
        <v>726</v>
      </c>
      <c r="B727">
        <v>59</v>
      </c>
      <c r="C727" t="s">
        <v>26</v>
      </c>
      <c r="D727" s="1">
        <v>45355</v>
      </c>
      <c r="E727" s="1">
        <v>45368</v>
      </c>
      <c r="F727" t="s">
        <v>18</v>
      </c>
      <c r="G727" t="s">
        <v>19</v>
      </c>
      <c r="H727">
        <v>13</v>
      </c>
      <c r="I727" t="s">
        <v>15</v>
      </c>
      <c r="J727">
        <v>1</v>
      </c>
      <c r="K727" t="s">
        <v>16</v>
      </c>
      <c r="L727" t="s">
        <v>22</v>
      </c>
    </row>
    <row r="728" spans="1:12" x14ac:dyDescent="0.25">
      <c r="A728">
        <v>727</v>
      </c>
      <c r="B728">
        <v>84</v>
      </c>
      <c r="C728" t="s">
        <v>26</v>
      </c>
      <c r="D728" s="1">
        <v>45546</v>
      </c>
      <c r="E728" s="1">
        <v>45553</v>
      </c>
      <c r="F728" t="s">
        <v>31</v>
      </c>
      <c r="G728" t="s">
        <v>23</v>
      </c>
      <c r="H728">
        <v>7</v>
      </c>
      <c r="I728" t="s">
        <v>20</v>
      </c>
      <c r="J728">
        <v>4</v>
      </c>
      <c r="K728" t="s">
        <v>21</v>
      </c>
      <c r="L728" t="s">
        <v>17</v>
      </c>
    </row>
    <row r="729" spans="1:12" x14ac:dyDescent="0.25">
      <c r="A729">
        <v>728</v>
      </c>
      <c r="B729">
        <v>20</v>
      </c>
      <c r="C729" t="s">
        <v>26</v>
      </c>
      <c r="D729" s="1">
        <v>45469</v>
      </c>
      <c r="E729" s="1">
        <v>45472</v>
      </c>
      <c r="F729" t="s">
        <v>13</v>
      </c>
      <c r="G729" t="s">
        <v>14</v>
      </c>
      <c r="H729">
        <v>3</v>
      </c>
      <c r="I729" t="s">
        <v>15</v>
      </c>
      <c r="J729">
        <v>4</v>
      </c>
      <c r="K729" t="s">
        <v>21</v>
      </c>
      <c r="L729" t="s">
        <v>29</v>
      </c>
    </row>
    <row r="730" spans="1:12" x14ac:dyDescent="0.25">
      <c r="A730">
        <v>729</v>
      </c>
      <c r="B730">
        <v>63</v>
      </c>
      <c r="C730" t="s">
        <v>12</v>
      </c>
      <c r="D730" s="1">
        <v>45630</v>
      </c>
      <c r="E730" s="1">
        <v>45634</v>
      </c>
      <c r="F730" t="s">
        <v>31</v>
      </c>
      <c r="G730" t="s">
        <v>23</v>
      </c>
      <c r="H730">
        <v>4</v>
      </c>
      <c r="I730" t="s">
        <v>15</v>
      </c>
      <c r="J730">
        <v>2</v>
      </c>
      <c r="K730" t="s">
        <v>16</v>
      </c>
      <c r="L730" t="s">
        <v>22</v>
      </c>
    </row>
    <row r="731" spans="1:12" x14ac:dyDescent="0.25">
      <c r="A731">
        <v>730</v>
      </c>
      <c r="B731">
        <v>66</v>
      </c>
      <c r="C731" t="s">
        <v>26</v>
      </c>
      <c r="D731" s="1">
        <v>45362</v>
      </c>
      <c r="E731" s="1">
        <v>45368</v>
      </c>
      <c r="F731" t="s">
        <v>18</v>
      </c>
      <c r="G731" t="s">
        <v>19</v>
      </c>
      <c r="H731">
        <v>6</v>
      </c>
      <c r="I731" t="s">
        <v>15</v>
      </c>
      <c r="J731">
        <v>2</v>
      </c>
      <c r="K731" t="s">
        <v>21</v>
      </c>
      <c r="L731" t="s">
        <v>30</v>
      </c>
    </row>
    <row r="732" spans="1:12" x14ac:dyDescent="0.25">
      <c r="A732">
        <v>731</v>
      </c>
      <c r="B732">
        <v>71</v>
      </c>
      <c r="C732" t="s">
        <v>26</v>
      </c>
      <c r="D732" s="1">
        <v>45420</v>
      </c>
      <c r="E732" s="1">
        <v>45422</v>
      </c>
      <c r="F732" t="s">
        <v>28</v>
      </c>
      <c r="G732" t="s">
        <v>14</v>
      </c>
      <c r="H732">
        <v>2</v>
      </c>
      <c r="I732" t="s">
        <v>15</v>
      </c>
      <c r="J732">
        <v>4</v>
      </c>
      <c r="K732" t="s">
        <v>24</v>
      </c>
      <c r="L732" t="s">
        <v>22</v>
      </c>
    </row>
    <row r="733" spans="1:12" x14ac:dyDescent="0.25">
      <c r="A733">
        <v>732</v>
      </c>
      <c r="B733">
        <v>20</v>
      </c>
      <c r="C733" t="s">
        <v>26</v>
      </c>
      <c r="D733" s="1">
        <v>45381</v>
      </c>
      <c r="E733" s="1">
        <v>45390</v>
      </c>
      <c r="F733" t="s">
        <v>31</v>
      </c>
      <c r="G733" t="s">
        <v>14</v>
      </c>
      <c r="H733">
        <v>9</v>
      </c>
      <c r="I733" t="s">
        <v>15</v>
      </c>
      <c r="J733">
        <v>0</v>
      </c>
      <c r="K733" t="s">
        <v>21</v>
      </c>
      <c r="L733" t="s">
        <v>29</v>
      </c>
    </row>
    <row r="734" spans="1:12" x14ac:dyDescent="0.25">
      <c r="A734">
        <v>733</v>
      </c>
      <c r="B734">
        <v>70</v>
      </c>
      <c r="C734" t="s">
        <v>26</v>
      </c>
      <c r="D734" s="1">
        <v>45327</v>
      </c>
      <c r="E734" s="1">
        <v>45335</v>
      </c>
      <c r="F734" t="s">
        <v>27</v>
      </c>
      <c r="G734" t="s">
        <v>14</v>
      </c>
      <c r="H734">
        <v>8</v>
      </c>
      <c r="I734" t="s">
        <v>15</v>
      </c>
      <c r="J734">
        <v>3</v>
      </c>
      <c r="K734" t="s">
        <v>21</v>
      </c>
      <c r="L734" t="s">
        <v>22</v>
      </c>
    </row>
    <row r="735" spans="1:12" x14ac:dyDescent="0.25">
      <c r="A735">
        <v>734</v>
      </c>
      <c r="B735">
        <v>28</v>
      </c>
      <c r="C735" t="s">
        <v>12</v>
      </c>
      <c r="D735" s="1">
        <v>45445</v>
      </c>
      <c r="E735" s="1">
        <v>45448</v>
      </c>
      <c r="F735" t="s">
        <v>31</v>
      </c>
      <c r="G735" t="s">
        <v>19</v>
      </c>
      <c r="H735">
        <v>3</v>
      </c>
      <c r="I735" t="s">
        <v>15</v>
      </c>
      <c r="J735">
        <v>4</v>
      </c>
      <c r="K735" t="s">
        <v>21</v>
      </c>
      <c r="L735" t="s">
        <v>29</v>
      </c>
    </row>
    <row r="736" spans="1:12" x14ac:dyDescent="0.25">
      <c r="A736">
        <v>735</v>
      </c>
      <c r="B736">
        <v>22</v>
      </c>
      <c r="C736" t="s">
        <v>12</v>
      </c>
      <c r="D736" s="1">
        <v>45570</v>
      </c>
      <c r="E736" s="1">
        <v>45572</v>
      </c>
      <c r="F736" t="s">
        <v>18</v>
      </c>
      <c r="G736" t="s">
        <v>14</v>
      </c>
      <c r="H736">
        <v>2</v>
      </c>
      <c r="I736" t="s">
        <v>15</v>
      </c>
      <c r="J736">
        <v>3</v>
      </c>
      <c r="K736" t="s">
        <v>24</v>
      </c>
      <c r="L736" t="s">
        <v>25</v>
      </c>
    </row>
    <row r="737" spans="1:12" x14ac:dyDescent="0.25">
      <c r="A737">
        <v>736</v>
      </c>
      <c r="B737">
        <v>76</v>
      </c>
      <c r="C737" t="s">
        <v>12</v>
      </c>
      <c r="D737" s="1">
        <v>45408</v>
      </c>
      <c r="E737" s="1">
        <v>45418</v>
      </c>
      <c r="F737" t="s">
        <v>31</v>
      </c>
      <c r="G737" t="s">
        <v>14</v>
      </c>
      <c r="H737">
        <v>10</v>
      </c>
      <c r="I737" t="s">
        <v>15</v>
      </c>
      <c r="J737">
        <v>0</v>
      </c>
      <c r="K737" t="s">
        <v>24</v>
      </c>
      <c r="L737" t="s">
        <v>29</v>
      </c>
    </row>
    <row r="738" spans="1:12" x14ac:dyDescent="0.25">
      <c r="A738">
        <v>737</v>
      </c>
      <c r="B738">
        <v>76</v>
      </c>
      <c r="C738" t="s">
        <v>12</v>
      </c>
      <c r="D738" s="1">
        <v>45431</v>
      </c>
      <c r="E738" s="1">
        <v>45446</v>
      </c>
      <c r="F738" t="s">
        <v>18</v>
      </c>
      <c r="G738" t="s">
        <v>19</v>
      </c>
      <c r="H738">
        <v>15</v>
      </c>
      <c r="I738" t="s">
        <v>15</v>
      </c>
      <c r="J738">
        <v>3</v>
      </c>
      <c r="K738" t="s">
        <v>16</v>
      </c>
      <c r="L738" t="s">
        <v>17</v>
      </c>
    </row>
    <row r="739" spans="1:12" x14ac:dyDescent="0.25">
      <c r="A739">
        <v>738</v>
      </c>
      <c r="B739">
        <v>33</v>
      </c>
      <c r="C739" t="s">
        <v>26</v>
      </c>
      <c r="D739" s="1">
        <v>45292</v>
      </c>
      <c r="E739" s="1">
        <v>45304</v>
      </c>
      <c r="F739" t="s">
        <v>13</v>
      </c>
      <c r="G739" t="s">
        <v>14</v>
      </c>
      <c r="H739">
        <v>12</v>
      </c>
      <c r="I739" t="s">
        <v>15</v>
      </c>
      <c r="J739">
        <v>1</v>
      </c>
      <c r="K739" t="s">
        <v>21</v>
      </c>
      <c r="L739" t="s">
        <v>25</v>
      </c>
    </row>
    <row r="740" spans="1:12" x14ac:dyDescent="0.25">
      <c r="A740">
        <v>739</v>
      </c>
      <c r="B740">
        <v>56</v>
      </c>
      <c r="C740" t="s">
        <v>12</v>
      </c>
      <c r="D740" s="1">
        <v>45298</v>
      </c>
      <c r="E740" s="1">
        <v>45313</v>
      </c>
      <c r="F740" t="s">
        <v>28</v>
      </c>
      <c r="G740" t="s">
        <v>14</v>
      </c>
      <c r="H740">
        <v>15</v>
      </c>
      <c r="I740" t="s">
        <v>15</v>
      </c>
      <c r="J740">
        <v>0</v>
      </c>
      <c r="K740" t="s">
        <v>21</v>
      </c>
      <c r="L740" t="s">
        <v>22</v>
      </c>
    </row>
    <row r="741" spans="1:12" x14ac:dyDescent="0.25">
      <c r="A741">
        <v>740</v>
      </c>
      <c r="B741">
        <v>46</v>
      </c>
      <c r="C741" t="s">
        <v>12</v>
      </c>
      <c r="D741" s="1">
        <v>45404</v>
      </c>
      <c r="E741" s="1">
        <v>45406</v>
      </c>
      <c r="F741" t="s">
        <v>31</v>
      </c>
      <c r="G741" t="s">
        <v>23</v>
      </c>
      <c r="H741">
        <v>2</v>
      </c>
      <c r="I741" t="s">
        <v>15</v>
      </c>
      <c r="J741">
        <v>1</v>
      </c>
      <c r="K741" t="s">
        <v>21</v>
      </c>
      <c r="L741" t="s">
        <v>29</v>
      </c>
    </row>
    <row r="742" spans="1:12" x14ac:dyDescent="0.25">
      <c r="A742">
        <v>741</v>
      </c>
      <c r="B742">
        <v>27</v>
      </c>
      <c r="C742" t="s">
        <v>12</v>
      </c>
      <c r="D742" s="1">
        <v>45629</v>
      </c>
      <c r="E742" s="1">
        <v>45643</v>
      </c>
      <c r="F742" t="s">
        <v>28</v>
      </c>
      <c r="G742" t="s">
        <v>19</v>
      </c>
      <c r="H742">
        <v>14</v>
      </c>
      <c r="I742" t="s">
        <v>20</v>
      </c>
      <c r="J742">
        <v>2</v>
      </c>
      <c r="K742" t="s">
        <v>16</v>
      </c>
      <c r="L742" t="s">
        <v>25</v>
      </c>
    </row>
    <row r="743" spans="1:12" x14ac:dyDescent="0.25">
      <c r="A743">
        <v>742</v>
      </c>
      <c r="B743">
        <v>28</v>
      </c>
      <c r="C743" t="s">
        <v>26</v>
      </c>
      <c r="D743" s="1">
        <v>45466</v>
      </c>
      <c r="E743" s="1">
        <v>45467</v>
      </c>
      <c r="F743" t="s">
        <v>13</v>
      </c>
      <c r="G743" t="s">
        <v>23</v>
      </c>
      <c r="H743">
        <v>1</v>
      </c>
      <c r="I743" t="s">
        <v>15</v>
      </c>
      <c r="J743">
        <v>3</v>
      </c>
      <c r="K743" t="s">
        <v>24</v>
      </c>
      <c r="L743" t="s">
        <v>22</v>
      </c>
    </row>
    <row r="744" spans="1:12" x14ac:dyDescent="0.25">
      <c r="A744">
        <v>743</v>
      </c>
      <c r="B744">
        <v>28</v>
      </c>
      <c r="C744" t="s">
        <v>26</v>
      </c>
      <c r="D744" s="1">
        <v>45336</v>
      </c>
      <c r="E744" s="1">
        <v>45337</v>
      </c>
      <c r="F744" t="s">
        <v>13</v>
      </c>
      <c r="G744" t="s">
        <v>23</v>
      </c>
      <c r="H744">
        <v>1</v>
      </c>
      <c r="I744" t="s">
        <v>20</v>
      </c>
      <c r="J744">
        <v>3</v>
      </c>
      <c r="K744" t="s">
        <v>24</v>
      </c>
      <c r="L744" t="s">
        <v>22</v>
      </c>
    </row>
    <row r="745" spans="1:12" x14ac:dyDescent="0.25">
      <c r="A745">
        <v>744</v>
      </c>
      <c r="B745">
        <v>79</v>
      </c>
      <c r="C745" t="s">
        <v>12</v>
      </c>
      <c r="D745" s="1">
        <v>45642</v>
      </c>
      <c r="E745" s="1">
        <v>45650</v>
      </c>
      <c r="F745" t="s">
        <v>13</v>
      </c>
      <c r="G745" t="s">
        <v>19</v>
      </c>
      <c r="H745">
        <v>8</v>
      </c>
      <c r="I745" t="s">
        <v>15</v>
      </c>
      <c r="J745">
        <v>1</v>
      </c>
      <c r="K745" t="s">
        <v>21</v>
      </c>
      <c r="L745" t="s">
        <v>30</v>
      </c>
    </row>
    <row r="746" spans="1:12" x14ac:dyDescent="0.25">
      <c r="A746">
        <v>745</v>
      </c>
      <c r="B746">
        <v>83</v>
      </c>
      <c r="C746" t="s">
        <v>12</v>
      </c>
      <c r="D746" s="1">
        <v>45341</v>
      </c>
      <c r="E746" s="1">
        <v>45346</v>
      </c>
      <c r="F746" t="s">
        <v>31</v>
      </c>
      <c r="G746" t="s">
        <v>19</v>
      </c>
      <c r="H746">
        <v>5</v>
      </c>
      <c r="I746" t="s">
        <v>20</v>
      </c>
      <c r="J746">
        <v>1</v>
      </c>
      <c r="K746" t="s">
        <v>21</v>
      </c>
      <c r="L746" t="s">
        <v>25</v>
      </c>
    </row>
    <row r="747" spans="1:12" x14ac:dyDescent="0.25">
      <c r="A747">
        <v>746</v>
      </c>
      <c r="B747">
        <v>55</v>
      </c>
      <c r="C747" t="s">
        <v>12</v>
      </c>
      <c r="D747" s="1">
        <v>45384</v>
      </c>
      <c r="E747" s="1">
        <v>45391</v>
      </c>
      <c r="F747" t="s">
        <v>18</v>
      </c>
      <c r="G747" t="s">
        <v>19</v>
      </c>
      <c r="H747">
        <v>7</v>
      </c>
      <c r="I747" t="s">
        <v>15</v>
      </c>
      <c r="J747">
        <v>0</v>
      </c>
      <c r="K747" t="s">
        <v>16</v>
      </c>
      <c r="L747" t="s">
        <v>29</v>
      </c>
    </row>
    <row r="748" spans="1:12" x14ac:dyDescent="0.25">
      <c r="A748">
        <v>747</v>
      </c>
      <c r="B748">
        <v>24</v>
      </c>
      <c r="C748" t="s">
        <v>12</v>
      </c>
      <c r="D748" s="1">
        <v>45518</v>
      </c>
      <c r="E748" s="1">
        <v>45531</v>
      </c>
      <c r="F748" t="s">
        <v>27</v>
      </c>
      <c r="G748" t="s">
        <v>23</v>
      </c>
      <c r="H748">
        <v>13</v>
      </c>
      <c r="I748" t="s">
        <v>15</v>
      </c>
      <c r="J748">
        <v>0</v>
      </c>
      <c r="K748" t="s">
        <v>16</v>
      </c>
      <c r="L748" t="s">
        <v>25</v>
      </c>
    </row>
    <row r="749" spans="1:12" x14ac:dyDescent="0.25">
      <c r="A749">
        <v>748</v>
      </c>
      <c r="B749">
        <v>44</v>
      </c>
      <c r="C749" t="s">
        <v>26</v>
      </c>
      <c r="D749" s="1">
        <v>45592</v>
      </c>
      <c r="E749" s="1">
        <v>45605</v>
      </c>
      <c r="F749" t="s">
        <v>28</v>
      </c>
      <c r="G749" t="s">
        <v>23</v>
      </c>
      <c r="H749">
        <v>13</v>
      </c>
      <c r="I749" t="s">
        <v>15</v>
      </c>
      <c r="J749">
        <v>1</v>
      </c>
      <c r="K749" t="s">
        <v>21</v>
      </c>
      <c r="L749" t="s">
        <v>17</v>
      </c>
    </row>
    <row r="750" spans="1:12" x14ac:dyDescent="0.25">
      <c r="A750">
        <v>749</v>
      </c>
      <c r="B750">
        <v>65</v>
      </c>
      <c r="C750" t="s">
        <v>12</v>
      </c>
      <c r="D750" s="1">
        <v>45429</v>
      </c>
      <c r="E750" s="1">
        <v>45435</v>
      </c>
      <c r="F750" t="s">
        <v>13</v>
      </c>
      <c r="G750" t="s">
        <v>14</v>
      </c>
      <c r="H750">
        <v>6</v>
      </c>
      <c r="I750" t="s">
        <v>15</v>
      </c>
      <c r="J750">
        <v>1</v>
      </c>
      <c r="K750" t="s">
        <v>24</v>
      </c>
      <c r="L750" t="s">
        <v>17</v>
      </c>
    </row>
    <row r="751" spans="1:12" x14ac:dyDescent="0.25">
      <c r="A751">
        <v>750</v>
      </c>
      <c r="B751">
        <v>59</v>
      </c>
      <c r="C751" t="s">
        <v>26</v>
      </c>
      <c r="D751" s="1">
        <v>45650</v>
      </c>
      <c r="E751" s="1">
        <v>45660</v>
      </c>
      <c r="F751" t="s">
        <v>27</v>
      </c>
      <c r="G751" t="s">
        <v>19</v>
      </c>
      <c r="H751">
        <v>10</v>
      </c>
      <c r="I751" t="s">
        <v>20</v>
      </c>
      <c r="J751">
        <v>0</v>
      </c>
      <c r="K751" t="s">
        <v>21</v>
      </c>
      <c r="L751" t="s">
        <v>30</v>
      </c>
    </row>
    <row r="752" spans="1:12" x14ac:dyDescent="0.25">
      <c r="A752">
        <v>751</v>
      </c>
      <c r="B752">
        <v>55</v>
      </c>
      <c r="C752" t="s">
        <v>26</v>
      </c>
      <c r="D752" s="1">
        <v>45297</v>
      </c>
      <c r="E752" s="1">
        <v>45311</v>
      </c>
      <c r="F752" t="s">
        <v>27</v>
      </c>
      <c r="G752" t="s">
        <v>14</v>
      </c>
      <c r="H752">
        <v>14</v>
      </c>
      <c r="I752" t="s">
        <v>15</v>
      </c>
      <c r="J752">
        <v>1</v>
      </c>
      <c r="K752" t="s">
        <v>24</v>
      </c>
      <c r="L752" t="s">
        <v>29</v>
      </c>
    </row>
    <row r="753" spans="1:12" x14ac:dyDescent="0.25">
      <c r="A753">
        <v>752</v>
      </c>
      <c r="B753">
        <v>37</v>
      </c>
      <c r="C753" t="s">
        <v>26</v>
      </c>
      <c r="D753" s="1">
        <v>45532</v>
      </c>
      <c r="E753" s="1">
        <v>45533</v>
      </c>
      <c r="F753" t="s">
        <v>31</v>
      </c>
      <c r="G753" t="s">
        <v>23</v>
      </c>
      <c r="H753">
        <v>1</v>
      </c>
      <c r="I753" t="s">
        <v>15</v>
      </c>
      <c r="J753">
        <v>1</v>
      </c>
      <c r="K753" t="s">
        <v>16</v>
      </c>
      <c r="L753" t="s">
        <v>17</v>
      </c>
    </row>
    <row r="754" spans="1:12" x14ac:dyDescent="0.25">
      <c r="A754">
        <v>753</v>
      </c>
      <c r="B754">
        <v>52</v>
      </c>
      <c r="C754" t="s">
        <v>12</v>
      </c>
      <c r="D754" s="1">
        <v>45522</v>
      </c>
      <c r="E754" s="1">
        <v>45536</v>
      </c>
      <c r="F754" t="s">
        <v>18</v>
      </c>
      <c r="G754" t="s">
        <v>14</v>
      </c>
      <c r="H754">
        <v>14</v>
      </c>
      <c r="I754" t="s">
        <v>15</v>
      </c>
      <c r="J754">
        <v>1</v>
      </c>
      <c r="K754" t="s">
        <v>16</v>
      </c>
      <c r="L754" t="s">
        <v>29</v>
      </c>
    </row>
    <row r="755" spans="1:12" x14ac:dyDescent="0.25">
      <c r="A755">
        <v>754</v>
      </c>
      <c r="B755">
        <v>87</v>
      </c>
      <c r="C755" t="s">
        <v>12</v>
      </c>
      <c r="D755" s="1">
        <v>45498</v>
      </c>
      <c r="E755" s="1">
        <v>45506</v>
      </c>
      <c r="F755" t="s">
        <v>31</v>
      </c>
      <c r="G755" t="s">
        <v>14</v>
      </c>
      <c r="H755">
        <v>8</v>
      </c>
      <c r="I755" t="s">
        <v>20</v>
      </c>
      <c r="J755">
        <v>2</v>
      </c>
      <c r="K755" t="s">
        <v>24</v>
      </c>
      <c r="L755" t="s">
        <v>30</v>
      </c>
    </row>
    <row r="756" spans="1:12" x14ac:dyDescent="0.25">
      <c r="A756">
        <v>755</v>
      </c>
      <c r="B756">
        <v>71</v>
      </c>
      <c r="C756" t="s">
        <v>26</v>
      </c>
      <c r="D756" s="1">
        <v>45303</v>
      </c>
      <c r="E756" s="1">
        <v>45306</v>
      </c>
      <c r="F756" t="s">
        <v>13</v>
      </c>
      <c r="G756" t="s">
        <v>14</v>
      </c>
      <c r="H756">
        <v>3</v>
      </c>
      <c r="I756" t="s">
        <v>20</v>
      </c>
      <c r="J756">
        <v>1</v>
      </c>
      <c r="K756" t="s">
        <v>24</v>
      </c>
      <c r="L756" t="s">
        <v>25</v>
      </c>
    </row>
    <row r="757" spans="1:12" x14ac:dyDescent="0.25">
      <c r="A757">
        <v>756</v>
      </c>
      <c r="B757">
        <v>26</v>
      </c>
      <c r="C757" t="s">
        <v>12</v>
      </c>
      <c r="D757" s="1">
        <v>45439</v>
      </c>
      <c r="E757" s="1">
        <v>45449</v>
      </c>
      <c r="F757" t="s">
        <v>13</v>
      </c>
      <c r="G757" t="s">
        <v>19</v>
      </c>
      <c r="H757">
        <v>10</v>
      </c>
      <c r="I757" t="s">
        <v>15</v>
      </c>
      <c r="J757">
        <v>4</v>
      </c>
      <c r="K757" t="s">
        <v>21</v>
      </c>
      <c r="L757" t="s">
        <v>30</v>
      </c>
    </row>
    <row r="758" spans="1:12" x14ac:dyDescent="0.25">
      <c r="A758">
        <v>757</v>
      </c>
      <c r="B758">
        <v>77</v>
      </c>
      <c r="C758" t="s">
        <v>12</v>
      </c>
      <c r="D758" s="1">
        <v>45368</v>
      </c>
      <c r="E758" s="1">
        <v>45380</v>
      </c>
      <c r="F758" t="s">
        <v>31</v>
      </c>
      <c r="G758" t="s">
        <v>19</v>
      </c>
      <c r="H758">
        <v>12</v>
      </c>
      <c r="I758" t="s">
        <v>20</v>
      </c>
      <c r="J758">
        <v>1</v>
      </c>
      <c r="K758" t="s">
        <v>21</v>
      </c>
      <c r="L758" t="s">
        <v>17</v>
      </c>
    </row>
    <row r="759" spans="1:12" x14ac:dyDescent="0.25">
      <c r="A759">
        <v>758</v>
      </c>
      <c r="B759">
        <v>61</v>
      </c>
      <c r="C759" t="s">
        <v>12</v>
      </c>
      <c r="D759" s="1">
        <v>45497</v>
      </c>
      <c r="E759" s="1">
        <v>45511</v>
      </c>
      <c r="F759" t="s">
        <v>18</v>
      </c>
      <c r="G759" t="s">
        <v>23</v>
      </c>
      <c r="H759">
        <v>14</v>
      </c>
      <c r="I759" t="s">
        <v>20</v>
      </c>
      <c r="J759">
        <v>2</v>
      </c>
      <c r="K759" t="s">
        <v>24</v>
      </c>
      <c r="L759" t="s">
        <v>30</v>
      </c>
    </row>
    <row r="760" spans="1:12" x14ac:dyDescent="0.25">
      <c r="A760">
        <v>759</v>
      </c>
      <c r="B760">
        <v>65</v>
      </c>
      <c r="C760" t="s">
        <v>26</v>
      </c>
      <c r="D760" s="1">
        <v>45356</v>
      </c>
      <c r="E760" s="1">
        <v>45364</v>
      </c>
      <c r="F760" t="s">
        <v>27</v>
      </c>
      <c r="G760" t="s">
        <v>23</v>
      </c>
      <c r="H760">
        <v>8</v>
      </c>
      <c r="I760" t="s">
        <v>20</v>
      </c>
      <c r="J760">
        <v>4</v>
      </c>
      <c r="K760" t="s">
        <v>21</v>
      </c>
      <c r="L760" t="s">
        <v>29</v>
      </c>
    </row>
    <row r="761" spans="1:12" x14ac:dyDescent="0.25">
      <c r="A761">
        <v>760</v>
      </c>
      <c r="B761">
        <v>68</v>
      </c>
      <c r="C761" t="s">
        <v>26</v>
      </c>
      <c r="D761" s="1">
        <v>45449</v>
      </c>
      <c r="E761" s="1">
        <v>45457</v>
      </c>
      <c r="F761" t="s">
        <v>18</v>
      </c>
      <c r="G761" t="s">
        <v>14</v>
      </c>
      <c r="H761">
        <v>8</v>
      </c>
      <c r="I761" t="s">
        <v>15</v>
      </c>
      <c r="J761">
        <v>0</v>
      </c>
      <c r="K761" t="s">
        <v>16</v>
      </c>
      <c r="L761" t="s">
        <v>22</v>
      </c>
    </row>
    <row r="762" spans="1:12" x14ac:dyDescent="0.25">
      <c r="A762">
        <v>761</v>
      </c>
      <c r="B762">
        <v>87</v>
      </c>
      <c r="C762" t="s">
        <v>12</v>
      </c>
      <c r="D762" s="1">
        <v>45421</v>
      </c>
      <c r="E762" s="1">
        <v>45428</v>
      </c>
      <c r="F762" t="s">
        <v>13</v>
      </c>
      <c r="G762" t="s">
        <v>19</v>
      </c>
      <c r="H762">
        <v>7</v>
      </c>
      <c r="I762" t="s">
        <v>15</v>
      </c>
      <c r="J762">
        <v>2</v>
      </c>
      <c r="K762" t="s">
        <v>21</v>
      </c>
      <c r="L762" t="s">
        <v>30</v>
      </c>
    </row>
    <row r="763" spans="1:12" x14ac:dyDescent="0.25">
      <c r="A763">
        <v>762</v>
      </c>
      <c r="B763">
        <v>38</v>
      </c>
      <c r="C763" t="s">
        <v>12</v>
      </c>
      <c r="D763" s="1">
        <v>45406</v>
      </c>
      <c r="E763" s="1">
        <v>45421</v>
      </c>
      <c r="F763" t="s">
        <v>28</v>
      </c>
      <c r="G763" t="s">
        <v>23</v>
      </c>
      <c r="H763">
        <v>15</v>
      </c>
      <c r="I763" t="s">
        <v>15</v>
      </c>
      <c r="J763">
        <v>3</v>
      </c>
      <c r="K763" t="s">
        <v>21</v>
      </c>
      <c r="L763" t="s">
        <v>25</v>
      </c>
    </row>
    <row r="764" spans="1:12" x14ac:dyDescent="0.25">
      <c r="A764">
        <v>763</v>
      </c>
      <c r="B764">
        <v>69</v>
      </c>
      <c r="C764" t="s">
        <v>12</v>
      </c>
      <c r="D764" s="1">
        <v>45335</v>
      </c>
      <c r="E764" s="1">
        <v>45336</v>
      </c>
      <c r="F764" t="s">
        <v>13</v>
      </c>
      <c r="G764" t="s">
        <v>19</v>
      </c>
      <c r="H764">
        <v>1</v>
      </c>
      <c r="I764" t="s">
        <v>15</v>
      </c>
      <c r="J764">
        <v>3</v>
      </c>
      <c r="K764" t="s">
        <v>21</v>
      </c>
      <c r="L764" t="s">
        <v>29</v>
      </c>
    </row>
    <row r="765" spans="1:12" x14ac:dyDescent="0.25">
      <c r="A765">
        <v>764</v>
      </c>
      <c r="B765">
        <v>83</v>
      </c>
      <c r="C765" t="s">
        <v>26</v>
      </c>
      <c r="D765" s="1">
        <v>45344</v>
      </c>
      <c r="E765" s="1">
        <v>45351</v>
      </c>
      <c r="F765" t="s">
        <v>31</v>
      </c>
      <c r="G765" t="s">
        <v>14</v>
      </c>
      <c r="H765">
        <v>7</v>
      </c>
      <c r="I765" t="s">
        <v>15</v>
      </c>
      <c r="J765">
        <v>1</v>
      </c>
      <c r="K765" t="s">
        <v>16</v>
      </c>
      <c r="L765" t="s">
        <v>30</v>
      </c>
    </row>
    <row r="766" spans="1:12" x14ac:dyDescent="0.25">
      <c r="A766">
        <v>765</v>
      </c>
      <c r="B766">
        <v>54</v>
      </c>
      <c r="C766" t="s">
        <v>12</v>
      </c>
      <c r="D766" s="1">
        <v>45612</v>
      </c>
      <c r="E766" s="1">
        <v>45621</v>
      </c>
      <c r="F766" t="s">
        <v>13</v>
      </c>
      <c r="G766" t="s">
        <v>23</v>
      </c>
      <c r="H766">
        <v>9</v>
      </c>
      <c r="I766" t="s">
        <v>15</v>
      </c>
      <c r="J766">
        <v>4</v>
      </c>
      <c r="K766" t="s">
        <v>24</v>
      </c>
      <c r="L766" t="s">
        <v>30</v>
      </c>
    </row>
    <row r="767" spans="1:12" x14ac:dyDescent="0.25">
      <c r="A767">
        <v>766</v>
      </c>
      <c r="B767">
        <v>52</v>
      </c>
      <c r="C767" t="s">
        <v>26</v>
      </c>
      <c r="D767" s="1">
        <v>45383</v>
      </c>
      <c r="E767" s="1">
        <v>45396</v>
      </c>
      <c r="F767" t="s">
        <v>28</v>
      </c>
      <c r="G767" t="s">
        <v>19</v>
      </c>
      <c r="H767">
        <v>13</v>
      </c>
      <c r="I767" t="s">
        <v>15</v>
      </c>
      <c r="J767">
        <v>4</v>
      </c>
      <c r="K767" t="s">
        <v>24</v>
      </c>
      <c r="L767" t="s">
        <v>30</v>
      </c>
    </row>
    <row r="768" spans="1:12" x14ac:dyDescent="0.25">
      <c r="A768">
        <v>767</v>
      </c>
      <c r="B768">
        <v>37</v>
      </c>
      <c r="C768" t="s">
        <v>12</v>
      </c>
      <c r="D768" s="1">
        <v>45492</v>
      </c>
      <c r="E768" s="1">
        <v>45500</v>
      </c>
      <c r="F768" t="s">
        <v>27</v>
      </c>
      <c r="G768" t="s">
        <v>19</v>
      </c>
      <c r="H768">
        <v>8</v>
      </c>
      <c r="I768" t="s">
        <v>15</v>
      </c>
      <c r="J768">
        <v>1</v>
      </c>
      <c r="K768" t="s">
        <v>16</v>
      </c>
      <c r="L768" t="s">
        <v>25</v>
      </c>
    </row>
    <row r="769" spans="1:12" x14ac:dyDescent="0.25">
      <c r="A769">
        <v>768</v>
      </c>
      <c r="B769">
        <v>34</v>
      </c>
      <c r="C769" t="s">
        <v>12</v>
      </c>
      <c r="D769" s="1">
        <v>45638</v>
      </c>
      <c r="E769" s="1">
        <v>45643</v>
      </c>
      <c r="F769" t="s">
        <v>27</v>
      </c>
      <c r="G769" t="s">
        <v>23</v>
      </c>
      <c r="H769">
        <v>5</v>
      </c>
      <c r="I769" t="s">
        <v>20</v>
      </c>
      <c r="J769">
        <v>4</v>
      </c>
      <c r="K769" t="s">
        <v>21</v>
      </c>
      <c r="L769" t="s">
        <v>25</v>
      </c>
    </row>
    <row r="770" spans="1:12" x14ac:dyDescent="0.25">
      <c r="A770">
        <v>769</v>
      </c>
      <c r="B770">
        <v>67</v>
      </c>
      <c r="C770" t="s">
        <v>12</v>
      </c>
      <c r="D770" s="1">
        <v>45449</v>
      </c>
      <c r="E770" s="1">
        <v>45461</v>
      </c>
      <c r="F770" t="s">
        <v>28</v>
      </c>
      <c r="G770" t="s">
        <v>19</v>
      </c>
      <c r="H770">
        <v>12</v>
      </c>
      <c r="I770" t="s">
        <v>15</v>
      </c>
      <c r="J770">
        <v>0</v>
      </c>
      <c r="K770" t="s">
        <v>21</v>
      </c>
      <c r="L770" t="s">
        <v>25</v>
      </c>
    </row>
    <row r="771" spans="1:12" x14ac:dyDescent="0.25">
      <c r="A771">
        <v>770</v>
      </c>
      <c r="B771">
        <v>62</v>
      </c>
      <c r="C771" t="s">
        <v>26</v>
      </c>
      <c r="D771" s="1">
        <v>45585</v>
      </c>
      <c r="E771" s="1">
        <v>45600</v>
      </c>
      <c r="F771" t="s">
        <v>27</v>
      </c>
      <c r="G771" t="s">
        <v>19</v>
      </c>
      <c r="H771">
        <v>15</v>
      </c>
      <c r="I771" t="s">
        <v>15</v>
      </c>
      <c r="J771">
        <v>4</v>
      </c>
      <c r="K771" t="s">
        <v>16</v>
      </c>
      <c r="L771" t="s">
        <v>25</v>
      </c>
    </row>
    <row r="772" spans="1:12" x14ac:dyDescent="0.25">
      <c r="A772">
        <v>771</v>
      </c>
      <c r="B772">
        <v>67</v>
      </c>
      <c r="C772" t="s">
        <v>26</v>
      </c>
      <c r="D772" s="1">
        <v>45492</v>
      </c>
      <c r="E772" s="1">
        <v>45506</v>
      </c>
      <c r="F772" t="s">
        <v>31</v>
      </c>
      <c r="G772" t="s">
        <v>23</v>
      </c>
      <c r="H772">
        <v>14</v>
      </c>
      <c r="I772" t="s">
        <v>15</v>
      </c>
      <c r="J772">
        <v>0</v>
      </c>
      <c r="K772" t="s">
        <v>21</v>
      </c>
      <c r="L772" t="s">
        <v>29</v>
      </c>
    </row>
    <row r="773" spans="1:12" x14ac:dyDescent="0.25">
      <c r="A773">
        <v>772</v>
      </c>
      <c r="B773">
        <v>77</v>
      </c>
      <c r="C773" t="s">
        <v>12</v>
      </c>
      <c r="D773" s="1">
        <v>45351</v>
      </c>
      <c r="E773" s="1">
        <v>45364</v>
      </c>
      <c r="F773" t="s">
        <v>31</v>
      </c>
      <c r="G773" t="s">
        <v>19</v>
      </c>
      <c r="H773">
        <v>13</v>
      </c>
      <c r="I773" t="s">
        <v>15</v>
      </c>
      <c r="J773">
        <v>0</v>
      </c>
      <c r="K773" t="s">
        <v>21</v>
      </c>
      <c r="L773" t="s">
        <v>22</v>
      </c>
    </row>
    <row r="774" spans="1:12" x14ac:dyDescent="0.25">
      <c r="A774">
        <v>773</v>
      </c>
      <c r="B774">
        <v>67</v>
      </c>
      <c r="C774" t="s">
        <v>12</v>
      </c>
      <c r="D774" s="1">
        <v>45433</v>
      </c>
      <c r="E774" s="1">
        <v>45444</v>
      </c>
      <c r="F774" t="s">
        <v>31</v>
      </c>
      <c r="G774" t="s">
        <v>14</v>
      </c>
      <c r="H774">
        <v>11</v>
      </c>
      <c r="I774" t="s">
        <v>15</v>
      </c>
      <c r="J774">
        <v>2</v>
      </c>
      <c r="K774" t="s">
        <v>24</v>
      </c>
      <c r="L774" t="s">
        <v>17</v>
      </c>
    </row>
    <row r="775" spans="1:12" x14ac:dyDescent="0.25">
      <c r="A775">
        <v>774</v>
      </c>
      <c r="B775">
        <v>63</v>
      </c>
      <c r="C775" t="s">
        <v>12</v>
      </c>
      <c r="D775" s="1">
        <v>45392</v>
      </c>
      <c r="E775" s="1">
        <v>45396</v>
      </c>
      <c r="F775" t="s">
        <v>18</v>
      </c>
      <c r="G775" t="s">
        <v>14</v>
      </c>
      <c r="H775">
        <v>4</v>
      </c>
      <c r="I775" t="s">
        <v>20</v>
      </c>
      <c r="J775">
        <v>1</v>
      </c>
      <c r="K775" t="s">
        <v>16</v>
      </c>
      <c r="L775" t="s">
        <v>22</v>
      </c>
    </row>
    <row r="776" spans="1:12" x14ac:dyDescent="0.25">
      <c r="A776">
        <v>775</v>
      </c>
      <c r="B776">
        <v>52</v>
      </c>
      <c r="C776" t="s">
        <v>12</v>
      </c>
      <c r="D776" s="1">
        <v>45401</v>
      </c>
      <c r="E776" s="1">
        <v>45402</v>
      </c>
      <c r="F776" t="s">
        <v>28</v>
      </c>
      <c r="G776" t="s">
        <v>14</v>
      </c>
      <c r="H776">
        <v>1</v>
      </c>
      <c r="I776" t="s">
        <v>20</v>
      </c>
      <c r="J776">
        <v>4</v>
      </c>
      <c r="K776" t="s">
        <v>16</v>
      </c>
      <c r="L776" t="s">
        <v>30</v>
      </c>
    </row>
    <row r="777" spans="1:12" x14ac:dyDescent="0.25">
      <c r="A777">
        <v>776</v>
      </c>
      <c r="B777">
        <v>83</v>
      </c>
      <c r="C777" t="s">
        <v>26</v>
      </c>
      <c r="D777" s="1">
        <v>45390</v>
      </c>
      <c r="E777" s="1">
        <v>45391</v>
      </c>
      <c r="F777" t="s">
        <v>13</v>
      </c>
      <c r="G777" t="s">
        <v>14</v>
      </c>
      <c r="H777">
        <v>1</v>
      </c>
      <c r="I777" t="s">
        <v>20</v>
      </c>
      <c r="J777">
        <v>1</v>
      </c>
      <c r="K777" t="s">
        <v>16</v>
      </c>
      <c r="L777" t="s">
        <v>25</v>
      </c>
    </row>
    <row r="778" spans="1:12" x14ac:dyDescent="0.25">
      <c r="A778">
        <v>777</v>
      </c>
      <c r="B778">
        <v>33</v>
      </c>
      <c r="C778" t="s">
        <v>12</v>
      </c>
      <c r="D778" s="1">
        <v>45304</v>
      </c>
      <c r="E778" s="1">
        <v>45311</v>
      </c>
      <c r="F778" t="s">
        <v>13</v>
      </c>
      <c r="G778" t="s">
        <v>14</v>
      </c>
      <c r="H778">
        <v>7</v>
      </c>
      <c r="I778" t="s">
        <v>20</v>
      </c>
      <c r="J778">
        <v>4</v>
      </c>
      <c r="K778" t="s">
        <v>24</v>
      </c>
      <c r="L778" t="s">
        <v>22</v>
      </c>
    </row>
    <row r="779" spans="1:12" x14ac:dyDescent="0.25">
      <c r="A779">
        <v>778</v>
      </c>
      <c r="B779">
        <v>66</v>
      </c>
      <c r="C779" t="s">
        <v>26</v>
      </c>
      <c r="D779" s="1">
        <v>45480</v>
      </c>
      <c r="E779" s="1">
        <v>45487</v>
      </c>
      <c r="F779" t="s">
        <v>27</v>
      </c>
      <c r="G779" t="s">
        <v>19</v>
      </c>
      <c r="H779">
        <v>7</v>
      </c>
      <c r="I779" t="s">
        <v>15</v>
      </c>
      <c r="J779">
        <v>3</v>
      </c>
      <c r="K779" t="s">
        <v>21</v>
      </c>
      <c r="L779" t="s">
        <v>25</v>
      </c>
    </row>
    <row r="780" spans="1:12" x14ac:dyDescent="0.25">
      <c r="A780">
        <v>779</v>
      </c>
      <c r="B780">
        <v>80</v>
      </c>
      <c r="C780" t="s">
        <v>26</v>
      </c>
      <c r="D780" s="1">
        <v>45400</v>
      </c>
      <c r="E780" s="1">
        <v>45405</v>
      </c>
      <c r="F780" t="s">
        <v>31</v>
      </c>
      <c r="G780" t="s">
        <v>23</v>
      </c>
      <c r="H780">
        <v>5</v>
      </c>
      <c r="I780" t="s">
        <v>15</v>
      </c>
      <c r="J780">
        <v>1</v>
      </c>
      <c r="K780" t="s">
        <v>21</v>
      </c>
      <c r="L780" t="s">
        <v>22</v>
      </c>
    </row>
    <row r="781" spans="1:12" x14ac:dyDescent="0.25">
      <c r="A781">
        <v>780</v>
      </c>
      <c r="B781">
        <v>21</v>
      </c>
      <c r="C781" t="s">
        <v>12</v>
      </c>
      <c r="D781" s="1">
        <v>45510</v>
      </c>
      <c r="E781" s="1">
        <v>45525</v>
      </c>
      <c r="F781" t="s">
        <v>31</v>
      </c>
      <c r="G781" t="s">
        <v>23</v>
      </c>
      <c r="H781">
        <v>15</v>
      </c>
      <c r="I781" t="s">
        <v>20</v>
      </c>
      <c r="J781">
        <v>1</v>
      </c>
      <c r="K781" t="s">
        <v>16</v>
      </c>
      <c r="L781" t="s">
        <v>25</v>
      </c>
    </row>
    <row r="782" spans="1:12" x14ac:dyDescent="0.25">
      <c r="A782">
        <v>781</v>
      </c>
      <c r="B782">
        <v>87</v>
      </c>
      <c r="C782" t="s">
        <v>12</v>
      </c>
      <c r="D782" s="1">
        <v>45484</v>
      </c>
      <c r="E782" s="1">
        <v>45493</v>
      </c>
      <c r="F782" t="s">
        <v>18</v>
      </c>
      <c r="G782" t="s">
        <v>23</v>
      </c>
      <c r="H782">
        <v>9</v>
      </c>
      <c r="I782" t="s">
        <v>20</v>
      </c>
      <c r="J782">
        <v>2</v>
      </c>
      <c r="K782" t="s">
        <v>21</v>
      </c>
      <c r="L782" t="s">
        <v>25</v>
      </c>
    </row>
    <row r="783" spans="1:12" x14ac:dyDescent="0.25">
      <c r="A783">
        <v>782</v>
      </c>
      <c r="B783">
        <v>60</v>
      </c>
      <c r="C783" t="s">
        <v>26</v>
      </c>
      <c r="D783" s="1">
        <v>45584</v>
      </c>
      <c r="E783" s="1">
        <v>45586</v>
      </c>
      <c r="F783" t="s">
        <v>27</v>
      </c>
      <c r="G783" t="s">
        <v>23</v>
      </c>
      <c r="H783">
        <v>2</v>
      </c>
      <c r="I783" t="s">
        <v>15</v>
      </c>
      <c r="J783">
        <v>2</v>
      </c>
      <c r="K783" t="s">
        <v>16</v>
      </c>
      <c r="L783" t="s">
        <v>29</v>
      </c>
    </row>
    <row r="784" spans="1:12" x14ac:dyDescent="0.25">
      <c r="A784">
        <v>783</v>
      </c>
      <c r="B784">
        <v>66</v>
      </c>
      <c r="C784" t="s">
        <v>12</v>
      </c>
      <c r="D784" s="1">
        <v>45368</v>
      </c>
      <c r="E784" s="1">
        <v>45380</v>
      </c>
      <c r="F784" t="s">
        <v>31</v>
      </c>
      <c r="G784" t="s">
        <v>23</v>
      </c>
      <c r="H784">
        <v>12</v>
      </c>
      <c r="I784" t="s">
        <v>15</v>
      </c>
      <c r="J784">
        <v>1</v>
      </c>
      <c r="K784" t="s">
        <v>21</v>
      </c>
      <c r="L784" t="s">
        <v>17</v>
      </c>
    </row>
    <row r="785" spans="1:12" x14ac:dyDescent="0.25">
      <c r="A785">
        <v>784</v>
      </c>
      <c r="B785">
        <v>81</v>
      </c>
      <c r="C785" t="s">
        <v>12</v>
      </c>
      <c r="D785" s="1">
        <v>45491</v>
      </c>
      <c r="E785" s="1">
        <v>45495</v>
      </c>
      <c r="F785" t="s">
        <v>13</v>
      </c>
      <c r="G785" t="s">
        <v>23</v>
      </c>
      <c r="H785">
        <v>4</v>
      </c>
      <c r="I785" t="s">
        <v>20</v>
      </c>
      <c r="J785">
        <v>2</v>
      </c>
      <c r="K785" t="s">
        <v>21</v>
      </c>
      <c r="L785" t="s">
        <v>25</v>
      </c>
    </row>
    <row r="786" spans="1:12" x14ac:dyDescent="0.25">
      <c r="A786">
        <v>785</v>
      </c>
      <c r="B786">
        <v>82</v>
      </c>
      <c r="C786" t="s">
        <v>26</v>
      </c>
      <c r="D786" s="1">
        <v>45302</v>
      </c>
      <c r="E786" s="1">
        <v>45313</v>
      </c>
      <c r="F786" t="s">
        <v>31</v>
      </c>
      <c r="G786" t="s">
        <v>19</v>
      </c>
      <c r="H786">
        <v>11</v>
      </c>
      <c r="I786" t="s">
        <v>20</v>
      </c>
      <c r="J786">
        <v>1</v>
      </c>
      <c r="K786" t="s">
        <v>24</v>
      </c>
      <c r="L786" t="s">
        <v>17</v>
      </c>
    </row>
    <row r="787" spans="1:12" x14ac:dyDescent="0.25">
      <c r="A787">
        <v>786</v>
      </c>
      <c r="B787">
        <v>30</v>
      </c>
      <c r="C787" t="s">
        <v>26</v>
      </c>
      <c r="D787" s="1">
        <v>45350</v>
      </c>
      <c r="E787" s="1">
        <v>45352</v>
      </c>
      <c r="F787" t="s">
        <v>18</v>
      </c>
      <c r="G787" t="s">
        <v>14</v>
      </c>
      <c r="H787">
        <v>2</v>
      </c>
      <c r="I787" t="s">
        <v>15</v>
      </c>
      <c r="J787">
        <v>1</v>
      </c>
      <c r="K787" t="s">
        <v>24</v>
      </c>
      <c r="L787" t="s">
        <v>22</v>
      </c>
    </row>
    <row r="788" spans="1:12" x14ac:dyDescent="0.25">
      <c r="A788">
        <v>787</v>
      </c>
      <c r="B788">
        <v>79</v>
      </c>
      <c r="C788" t="s">
        <v>12</v>
      </c>
      <c r="D788" s="1">
        <v>45581</v>
      </c>
      <c r="E788" s="1">
        <v>45585</v>
      </c>
      <c r="F788" t="s">
        <v>13</v>
      </c>
      <c r="G788" t="s">
        <v>23</v>
      </c>
      <c r="H788">
        <v>4</v>
      </c>
      <c r="I788" t="s">
        <v>20</v>
      </c>
      <c r="J788">
        <v>2</v>
      </c>
      <c r="K788" t="s">
        <v>24</v>
      </c>
      <c r="L788" t="s">
        <v>22</v>
      </c>
    </row>
    <row r="789" spans="1:12" x14ac:dyDescent="0.25">
      <c r="A789">
        <v>788</v>
      </c>
      <c r="B789">
        <v>44</v>
      </c>
      <c r="C789" t="s">
        <v>12</v>
      </c>
      <c r="D789" s="1">
        <v>45622</v>
      </c>
      <c r="E789" s="1">
        <v>45631</v>
      </c>
      <c r="F789" t="s">
        <v>18</v>
      </c>
      <c r="G789" t="s">
        <v>14</v>
      </c>
      <c r="H789">
        <v>9</v>
      </c>
      <c r="I789" t="s">
        <v>15</v>
      </c>
      <c r="J789">
        <v>3</v>
      </c>
      <c r="K789" t="s">
        <v>21</v>
      </c>
      <c r="L789" t="s">
        <v>17</v>
      </c>
    </row>
    <row r="790" spans="1:12" x14ac:dyDescent="0.25">
      <c r="A790">
        <v>789</v>
      </c>
      <c r="B790">
        <v>82</v>
      </c>
      <c r="C790" t="s">
        <v>26</v>
      </c>
      <c r="D790" s="1">
        <v>45411</v>
      </c>
      <c r="E790" s="1">
        <v>45423</v>
      </c>
      <c r="F790" t="s">
        <v>28</v>
      </c>
      <c r="G790" t="s">
        <v>23</v>
      </c>
      <c r="H790">
        <v>12</v>
      </c>
      <c r="I790" t="s">
        <v>20</v>
      </c>
      <c r="J790">
        <v>1</v>
      </c>
      <c r="K790" t="s">
        <v>24</v>
      </c>
      <c r="L790" t="s">
        <v>29</v>
      </c>
    </row>
    <row r="791" spans="1:12" x14ac:dyDescent="0.25">
      <c r="A791">
        <v>790</v>
      </c>
      <c r="B791">
        <v>67</v>
      </c>
      <c r="C791" t="s">
        <v>12</v>
      </c>
      <c r="D791" s="1">
        <v>45380</v>
      </c>
      <c r="E791" s="1">
        <v>45384</v>
      </c>
      <c r="F791" t="s">
        <v>28</v>
      </c>
      <c r="G791" t="s">
        <v>23</v>
      </c>
      <c r="H791">
        <v>4</v>
      </c>
      <c r="I791" t="s">
        <v>20</v>
      </c>
      <c r="J791">
        <v>4</v>
      </c>
      <c r="K791" t="s">
        <v>16</v>
      </c>
      <c r="L791" t="s">
        <v>29</v>
      </c>
    </row>
    <row r="792" spans="1:12" x14ac:dyDescent="0.25">
      <c r="A792">
        <v>791</v>
      </c>
      <c r="B792">
        <v>45</v>
      </c>
      <c r="C792" t="s">
        <v>12</v>
      </c>
      <c r="D792" s="1">
        <v>45316</v>
      </c>
      <c r="E792" s="1">
        <v>45320</v>
      </c>
      <c r="F792" t="s">
        <v>13</v>
      </c>
      <c r="G792" t="s">
        <v>19</v>
      </c>
      <c r="H792">
        <v>4</v>
      </c>
      <c r="I792" t="s">
        <v>15</v>
      </c>
      <c r="J792">
        <v>3</v>
      </c>
      <c r="K792" t="s">
        <v>21</v>
      </c>
      <c r="L792" t="s">
        <v>17</v>
      </c>
    </row>
    <row r="793" spans="1:12" x14ac:dyDescent="0.25">
      <c r="A793">
        <v>792</v>
      </c>
      <c r="B793">
        <v>35</v>
      </c>
      <c r="C793" t="s">
        <v>12</v>
      </c>
      <c r="D793" s="1">
        <v>45418</v>
      </c>
      <c r="E793" s="1">
        <v>45426</v>
      </c>
      <c r="F793" t="s">
        <v>13</v>
      </c>
      <c r="G793" t="s">
        <v>14</v>
      </c>
      <c r="H793">
        <v>8</v>
      </c>
      <c r="I793" t="s">
        <v>20</v>
      </c>
      <c r="J793">
        <v>0</v>
      </c>
      <c r="K793" t="s">
        <v>24</v>
      </c>
      <c r="L793" t="s">
        <v>29</v>
      </c>
    </row>
    <row r="794" spans="1:12" x14ac:dyDescent="0.25">
      <c r="A794">
        <v>793</v>
      </c>
      <c r="B794">
        <v>28</v>
      </c>
      <c r="C794" t="s">
        <v>26</v>
      </c>
      <c r="D794" s="1">
        <v>45500</v>
      </c>
      <c r="E794" s="1">
        <v>45501</v>
      </c>
      <c r="F794" t="s">
        <v>28</v>
      </c>
      <c r="G794" t="s">
        <v>14</v>
      </c>
      <c r="H794">
        <v>1</v>
      </c>
      <c r="I794" t="s">
        <v>20</v>
      </c>
      <c r="J794">
        <v>4</v>
      </c>
      <c r="K794" t="s">
        <v>24</v>
      </c>
      <c r="L794" t="s">
        <v>29</v>
      </c>
    </row>
    <row r="795" spans="1:12" x14ac:dyDescent="0.25">
      <c r="A795">
        <v>794</v>
      </c>
      <c r="B795">
        <v>86</v>
      </c>
      <c r="C795" t="s">
        <v>26</v>
      </c>
      <c r="D795" s="1">
        <v>45307</v>
      </c>
      <c r="E795" s="1">
        <v>45311</v>
      </c>
      <c r="F795" t="s">
        <v>31</v>
      </c>
      <c r="G795" t="s">
        <v>19</v>
      </c>
      <c r="H795">
        <v>4</v>
      </c>
      <c r="I795" t="s">
        <v>20</v>
      </c>
      <c r="J795">
        <v>0</v>
      </c>
      <c r="K795" t="s">
        <v>24</v>
      </c>
      <c r="L795" t="s">
        <v>29</v>
      </c>
    </row>
    <row r="796" spans="1:12" x14ac:dyDescent="0.25">
      <c r="A796">
        <v>795</v>
      </c>
      <c r="B796">
        <v>44</v>
      </c>
      <c r="C796" t="s">
        <v>26</v>
      </c>
      <c r="D796" s="1">
        <v>45544</v>
      </c>
      <c r="E796" s="1">
        <v>45548</v>
      </c>
      <c r="F796" t="s">
        <v>18</v>
      </c>
      <c r="G796" t="s">
        <v>19</v>
      </c>
      <c r="H796">
        <v>4</v>
      </c>
      <c r="I796" t="s">
        <v>20</v>
      </c>
      <c r="J796">
        <v>0</v>
      </c>
      <c r="K796" t="s">
        <v>16</v>
      </c>
      <c r="L796" t="s">
        <v>25</v>
      </c>
    </row>
    <row r="797" spans="1:12" x14ac:dyDescent="0.25">
      <c r="A797">
        <v>796</v>
      </c>
      <c r="B797">
        <v>81</v>
      </c>
      <c r="C797" t="s">
        <v>26</v>
      </c>
      <c r="D797" s="1">
        <v>45498</v>
      </c>
      <c r="E797" s="1">
        <v>45502</v>
      </c>
      <c r="F797" t="s">
        <v>13</v>
      </c>
      <c r="G797" t="s">
        <v>14</v>
      </c>
      <c r="H797">
        <v>4</v>
      </c>
      <c r="I797" t="s">
        <v>15</v>
      </c>
      <c r="J797">
        <v>0</v>
      </c>
      <c r="K797" t="s">
        <v>24</v>
      </c>
      <c r="L797" t="s">
        <v>22</v>
      </c>
    </row>
    <row r="798" spans="1:12" x14ac:dyDescent="0.25">
      <c r="A798">
        <v>797</v>
      </c>
      <c r="B798">
        <v>77</v>
      </c>
      <c r="C798" t="s">
        <v>12</v>
      </c>
      <c r="D798" s="1">
        <v>45352</v>
      </c>
      <c r="E798" s="1">
        <v>45365</v>
      </c>
      <c r="F798" t="s">
        <v>27</v>
      </c>
      <c r="G798" t="s">
        <v>14</v>
      </c>
      <c r="H798">
        <v>13</v>
      </c>
      <c r="I798" t="s">
        <v>20</v>
      </c>
      <c r="J798">
        <v>0</v>
      </c>
      <c r="K798" t="s">
        <v>16</v>
      </c>
      <c r="L798" t="s">
        <v>29</v>
      </c>
    </row>
    <row r="799" spans="1:12" x14ac:dyDescent="0.25">
      <c r="A799">
        <v>798</v>
      </c>
      <c r="B799">
        <v>30</v>
      </c>
      <c r="C799" t="s">
        <v>26</v>
      </c>
      <c r="D799" s="1">
        <v>45293</v>
      </c>
      <c r="E799" s="1">
        <v>45308</v>
      </c>
      <c r="F799" t="s">
        <v>31</v>
      </c>
      <c r="G799" t="s">
        <v>23</v>
      </c>
      <c r="H799">
        <v>15</v>
      </c>
      <c r="I799" t="s">
        <v>20</v>
      </c>
      <c r="J799">
        <v>4</v>
      </c>
      <c r="K799" t="s">
        <v>24</v>
      </c>
      <c r="L799" t="s">
        <v>30</v>
      </c>
    </row>
    <row r="800" spans="1:12" x14ac:dyDescent="0.25">
      <c r="A800">
        <v>799</v>
      </c>
      <c r="B800">
        <v>48</v>
      </c>
      <c r="C800" t="s">
        <v>12</v>
      </c>
      <c r="D800" s="1">
        <v>45422</v>
      </c>
      <c r="E800" s="1">
        <v>45429</v>
      </c>
      <c r="F800" t="s">
        <v>28</v>
      </c>
      <c r="G800" t="s">
        <v>19</v>
      </c>
      <c r="H800">
        <v>7</v>
      </c>
      <c r="I800" t="s">
        <v>15</v>
      </c>
      <c r="J800">
        <v>0</v>
      </c>
      <c r="K800" t="s">
        <v>24</v>
      </c>
      <c r="L800" t="s">
        <v>30</v>
      </c>
    </row>
    <row r="801" spans="1:12" x14ac:dyDescent="0.25">
      <c r="A801">
        <v>800</v>
      </c>
      <c r="B801">
        <v>87</v>
      </c>
      <c r="C801" t="s">
        <v>12</v>
      </c>
      <c r="D801" s="1">
        <v>45477</v>
      </c>
      <c r="E801" s="1">
        <v>45485</v>
      </c>
      <c r="F801" t="s">
        <v>31</v>
      </c>
      <c r="G801" t="s">
        <v>14</v>
      </c>
      <c r="H801">
        <v>8</v>
      </c>
      <c r="I801" t="s">
        <v>15</v>
      </c>
      <c r="J801">
        <v>1</v>
      </c>
      <c r="K801" t="s">
        <v>16</v>
      </c>
      <c r="L801" t="s">
        <v>25</v>
      </c>
    </row>
    <row r="802" spans="1:12" x14ac:dyDescent="0.25">
      <c r="A802">
        <v>801</v>
      </c>
      <c r="B802">
        <v>67</v>
      </c>
      <c r="C802" t="s">
        <v>26</v>
      </c>
      <c r="D802" s="1">
        <v>45549</v>
      </c>
      <c r="E802" s="1">
        <v>45563</v>
      </c>
      <c r="F802" t="s">
        <v>13</v>
      </c>
      <c r="G802" t="s">
        <v>19</v>
      </c>
      <c r="H802">
        <v>14</v>
      </c>
      <c r="I802" t="s">
        <v>20</v>
      </c>
      <c r="J802">
        <v>4</v>
      </c>
      <c r="K802" t="s">
        <v>24</v>
      </c>
      <c r="L802" t="s">
        <v>25</v>
      </c>
    </row>
    <row r="803" spans="1:12" x14ac:dyDescent="0.25">
      <c r="A803">
        <v>802</v>
      </c>
      <c r="B803">
        <v>60</v>
      </c>
      <c r="C803" t="s">
        <v>26</v>
      </c>
      <c r="D803" s="1">
        <v>45616</v>
      </c>
      <c r="E803" s="1">
        <v>45618</v>
      </c>
      <c r="F803" t="s">
        <v>27</v>
      </c>
      <c r="G803" t="s">
        <v>19</v>
      </c>
      <c r="H803">
        <v>2</v>
      </c>
      <c r="I803" t="s">
        <v>15</v>
      </c>
      <c r="J803">
        <v>4</v>
      </c>
      <c r="K803" t="s">
        <v>24</v>
      </c>
      <c r="L803" t="s">
        <v>17</v>
      </c>
    </row>
    <row r="804" spans="1:12" x14ac:dyDescent="0.25">
      <c r="A804">
        <v>803</v>
      </c>
      <c r="B804">
        <v>57</v>
      </c>
      <c r="C804" t="s">
        <v>12</v>
      </c>
      <c r="D804" s="1">
        <v>45541</v>
      </c>
      <c r="E804" s="1">
        <v>45551</v>
      </c>
      <c r="F804" t="s">
        <v>31</v>
      </c>
      <c r="G804" t="s">
        <v>19</v>
      </c>
      <c r="H804">
        <v>10</v>
      </c>
      <c r="I804" t="s">
        <v>20</v>
      </c>
      <c r="J804">
        <v>3</v>
      </c>
      <c r="K804" t="s">
        <v>21</v>
      </c>
      <c r="L804" t="s">
        <v>30</v>
      </c>
    </row>
    <row r="805" spans="1:12" x14ac:dyDescent="0.25">
      <c r="A805">
        <v>804</v>
      </c>
      <c r="B805">
        <v>83</v>
      </c>
      <c r="C805" t="s">
        <v>12</v>
      </c>
      <c r="D805" s="1">
        <v>45399</v>
      </c>
      <c r="E805" s="1">
        <v>45404</v>
      </c>
      <c r="F805" t="s">
        <v>13</v>
      </c>
      <c r="G805" t="s">
        <v>23</v>
      </c>
      <c r="H805">
        <v>5</v>
      </c>
      <c r="I805" t="s">
        <v>20</v>
      </c>
      <c r="J805">
        <v>0</v>
      </c>
      <c r="K805" t="s">
        <v>24</v>
      </c>
      <c r="L805" t="s">
        <v>25</v>
      </c>
    </row>
    <row r="806" spans="1:12" x14ac:dyDescent="0.25">
      <c r="A806">
        <v>805</v>
      </c>
      <c r="B806">
        <v>59</v>
      </c>
      <c r="C806" t="s">
        <v>12</v>
      </c>
      <c r="D806" s="1">
        <v>45346</v>
      </c>
      <c r="E806" s="1">
        <v>45353</v>
      </c>
      <c r="F806" t="s">
        <v>18</v>
      </c>
      <c r="G806" t="s">
        <v>23</v>
      </c>
      <c r="H806">
        <v>7</v>
      </c>
      <c r="I806" t="s">
        <v>15</v>
      </c>
      <c r="J806">
        <v>3</v>
      </c>
      <c r="K806" t="s">
        <v>21</v>
      </c>
      <c r="L806" t="s">
        <v>25</v>
      </c>
    </row>
    <row r="807" spans="1:12" x14ac:dyDescent="0.25">
      <c r="A807">
        <v>806</v>
      </c>
      <c r="B807">
        <v>68</v>
      </c>
      <c r="C807" t="s">
        <v>26</v>
      </c>
      <c r="D807" s="1">
        <v>45501</v>
      </c>
      <c r="E807" s="1">
        <v>45504</v>
      </c>
      <c r="F807" t="s">
        <v>31</v>
      </c>
      <c r="G807" t="s">
        <v>14</v>
      </c>
      <c r="H807">
        <v>3</v>
      </c>
      <c r="I807" t="s">
        <v>15</v>
      </c>
      <c r="J807">
        <v>2</v>
      </c>
      <c r="K807" t="s">
        <v>21</v>
      </c>
      <c r="L807" t="s">
        <v>30</v>
      </c>
    </row>
    <row r="808" spans="1:12" x14ac:dyDescent="0.25">
      <c r="A808">
        <v>807</v>
      </c>
      <c r="B808">
        <v>37</v>
      </c>
      <c r="C808" t="s">
        <v>12</v>
      </c>
      <c r="D808" s="1">
        <v>45429</v>
      </c>
      <c r="E808" s="1">
        <v>45433</v>
      </c>
      <c r="F808" t="s">
        <v>31</v>
      </c>
      <c r="G808" t="s">
        <v>19</v>
      </c>
      <c r="H808">
        <v>4</v>
      </c>
      <c r="I808" t="s">
        <v>15</v>
      </c>
      <c r="J808">
        <v>0</v>
      </c>
      <c r="K808" t="s">
        <v>24</v>
      </c>
      <c r="L808" t="s">
        <v>29</v>
      </c>
    </row>
    <row r="809" spans="1:12" x14ac:dyDescent="0.25">
      <c r="A809">
        <v>808</v>
      </c>
      <c r="B809">
        <v>81</v>
      </c>
      <c r="C809" t="s">
        <v>12</v>
      </c>
      <c r="D809" s="1">
        <v>45333</v>
      </c>
      <c r="E809" s="1">
        <v>45334</v>
      </c>
      <c r="F809" t="s">
        <v>27</v>
      </c>
      <c r="G809" t="s">
        <v>14</v>
      </c>
      <c r="H809">
        <v>1</v>
      </c>
      <c r="I809" t="s">
        <v>15</v>
      </c>
      <c r="J809">
        <v>3</v>
      </c>
      <c r="K809" t="s">
        <v>21</v>
      </c>
      <c r="L809" t="s">
        <v>17</v>
      </c>
    </row>
    <row r="810" spans="1:12" x14ac:dyDescent="0.25">
      <c r="A810">
        <v>809</v>
      </c>
      <c r="B810">
        <v>23</v>
      </c>
      <c r="C810" t="s">
        <v>26</v>
      </c>
      <c r="D810" s="1">
        <v>45545</v>
      </c>
      <c r="E810" s="1">
        <v>45550</v>
      </c>
      <c r="F810" t="s">
        <v>18</v>
      </c>
      <c r="G810" t="s">
        <v>23</v>
      </c>
      <c r="H810">
        <v>5</v>
      </c>
      <c r="I810" t="s">
        <v>15</v>
      </c>
      <c r="J810">
        <v>3</v>
      </c>
      <c r="K810" t="s">
        <v>21</v>
      </c>
      <c r="L810" t="s">
        <v>30</v>
      </c>
    </row>
    <row r="811" spans="1:12" x14ac:dyDescent="0.25">
      <c r="A811">
        <v>810</v>
      </c>
      <c r="B811">
        <v>43</v>
      </c>
      <c r="C811" t="s">
        <v>12</v>
      </c>
      <c r="D811" s="1">
        <v>45585</v>
      </c>
      <c r="E811" s="1">
        <v>45598</v>
      </c>
      <c r="F811" t="s">
        <v>27</v>
      </c>
      <c r="G811" t="s">
        <v>19</v>
      </c>
      <c r="H811">
        <v>13</v>
      </c>
      <c r="I811" t="s">
        <v>15</v>
      </c>
      <c r="J811">
        <v>3</v>
      </c>
      <c r="K811" t="s">
        <v>24</v>
      </c>
      <c r="L811" t="s">
        <v>17</v>
      </c>
    </row>
    <row r="812" spans="1:12" x14ac:dyDescent="0.25">
      <c r="A812">
        <v>811</v>
      </c>
      <c r="B812">
        <v>56</v>
      </c>
      <c r="C812" t="s">
        <v>26</v>
      </c>
      <c r="D812" s="1">
        <v>45541</v>
      </c>
      <c r="E812" s="1">
        <v>45546</v>
      </c>
      <c r="F812" t="s">
        <v>13</v>
      </c>
      <c r="G812" t="s">
        <v>23</v>
      </c>
      <c r="H812">
        <v>5</v>
      </c>
      <c r="I812" t="s">
        <v>15</v>
      </c>
      <c r="J812">
        <v>2</v>
      </c>
      <c r="K812" t="s">
        <v>21</v>
      </c>
      <c r="L812" t="s">
        <v>22</v>
      </c>
    </row>
    <row r="813" spans="1:12" x14ac:dyDescent="0.25">
      <c r="A813">
        <v>812</v>
      </c>
      <c r="B813">
        <v>30</v>
      </c>
      <c r="C813" t="s">
        <v>12</v>
      </c>
      <c r="D813" s="1">
        <v>45550</v>
      </c>
      <c r="E813" s="1">
        <v>45562</v>
      </c>
      <c r="F813" t="s">
        <v>13</v>
      </c>
      <c r="G813" t="s">
        <v>19</v>
      </c>
      <c r="H813">
        <v>12</v>
      </c>
      <c r="I813" t="s">
        <v>15</v>
      </c>
      <c r="J813">
        <v>2</v>
      </c>
      <c r="K813" t="s">
        <v>24</v>
      </c>
      <c r="L813" t="s">
        <v>17</v>
      </c>
    </row>
    <row r="814" spans="1:12" x14ac:dyDescent="0.25">
      <c r="A814">
        <v>813</v>
      </c>
      <c r="B814">
        <v>22</v>
      </c>
      <c r="C814" t="s">
        <v>26</v>
      </c>
      <c r="D814" s="1">
        <v>45381</v>
      </c>
      <c r="E814" s="1">
        <v>45387</v>
      </c>
      <c r="F814" t="s">
        <v>18</v>
      </c>
      <c r="G814" t="s">
        <v>23</v>
      </c>
      <c r="H814">
        <v>6</v>
      </c>
      <c r="I814" t="s">
        <v>20</v>
      </c>
      <c r="J814">
        <v>3</v>
      </c>
      <c r="K814" t="s">
        <v>21</v>
      </c>
      <c r="L814" t="s">
        <v>25</v>
      </c>
    </row>
    <row r="815" spans="1:12" x14ac:dyDescent="0.25">
      <c r="A815">
        <v>814</v>
      </c>
      <c r="B815">
        <v>89</v>
      </c>
      <c r="C815" t="s">
        <v>12</v>
      </c>
      <c r="D815" s="1">
        <v>45444</v>
      </c>
      <c r="E815" s="1">
        <v>45457</v>
      </c>
      <c r="F815" t="s">
        <v>13</v>
      </c>
      <c r="G815" t="s">
        <v>19</v>
      </c>
      <c r="H815">
        <v>13</v>
      </c>
      <c r="I815" t="s">
        <v>15</v>
      </c>
      <c r="J815">
        <v>0</v>
      </c>
      <c r="K815" t="s">
        <v>21</v>
      </c>
      <c r="L815" t="s">
        <v>25</v>
      </c>
    </row>
    <row r="816" spans="1:12" x14ac:dyDescent="0.25">
      <c r="A816">
        <v>815</v>
      </c>
      <c r="B816">
        <v>51</v>
      </c>
      <c r="C816" t="s">
        <v>26</v>
      </c>
      <c r="D816" s="1">
        <v>45337</v>
      </c>
      <c r="E816" s="1">
        <v>45344</v>
      </c>
      <c r="F816" t="s">
        <v>31</v>
      </c>
      <c r="G816" t="s">
        <v>23</v>
      </c>
      <c r="H816">
        <v>7</v>
      </c>
      <c r="I816" t="s">
        <v>20</v>
      </c>
      <c r="J816">
        <v>0</v>
      </c>
      <c r="K816" t="s">
        <v>16</v>
      </c>
      <c r="L816" t="s">
        <v>30</v>
      </c>
    </row>
    <row r="817" spans="1:12" x14ac:dyDescent="0.25">
      <c r="A817">
        <v>816</v>
      </c>
      <c r="B817">
        <v>45</v>
      </c>
      <c r="C817" t="s">
        <v>12</v>
      </c>
      <c r="D817" s="1">
        <v>45361</v>
      </c>
      <c r="E817" s="1">
        <v>45366</v>
      </c>
      <c r="F817" t="s">
        <v>18</v>
      </c>
      <c r="G817" t="s">
        <v>14</v>
      </c>
      <c r="H817">
        <v>5</v>
      </c>
      <c r="I817" t="s">
        <v>20</v>
      </c>
      <c r="J817">
        <v>3</v>
      </c>
      <c r="K817" t="s">
        <v>16</v>
      </c>
      <c r="L817" t="s">
        <v>25</v>
      </c>
    </row>
    <row r="818" spans="1:12" x14ac:dyDescent="0.25">
      <c r="A818">
        <v>817</v>
      </c>
      <c r="B818">
        <v>89</v>
      </c>
      <c r="C818" t="s">
        <v>26</v>
      </c>
      <c r="D818" s="1">
        <v>45396</v>
      </c>
      <c r="E818" s="1">
        <v>45399</v>
      </c>
      <c r="F818" t="s">
        <v>13</v>
      </c>
      <c r="G818" t="s">
        <v>19</v>
      </c>
      <c r="H818">
        <v>3</v>
      </c>
      <c r="I818" t="s">
        <v>20</v>
      </c>
      <c r="J818">
        <v>0</v>
      </c>
      <c r="K818" t="s">
        <v>24</v>
      </c>
      <c r="L818" t="s">
        <v>25</v>
      </c>
    </row>
    <row r="819" spans="1:12" x14ac:dyDescent="0.25">
      <c r="A819">
        <v>818</v>
      </c>
      <c r="B819">
        <v>31</v>
      </c>
      <c r="C819" t="s">
        <v>26</v>
      </c>
      <c r="D819" s="1">
        <v>45648</v>
      </c>
      <c r="E819" s="1">
        <v>45661</v>
      </c>
      <c r="F819" t="s">
        <v>28</v>
      </c>
      <c r="G819" t="s">
        <v>14</v>
      </c>
      <c r="H819">
        <v>13</v>
      </c>
      <c r="I819" t="s">
        <v>15</v>
      </c>
      <c r="J819">
        <v>4</v>
      </c>
      <c r="K819" t="s">
        <v>24</v>
      </c>
      <c r="L819" t="s">
        <v>22</v>
      </c>
    </row>
    <row r="820" spans="1:12" x14ac:dyDescent="0.25">
      <c r="A820">
        <v>819</v>
      </c>
      <c r="B820">
        <v>41</v>
      </c>
      <c r="C820" t="s">
        <v>26</v>
      </c>
      <c r="D820" s="1">
        <v>45500</v>
      </c>
      <c r="E820" s="1">
        <v>45502</v>
      </c>
      <c r="F820" t="s">
        <v>13</v>
      </c>
      <c r="G820" t="s">
        <v>19</v>
      </c>
      <c r="H820">
        <v>2</v>
      </c>
      <c r="I820" t="s">
        <v>15</v>
      </c>
      <c r="J820">
        <v>0</v>
      </c>
      <c r="K820" t="s">
        <v>21</v>
      </c>
      <c r="L820" t="s">
        <v>25</v>
      </c>
    </row>
    <row r="821" spans="1:12" x14ac:dyDescent="0.25">
      <c r="A821">
        <v>820</v>
      </c>
      <c r="B821">
        <v>24</v>
      </c>
      <c r="C821" t="s">
        <v>12</v>
      </c>
      <c r="D821" s="1">
        <v>45584</v>
      </c>
      <c r="E821" s="1">
        <v>45597</v>
      </c>
      <c r="F821" t="s">
        <v>28</v>
      </c>
      <c r="G821" t="s">
        <v>19</v>
      </c>
      <c r="H821">
        <v>13</v>
      </c>
      <c r="I821" t="s">
        <v>15</v>
      </c>
      <c r="J821">
        <v>1</v>
      </c>
      <c r="K821" t="s">
        <v>24</v>
      </c>
      <c r="L821" t="s">
        <v>17</v>
      </c>
    </row>
    <row r="822" spans="1:12" x14ac:dyDescent="0.25">
      <c r="A822">
        <v>821</v>
      </c>
      <c r="B822">
        <v>78</v>
      </c>
      <c r="C822" t="s">
        <v>26</v>
      </c>
      <c r="D822" s="1">
        <v>45441</v>
      </c>
      <c r="E822" s="1">
        <v>45455</v>
      </c>
      <c r="F822" t="s">
        <v>13</v>
      </c>
      <c r="G822" t="s">
        <v>19</v>
      </c>
      <c r="H822">
        <v>14</v>
      </c>
      <c r="I822" t="s">
        <v>20</v>
      </c>
      <c r="J822">
        <v>2</v>
      </c>
      <c r="K822" t="s">
        <v>16</v>
      </c>
      <c r="L822" t="s">
        <v>29</v>
      </c>
    </row>
    <row r="823" spans="1:12" x14ac:dyDescent="0.25">
      <c r="A823">
        <v>822</v>
      </c>
      <c r="B823">
        <v>67</v>
      </c>
      <c r="C823" t="s">
        <v>26</v>
      </c>
      <c r="D823" s="1">
        <v>45583</v>
      </c>
      <c r="E823" s="1">
        <v>45594</v>
      </c>
      <c r="F823" t="s">
        <v>28</v>
      </c>
      <c r="G823" t="s">
        <v>14</v>
      </c>
      <c r="H823">
        <v>11</v>
      </c>
      <c r="I823" t="s">
        <v>15</v>
      </c>
      <c r="J823">
        <v>3</v>
      </c>
      <c r="K823" t="s">
        <v>21</v>
      </c>
      <c r="L823" t="s">
        <v>17</v>
      </c>
    </row>
    <row r="824" spans="1:12" x14ac:dyDescent="0.25">
      <c r="A824">
        <v>823</v>
      </c>
      <c r="B824">
        <v>89</v>
      </c>
      <c r="C824" t="s">
        <v>12</v>
      </c>
      <c r="D824" s="1">
        <v>45490</v>
      </c>
      <c r="E824" s="1">
        <v>45500</v>
      </c>
      <c r="F824" t="s">
        <v>18</v>
      </c>
      <c r="G824" t="s">
        <v>19</v>
      </c>
      <c r="H824">
        <v>10</v>
      </c>
      <c r="I824" t="s">
        <v>15</v>
      </c>
      <c r="J824">
        <v>2</v>
      </c>
      <c r="K824" t="s">
        <v>16</v>
      </c>
      <c r="L824" t="s">
        <v>29</v>
      </c>
    </row>
    <row r="825" spans="1:12" x14ac:dyDescent="0.25">
      <c r="A825">
        <v>824</v>
      </c>
      <c r="B825">
        <v>63</v>
      </c>
      <c r="C825" t="s">
        <v>26</v>
      </c>
      <c r="D825" s="1">
        <v>45444</v>
      </c>
      <c r="E825" s="1">
        <v>45450</v>
      </c>
      <c r="F825" t="s">
        <v>27</v>
      </c>
      <c r="G825" t="s">
        <v>14</v>
      </c>
      <c r="H825">
        <v>6</v>
      </c>
      <c r="I825" t="s">
        <v>20</v>
      </c>
      <c r="J825">
        <v>0</v>
      </c>
      <c r="K825" t="s">
        <v>21</v>
      </c>
      <c r="L825" t="s">
        <v>17</v>
      </c>
    </row>
    <row r="826" spans="1:12" x14ac:dyDescent="0.25">
      <c r="A826">
        <v>825</v>
      </c>
      <c r="B826">
        <v>75</v>
      </c>
      <c r="C826" t="s">
        <v>12</v>
      </c>
      <c r="D826" s="1">
        <v>45344</v>
      </c>
      <c r="E826" s="1">
        <v>45357</v>
      </c>
      <c r="F826" t="s">
        <v>31</v>
      </c>
      <c r="G826" t="s">
        <v>23</v>
      </c>
      <c r="H826">
        <v>13</v>
      </c>
      <c r="I826" t="s">
        <v>15</v>
      </c>
      <c r="J826">
        <v>2</v>
      </c>
      <c r="K826" t="s">
        <v>16</v>
      </c>
      <c r="L826" t="s">
        <v>30</v>
      </c>
    </row>
    <row r="827" spans="1:12" x14ac:dyDescent="0.25">
      <c r="A827">
        <v>826</v>
      </c>
      <c r="B827">
        <v>81</v>
      </c>
      <c r="C827" t="s">
        <v>12</v>
      </c>
      <c r="D827" s="1">
        <v>45296</v>
      </c>
      <c r="E827" s="1">
        <v>45298</v>
      </c>
      <c r="F827" t="s">
        <v>31</v>
      </c>
      <c r="G827" t="s">
        <v>23</v>
      </c>
      <c r="H827">
        <v>2</v>
      </c>
      <c r="I827" t="s">
        <v>15</v>
      </c>
      <c r="J827">
        <v>1</v>
      </c>
      <c r="K827" t="s">
        <v>16</v>
      </c>
      <c r="L827" t="s">
        <v>17</v>
      </c>
    </row>
    <row r="828" spans="1:12" x14ac:dyDescent="0.25">
      <c r="A828">
        <v>827</v>
      </c>
      <c r="B828">
        <v>68</v>
      </c>
      <c r="C828" t="s">
        <v>26</v>
      </c>
      <c r="D828" s="1">
        <v>45503</v>
      </c>
      <c r="E828" s="1">
        <v>45505</v>
      </c>
      <c r="F828" t="s">
        <v>31</v>
      </c>
      <c r="G828" t="s">
        <v>19</v>
      </c>
      <c r="H828">
        <v>2</v>
      </c>
      <c r="I828" t="s">
        <v>20</v>
      </c>
      <c r="J828">
        <v>0</v>
      </c>
      <c r="K828" t="s">
        <v>24</v>
      </c>
      <c r="L828" t="s">
        <v>22</v>
      </c>
    </row>
    <row r="829" spans="1:12" x14ac:dyDescent="0.25">
      <c r="A829">
        <v>828</v>
      </c>
      <c r="B829">
        <v>57</v>
      </c>
      <c r="C829" t="s">
        <v>12</v>
      </c>
      <c r="D829" s="1">
        <v>45629</v>
      </c>
      <c r="E829" s="1">
        <v>45641</v>
      </c>
      <c r="F829" t="s">
        <v>27</v>
      </c>
      <c r="G829" t="s">
        <v>19</v>
      </c>
      <c r="H829">
        <v>12</v>
      </c>
      <c r="I829" t="s">
        <v>20</v>
      </c>
      <c r="J829">
        <v>0</v>
      </c>
      <c r="K829" t="s">
        <v>21</v>
      </c>
      <c r="L829" t="s">
        <v>29</v>
      </c>
    </row>
    <row r="830" spans="1:12" x14ac:dyDescent="0.25">
      <c r="A830">
        <v>829</v>
      </c>
      <c r="B830">
        <v>61</v>
      </c>
      <c r="C830" t="s">
        <v>26</v>
      </c>
      <c r="D830" s="1">
        <v>45440</v>
      </c>
      <c r="E830" s="1">
        <v>45455</v>
      </c>
      <c r="F830" t="s">
        <v>27</v>
      </c>
      <c r="G830" t="s">
        <v>14</v>
      </c>
      <c r="H830">
        <v>15</v>
      </c>
      <c r="I830" t="s">
        <v>20</v>
      </c>
      <c r="J830">
        <v>0</v>
      </c>
      <c r="K830" t="s">
        <v>21</v>
      </c>
      <c r="L830" t="s">
        <v>29</v>
      </c>
    </row>
    <row r="831" spans="1:12" x14ac:dyDescent="0.25">
      <c r="A831">
        <v>830</v>
      </c>
      <c r="B831">
        <v>57</v>
      </c>
      <c r="C831" t="s">
        <v>26</v>
      </c>
      <c r="D831" s="1">
        <v>45568</v>
      </c>
      <c r="E831" s="1">
        <v>45581</v>
      </c>
      <c r="F831" t="s">
        <v>18</v>
      </c>
      <c r="G831" t="s">
        <v>14</v>
      </c>
      <c r="H831">
        <v>13</v>
      </c>
      <c r="I831" t="s">
        <v>15</v>
      </c>
      <c r="J831">
        <v>0</v>
      </c>
      <c r="K831" t="s">
        <v>21</v>
      </c>
      <c r="L831" t="s">
        <v>30</v>
      </c>
    </row>
    <row r="832" spans="1:12" x14ac:dyDescent="0.25">
      <c r="A832">
        <v>831</v>
      </c>
      <c r="B832">
        <v>60</v>
      </c>
      <c r="C832" t="s">
        <v>12</v>
      </c>
      <c r="D832" s="1">
        <v>45301</v>
      </c>
      <c r="E832" s="1">
        <v>45308</v>
      </c>
      <c r="F832" t="s">
        <v>27</v>
      </c>
      <c r="G832" t="s">
        <v>14</v>
      </c>
      <c r="H832">
        <v>7</v>
      </c>
      <c r="I832" t="s">
        <v>20</v>
      </c>
      <c r="J832">
        <v>3</v>
      </c>
      <c r="K832" t="s">
        <v>16</v>
      </c>
      <c r="L832" t="s">
        <v>22</v>
      </c>
    </row>
    <row r="833" spans="1:12" x14ac:dyDescent="0.25">
      <c r="A833">
        <v>832</v>
      </c>
      <c r="B833">
        <v>25</v>
      </c>
      <c r="C833" t="s">
        <v>26</v>
      </c>
      <c r="D833" s="1">
        <v>45478</v>
      </c>
      <c r="E833" s="1">
        <v>45489</v>
      </c>
      <c r="F833" t="s">
        <v>28</v>
      </c>
      <c r="G833" t="s">
        <v>19</v>
      </c>
      <c r="H833">
        <v>11</v>
      </c>
      <c r="I833" t="s">
        <v>20</v>
      </c>
      <c r="J833">
        <v>1</v>
      </c>
      <c r="K833" t="s">
        <v>21</v>
      </c>
      <c r="L833" t="s">
        <v>29</v>
      </c>
    </row>
    <row r="834" spans="1:12" x14ac:dyDescent="0.25">
      <c r="A834">
        <v>833</v>
      </c>
      <c r="B834">
        <v>22</v>
      </c>
      <c r="C834" t="s">
        <v>12</v>
      </c>
      <c r="D834" s="1">
        <v>45413</v>
      </c>
      <c r="E834" s="1">
        <v>45422</v>
      </c>
      <c r="F834" t="s">
        <v>31</v>
      </c>
      <c r="G834" t="s">
        <v>19</v>
      </c>
      <c r="H834">
        <v>9</v>
      </c>
      <c r="I834" t="s">
        <v>20</v>
      </c>
      <c r="J834">
        <v>3</v>
      </c>
      <c r="K834" t="s">
        <v>21</v>
      </c>
      <c r="L834" t="s">
        <v>22</v>
      </c>
    </row>
    <row r="835" spans="1:12" x14ac:dyDescent="0.25">
      <c r="A835">
        <v>834</v>
      </c>
      <c r="B835">
        <v>62</v>
      </c>
      <c r="C835" t="s">
        <v>26</v>
      </c>
      <c r="D835" s="1">
        <v>45436</v>
      </c>
      <c r="E835" s="1">
        <v>45444</v>
      </c>
      <c r="F835" t="s">
        <v>18</v>
      </c>
      <c r="G835" t="s">
        <v>23</v>
      </c>
      <c r="H835">
        <v>8</v>
      </c>
      <c r="I835" t="s">
        <v>15</v>
      </c>
      <c r="J835">
        <v>3</v>
      </c>
      <c r="K835" t="s">
        <v>24</v>
      </c>
      <c r="L835" t="s">
        <v>29</v>
      </c>
    </row>
    <row r="836" spans="1:12" x14ac:dyDescent="0.25">
      <c r="A836">
        <v>835</v>
      </c>
      <c r="B836">
        <v>24</v>
      </c>
      <c r="C836" t="s">
        <v>26</v>
      </c>
      <c r="D836" s="1">
        <v>45540</v>
      </c>
      <c r="E836" s="1">
        <v>45552</v>
      </c>
      <c r="F836" t="s">
        <v>27</v>
      </c>
      <c r="G836" t="s">
        <v>19</v>
      </c>
      <c r="H836">
        <v>12</v>
      </c>
      <c r="I836" t="s">
        <v>20</v>
      </c>
      <c r="J836">
        <v>2</v>
      </c>
      <c r="K836" t="s">
        <v>24</v>
      </c>
      <c r="L836" t="s">
        <v>30</v>
      </c>
    </row>
    <row r="837" spans="1:12" x14ac:dyDescent="0.25">
      <c r="A837">
        <v>836</v>
      </c>
      <c r="B837">
        <v>39</v>
      </c>
      <c r="C837" t="s">
        <v>12</v>
      </c>
      <c r="D837" s="1">
        <v>45530</v>
      </c>
      <c r="E837" s="1">
        <v>45532</v>
      </c>
      <c r="F837" t="s">
        <v>27</v>
      </c>
      <c r="G837" t="s">
        <v>14</v>
      </c>
      <c r="H837">
        <v>2</v>
      </c>
      <c r="I837" t="s">
        <v>15</v>
      </c>
      <c r="J837">
        <v>2</v>
      </c>
      <c r="K837" t="s">
        <v>21</v>
      </c>
      <c r="L837" t="s">
        <v>29</v>
      </c>
    </row>
    <row r="838" spans="1:12" x14ac:dyDescent="0.25">
      <c r="A838">
        <v>837</v>
      </c>
      <c r="B838">
        <v>64</v>
      </c>
      <c r="C838" t="s">
        <v>12</v>
      </c>
      <c r="D838" s="1">
        <v>45436</v>
      </c>
      <c r="E838" s="1">
        <v>45441</v>
      </c>
      <c r="F838" t="s">
        <v>18</v>
      </c>
      <c r="G838" t="s">
        <v>14</v>
      </c>
      <c r="H838">
        <v>5</v>
      </c>
      <c r="I838" t="s">
        <v>15</v>
      </c>
      <c r="J838">
        <v>1</v>
      </c>
      <c r="K838" t="s">
        <v>21</v>
      </c>
      <c r="L838" t="s">
        <v>17</v>
      </c>
    </row>
    <row r="839" spans="1:12" x14ac:dyDescent="0.25">
      <c r="A839">
        <v>838</v>
      </c>
      <c r="B839">
        <v>87</v>
      </c>
      <c r="C839" t="s">
        <v>12</v>
      </c>
      <c r="D839" s="1">
        <v>45340</v>
      </c>
      <c r="E839" s="1">
        <v>45342</v>
      </c>
      <c r="F839" t="s">
        <v>13</v>
      </c>
      <c r="G839" t="s">
        <v>14</v>
      </c>
      <c r="H839">
        <v>2</v>
      </c>
      <c r="I839" t="s">
        <v>15</v>
      </c>
      <c r="J839">
        <v>1</v>
      </c>
      <c r="K839" t="s">
        <v>21</v>
      </c>
      <c r="L839" t="s">
        <v>22</v>
      </c>
    </row>
    <row r="840" spans="1:12" x14ac:dyDescent="0.25">
      <c r="A840">
        <v>839</v>
      </c>
      <c r="B840">
        <v>77</v>
      </c>
      <c r="C840" t="s">
        <v>26</v>
      </c>
      <c r="D840" s="1">
        <v>45472</v>
      </c>
      <c r="E840" s="1">
        <v>45486</v>
      </c>
      <c r="F840" t="s">
        <v>27</v>
      </c>
      <c r="G840" t="s">
        <v>23</v>
      </c>
      <c r="H840">
        <v>14</v>
      </c>
      <c r="I840" t="s">
        <v>15</v>
      </c>
      <c r="J840">
        <v>1</v>
      </c>
      <c r="K840" t="s">
        <v>21</v>
      </c>
      <c r="L840" t="s">
        <v>29</v>
      </c>
    </row>
    <row r="841" spans="1:12" x14ac:dyDescent="0.25">
      <c r="A841">
        <v>840</v>
      </c>
      <c r="B841">
        <v>32</v>
      </c>
      <c r="C841" t="s">
        <v>26</v>
      </c>
      <c r="D841" s="1">
        <v>45578</v>
      </c>
      <c r="E841" s="1">
        <v>45593</v>
      </c>
      <c r="F841" t="s">
        <v>28</v>
      </c>
      <c r="G841" t="s">
        <v>23</v>
      </c>
      <c r="H841">
        <v>15</v>
      </c>
      <c r="I841" t="s">
        <v>15</v>
      </c>
      <c r="J841">
        <v>2</v>
      </c>
      <c r="K841" t="s">
        <v>16</v>
      </c>
      <c r="L841" t="s">
        <v>30</v>
      </c>
    </row>
    <row r="842" spans="1:12" x14ac:dyDescent="0.25">
      <c r="A842">
        <v>841</v>
      </c>
      <c r="B842">
        <v>64</v>
      </c>
      <c r="C842" t="s">
        <v>12</v>
      </c>
      <c r="D842" s="1">
        <v>45530</v>
      </c>
      <c r="E842" s="1">
        <v>45536</v>
      </c>
      <c r="F842" t="s">
        <v>31</v>
      </c>
      <c r="G842" t="s">
        <v>19</v>
      </c>
      <c r="H842">
        <v>6</v>
      </c>
      <c r="I842" t="s">
        <v>15</v>
      </c>
      <c r="J842">
        <v>3</v>
      </c>
      <c r="K842" t="s">
        <v>24</v>
      </c>
      <c r="L842" t="s">
        <v>25</v>
      </c>
    </row>
    <row r="843" spans="1:12" x14ac:dyDescent="0.25">
      <c r="A843">
        <v>842</v>
      </c>
      <c r="B843">
        <v>38</v>
      </c>
      <c r="C843" t="s">
        <v>26</v>
      </c>
      <c r="D843" s="1">
        <v>45500</v>
      </c>
      <c r="E843" s="1">
        <v>45510</v>
      </c>
      <c r="F843" t="s">
        <v>18</v>
      </c>
      <c r="G843" t="s">
        <v>14</v>
      </c>
      <c r="H843">
        <v>10</v>
      </c>
      <c r="I843" t="s">
        <v>15</v>
      </c>
      <c r="J843">
        <v>0</v>
      </c>
      <c r="K843" t="s">
        <v>24</v>
      </c>
      <c r="L843" t="s">
        <v>17</v>
      </c>
    </row>
    <row r="844" spans="1:12" x14ac:dyDescent="0.25">
      <c r="A844">
        <v>843</v>
      </c>
      <c r="B844">
        <v>57</v>
      </c>
      <c r="C844" t="s">
        <v>12</v>
      </c>
      <c r="D844" s="1">
        <v>45610</v>
      </c>
      <c r="E844" s="1">
        <v>45619</v>
      </c>
      <c r="F844" t="s">
        <v>13</v>
      </c>
      <c r="G844" t="s">
        <v>19</v>
      </c>
      <c r="H844">
        <v>9</v>
      </c>
      <c r="I844" t="s">
        <v>15</v>
      </c>
      <c r="J844">
        <v>0</v>
      </c>
      <c r="K844" t="s">
        <v>21</v>
      </c>
      <c r="L844" t="s">
        <v>22</v>
      </c>
    </row>
    <row r="845" spans="1:12" x14ac:dyDescent="0.25">
      <c r="A845">
        <v>844</v>
      </c>
      <c r="B845">
        <v>85</v>
      </c>
      <c r="C845" t="s">
        <v>26</v>
      </c>
      <c r="D845" s="1">
        <v>45581</v>
      </c>
      <c r="E845" s="1">
        <v>45586</v>
      </c>
      <c r="F845" t="s">
        <v>27</v>
      </c>
      <c r="G845" t="s">
        <v>23</v>
      </c>
      <c r="H845">
        <v>5</v>
      </c>
      <c r="I845" t="s">
        <v>15</v>
      </c>
      <c r="J845">
        <v>0</v>
      </c>
      <c r="K845" t="s">
        <v>21</v>
      </c>
      <c r="L845" t="s">
        <v>17</v>
      </c>
    </row>
    <row r="846" spans="1:12" x14ac:dyDescent="0.25">
      <c r="A846">
        <v>845</v>
      </c>
      <c r="B846">
        <v>76</v>
      </c>
      <c r="C846" t="s">
        <v>12</v>
      </c>
      <c r="D846" s="1">
        <v>45441</v>
      </c>
      <c r="E846" s="1">
        <v>45453</v>
      </c>
      <c r="F846" t="s">
        <v>28</v>
      </c>
      <c r="G846" t="s">
        <v>23</v>
      </c>
      <c r="H846">
        <v>12</v>
      </c>
      <c r="I846" t="s">
        <v>15</v>
      </c>
      <c r="J846">
        <v>0</v>
      </c>
      <c r="K846" t="s">
        <v>16</v>
      </c>
      <c r="L846" t="s">
        <v>30</v>
      </c>
    </row>
    <row r="847" spans="1:12" x14ac:dyDescent="0.25">
      <c r="A847">
        <v>846</v>
      </c>
      <c r="B847">
        <v>48</v>
      </c>
      <c r="C847" t="s">
        <v>12</v>
      </c>
      <c r="D847" s="1">
        <v>45501</v>
      </c>
      <c r="E847" s="1">
        <v>45508</v>
      </c>
      <c r="F847" t="s">
        <v>18</v>
      </c>
      <c r="G847" t="s">
        <v>19</v>
      </c>
      <c r="H847">
        <v>7</v>
      </c>
      <c r="I847" t="s">
        <v>20</v>
      </c>
      <c r="J847">
        <v>4</v>
      </c>
      <c r="K847" t="s">
        <v>24</v>
      </c>
      <c r="L847" t="s">
        <v>25</v>
      </c>
    </row>
    <row r="848" spans="1:12" x14ac:dyDescent="0.25">
      <c r="A848">
        <v>847</v>
      </c>
      <c r="B848">
        <v>40</v>
      </c>
      <c r="C848" t="s">
        <v>12</v>
      </c>
      <c r="D848" s="1">
        <v>45536</v>
      </c>
      <c r="E848" s="1">
        <v>45547</v>
      </c>
      <c r="F848" t="s">
        <v>31</v>
      </c>
      <c r="G848" t="s">
        <v>14</v>
      </c>
      <c r="H848">
        <v>11</v>
      </c>
      <c r="I848" t="s">
        <v>15</v>
      </c>
      <c r="J848">
        <v>4</v>
      </c>
      <c r="K848" t="s">
        <v>24</v>
      </c>
      <c r="L848" t="s">
        <v>25</v>
      </c>
    </row>
    <row r="849" spans="1:12" x14ac:dyDescent="0.25">
      <c r="A849">
        <v>848</v>
      </c>
      <c r="B849">
        <v>27</v>
      </c>
      <c r="C849" t="s">
        <v>26</v>
      </c>
      <c r="D849" s="1">
        <v>45392</v>
      </c>
      <c r="E849" s="1">
        <v>45397</v>
      </c>
      <c r="F849" t="s">
        <v>13</v>
      </c>
      <c r="G849" t="s">
        <v>19</v>
      </c>
      <c r="H849">
        <v>5</v>
      </c>
      <c r="I849" t="s">
        <v>20</v>
      </c>
      <c r="J849">
        <v>3</v>
      </c>
      <c r="K849" t="s">
        <v>24</v>
      </c>
      <c r="L849" t="s">
        <v>30</v>
      </c>
    </row>
    <row r="850" spans="1:12" x14ac:dyDescent="0.25">
      <c r="A850">
        <v>849</v>
      </c>
      <c r="B850">
        <v>62</v>
      </c>
      <c r="C850" t="s">
        <v>26</v>
      </c>
      <c r="D850" s="1">
        <v>45446</v>
      </c>
      <c r="E850" s="1">
        <v>45453</v>
      </c>
      <c r="F850" t="s">
        <v>28</v>
      </c>
      <c r="G850" t="s">
        <v>14</v>
      </c>
      <c r="H850">
        <v>7</v>
      </c>
      <c r="I850" t="s">
        <v>15</v>
      </c>
      <c r="J850">
        <v>2</v>
      </c>
      <c r="K850" t="s">
        <v>24</v>
      </c>
      <c r="L850" t="s">
        <v>30</v>
      </c>
    </row>
    <row r="851" spans="1:12" x14ac:dyDescent="0.25">
      <c r="A851">
        <v>850</v>
      </c>
      <c r="B851">
        <v>22</v>
      </c>
      <c r="C851" t="s">
        <v>26</v>
      </c>
      <c r="D851" s="1">
        <v>45600</v>
      </c>
      <c r="E851" s="1">
        <v>45613</v>
      </c>
      <c r="F851" t="s">
        <v>31</v>
      </c>
      <c r="G851" t="s">
        <v>14</v>
      </c>
      <c r="H851">
        <v>13</v>
      </c>
      <c r="I851" t="s">
        <v>15</v>
      </c>
      <c r="J851">
        <v>2</v>
      </c>
      <c r="K851" t="s">
        <v>21</v>
      </c>
      <c r="L851" t="s">
        <v>22</v>
      </c>
    </row>
    <row r="852" spans="1:12" x14ac:dyDescent="0.25">
      <c r="A852">
        <v>851</v>
      </c>
      <c r="B852">
        <v>60</v>
      </c>
      <c r="C852" t="s">
        <v>26</v>
      </c>
      <c r="D852" s="1">
        <v>45373</v>
      </c>
      <c r="E852" s="1">
        <v>45378</v>
      </c>
      <c r="F852" t="s">
        <v>13</v>
      </c>
      <c r="G852" t="s">
        <v>14</v>
      </c>
      <c r="H852">
        <v>5</v>
      </c>
      <c r="I852" t="s">
        <v>20</v>
      </c>
      <c r="J852">
        <v>4</v>
      </c>
      <c r="K852" t="s">
        <v>24</v>
      </c>
      <c r="L852" t="s">
        <v>30</v>
      </c>
    </row>
    <row r="853" spans="1:12" x14ac:dyDescent="0.25">
      <c r="A853">
        <v>852</v>
      </c>
      <c r="B853">
        <v>79</v>
      </c>
      <c r="C853" t="s">
        <v>12</v>
      </c>
      <c r="D853" s="1">
        <v>45397</v>
      </c>
      <c r="E853" s="1">
        <v>45412</v>
      </c>
      <c r="F853" t="s">
        <v>18</v>
      </c>
      <c r="G853" t="s">
        <v>14</v>
      </c>
      <c r="H853">
        <v>15</v>
      </c>
      <c r="I853" t="s">
        <v>20</v>
      </c>
      <c r="J853">
        <v>2</v>
      </c>
      <c r="K853" t="s">
        <v>24</v>
      </c>
      <c r="L853" t="s">
        <v>17</v>
      </c>
    </row>
    <row r="854" spans="1:12" x14ac:dyDescent="0.25">
      <c r="A854">
        <v>853</v>
      </c>
      <c r="B854">
        <v>27</v>
      </c>
      <c r="C854" t="s">
        <v>12</v>
      </c>
      <c r="D854" s="1">
        <v>45388</v>
      </c>
      <c r="E854" s="1">
        <v>45391</v>
      </c>
      <c r="F854" t="s">
        <v>18</v>
      </c>
      <c r="G854" t="s">
        <v>14</v>
      </c>
      <c r="H854">
        <v>3</v>
      </c>
      <c r="I854" t="s">
        <v>15</v>
      </c>
      <c r="J854">
        <v>1</v>
      </c>
      <c r="K854" t="s">
        <v>21</v>
      </c>
      <c r="L854" t="s">
        <v>25</v>
      </c>
    </row>
    <row r="855" spans="1:12" x14ac:dyDescent="0.25">
      <c r="A855">
        <v>854</v>
      </c>
      <c r="B855">
        <v>82</v>
      </c>
      <c r="C855" t="s">
        <v>26</v>
      </c>
      <c r="D855" s="1">
        <v>45506</v>
      </c>
      <c r="E855" s="1">
        <v>45508</v>
      </c>
      <c r="F855" t="s">
        <v>31</v>
      </c>
      <c r="G855" t="s">
        <v>14</v>
      </c>
      <c r="H855">
        <v>2</v>
      </c>
      <c r="I855" t="s">
        <v>15</v>
      </c>
      <c r="J855">
        <v>4</v>
      </c>
      <c r="K855" t="s">
        <v>24</v>
      </c>
      <c r="L855" t="s">
        <v>22</v>
      </c>
    </row>
    <row r="856" spans="1:12" x14ac:dyDescent="0.25">
      <c r="A856">
        <v>855</v>
      </c>
      <c r="B856">
        <v>88</v>
      </c>
      <c r="C856" t="s">
        <v>12</v>
      </c>
      <c r="D856" s="1">
        <v>45308</v>
      </c>
      <c r="E856" s="1">
        <v>45310</v>
      </c>
      <c r="F856" t="s">
        <v>27</v>
      </c>
      <c r="G856" t="s">
        <v>19</v>
      </c>
      <c r="H856">
        <v>2</v>
      </c>
      <c r="I856" t="s">
        <v>20</v>
      </c>
      <c r="J856">
        <v>4</v>
      </c>
      <c r="K856" t="s">
        <v>24</v>
      </c>
      <c r="L856" t="s">
        <v>22</v>
      </c>
    </row>
    <row r="857" spans="1:12" x14ac:dyDescent="0.25">
      <c r="A857">
        <v>856</v>
      </c>
      <c r="B857">
        <v>31</v>
      </c>
      <c r="C857" t="s">
        <v>26</v>
      </c>
      <c r="D857" s="1">
        <v>45554</v>
      </c>
      <c r="E857" s="1">
        <v>45569</v>
      </c>
      <c r="F857" t="s">
        <v>18</v>
      </c>
      <c r="G857" t="s">
        <v>19</v>
      </c>
      <c r="H857">
        <v>15</v>
      </c>
      <c r="I857" t="s">
        <v>15</v>
      </c>
      <c r="J857">
        <v>2</v>
      </c>
      <c r="K857" t="s">
        <v>24</v>
      </c>
      <c r="L857" t="s">
        <v>22</v>
      </c>
    </row>
    <row r="858" spans="1:12" x14ac:dyDescent="0.25">
      <c r="A858">
        <v>857</v>
      </c>
      <c r="B858">
        <v>33</v>
      </c>
      <c r="C858" t="s">
        <v>26</v>
      </c>
      <c r="D858" s="1">
        <v>45395</v>
      </c>
      <c r="E858" s="1">
        <v>45398</v>
      </c>
      <c r="F858" t="s">
        <v>13</v>
      </c>
      <c r="G858" t="s">
        <v>19</v>
      </c>
      <c r="H858">
        <v>3</v>
      </c>
      <c r="I858" t="s">
        <v>20</v>
      </c>
      <c r="J858">
        <v>4</v>
      </c>
      <c r="K858" t="s">
        <v>24</v>
      </c>
      <c r="L858" t="s">
        <v>30</v>
      </c>
    </row>
    <row r="859" spans="1:12" x14ac:dyDescent="0.25">
      <c r="A859">
        <v>858</v>
      </c>
      <c r="B859">
        <v>56</v>
      </c>
      <c r="C859" t="s">
        <v>26</v>
      </c>
      <c r="D859" s="1">
        <v>45411</v>
      </c>
      <c r="E859" s="1">
        <v>45425</v>
      </c>
      <c r="F859" t="s">
        <v>13</v>
      </c>
      <c r="G859" t="s">
        <v>14</v>
      </c>
      <c r="H859">
        <v>14</v>
      </c>
      <c r="I859" t="s">
        <v>15</v>
      </c>
      <c r="J859">
        <v>4</v>
      </c>
      <c r="K859" t="s">
        <v>21</v>
      </c>
      <c r="L859" t="s">
        <v>25</v>
      </c>
    </row>
    <row r="860" spans="1:12" x14ac:dyDescent="0.25">
      <c r="A860">
        <v>859</v>
      </c>
      <c r="B860">
        <v>76</v>
      </c>
      <c r="C860" t="s">
        <v>12</v>
      </c>
      <c r="D860" s="1">
        <v>45608</v>
      </c>
      <c r="E860" s="1">
        <v>45611</v>
      </c>
      <c r="F860" t="s">
        <v>31</v>
      </c>
      <c r="G860" t="s">
        <v>14</v>
      </c>
      <c r="H860">
        <v>3</v>
      </c>
      <c r="I860" t="s">
        <v>20</v>
      </c>
      <c r="J860">
        <v>0</v>
      </c>
      <c r="K860" t="s">
        <v>24</v>
      </c>
      <c r="L860" t="s">
        <v>17</v>
      </c>
    </row>
    <row r="861" spans="1:12" x14ac:dyDescent="0.25">
      <c r="A861">
        <v>860</v>
      </c>
      <c r="B861">
        <v>48</v>
      </c>
      <c r="C861" t="s">
        <v>12</v>
      </c>
      <c r="D861" s="1">
        <v>45638</v>
      </c>
      <c r="E861" s="1">
        <v>45649</v>
      </c>
      <c r="F861" t="s">
        <v>27</v>
      </c>
      <c r="G861" t="s">
        <v>23</v>
      </c>
      <c r="H861">
        <v>11</v>
      </c>
      <c r="I861" t="s">
        <v>20</v>
      </c>
      <c r="J861">
        <v>1</v>
      </c>
      <c r="K861" t="s">
        <v>16</v>
      </c>
      <c r="L861" t="s">
        <v>25</v>
      </c>
    </row>
    <row r="862" spans="1:12" x14ac:dyDescent="0.25">
      <c r="A862">
        <v>861</v>
      </c>
      <c r="B862">
        <v>72</v>
      </c>
      <c r="C862" t="s">
        <v>26</v>
      </c>
      <c r="D862" s="1">
        <v>45471</v>
      </c>
      <c r="E862" s="1">
        <v>45482</v>
      </c>
      <c r="F862" t="s">
        <v>13</v>
      </c>
      <c r="G862" t="s">
        <v>14</v>
      </c>
      <c r="H862">
        <v>11</v>
      </c>
      <c r="I862" t="s">
        <v>15</v>
      </c>
      <c r="J862">
        <v>4</v>
      </c>
      <c r="K862" t="s">
        <v>16</v>
      </c>
      <c r="L862" t="s">
        <v>29</v>
      </c>
    </row>
    <row r="863" spans="1:12" x14ac:dyDescent="0.25">
      <c r="A863">
        <v>862</v>
      </c>
      <c r="B863">
        <v>35</v>
      </c>
      <c r="C863" t="s">
        <v>12</v>
      </c>
      <c r="D863" s="1">
        <v>45585</v>
      </c>
      <c r="E863" s="1">
        <v>45599</v>
      </c>
      <c r="F863" t="s">
        <v>28</v>
      </c>
      <c r="G863" t="s">
        <v>19</v>
      </c>
      <c r="H863">
        <v>14</v>
      </c>
      <c r="I863" t="s">
        <v>15</v>
      </c>
      <c r="J863">
        <v>2</v>
      </c>
      <c r="K863" t="s">
        <v>16</v>
      </c>
      <c r="L863" t="s">
        <v>29</v>
      </c>
    </row>
    <row r="864" spans="1:12" x14ac:dyDescent="0.25">
      <c r="A864">
        <v>863</v>
      </c>
      <c r="B864">
        <v>46</v>
      </c>
      <c r="C864" t="s">
        <v>26</v>
      </c>
      <c r="D864" s="1">
        <v>45444</v>
      </c>
      <c r="E864" s="1">
        <v>45448</v>
      </c>
      <c r="F864" t="s">
        <v>18</v>
      </c>
      <c r="G864" t="s">
        <v>19</v>
      </c>
      <c r="H864">
        <v>4</v>
      </c>
      <c r="I864" t="s">
        <v>20</v>
      </c>
      <c r="J864">
        <v>2</v>
      </c>
      <c r="K864" t="s">
        <v>21</v>
      </c>
      <c r="L864" t="s">
        <v>22</v>
      </c>
    </row>
    <row r="865" spans="1:12" x14ac:dyDescent="0.25">
      <c r="A865">
        <v>864</v>
      </c>
      <c r="B865">
        <v>61</v>
      </c>
      <c r="C865" t="s">
        <v>12</v>
      </c>
      <c r="D865" s="1">
        <v>45359</v>
      </c>
      <c r="E865" s="1">
        <v>45362</v>
      </c>
      <c r="F865" t="s">
        <v>18</v>
      </c>
      <c r="G865" t="s">
        <v>19</v>
      </c>
      <c r="H865">
        <v>3</v>
      </c>
      <c r="I865" t="s">
        <v>15</v>
      </c>
      <c r="J865">
        <v>4</v>
      </c>
      <c r="K865" t="s">
        <v>21</v>
      </c>
      <c r="L865" t="s">
        <v>29</v>
      </c>
    </row>
    <row r="866" spans="1:12" x14ac:dyDescent="0.25">
      <c r="A866">
        <v>865</v>
      </c>
      <c r="B866">
        <v>28</v>
      </c>
      <c r="C866" t="s">
        <v>26</v>
      </c>
      <c r="D866" s="1">
        <v>45499</v>
      </c>
      <c r="E866" s="1">
        <v>45512</v>
      </c>
      <c r="F866" t="s">
        <v>13</v>
      </c>
      <c r="G866" t="s">
        <v>14</v>
      </c>
      <c r="H866">
        <v>13</v>
      </c>
      <c r="I866" t="s">
        <v>15</v>
      </c>
      <c r="J866">
        <v>0</v>
      </c>
      <c r="K866" t="s">
        <v>21</v>
      </c>
      <c r="L866" t="s">
        <v>22</v>
      </c>
    </row>
    <row r="867" spans="1:12" x14ac:dyDescent="0.25">
      <c r="A867">
        <v>866</v>
      </c>
      <c r="B867">
        <v>70</v>
      </c>
      <c r="C867" t="s">
        <v>12</v>
      </c>
      <c r="D867" s="1">
        <v>45584</v>
      </c>
      <c r="E867" s="1">
        <v>45598</v>
      </c>
      <c r="F867" t="s">
        <v>27</v>
      </c>
      <c r="G867" t="s">
        <v>19</v>
      </c>
      <c r="H867">
        <v>14</v>
      </c>
      <c r="I867" t="s">
        <v>20</v>
      </c>
      <c r="J867">
        <v>2</v>
      </c>
      <c r="K867" t="s">
        <v>21</v>
      </c>
      <c r="L867" t="s">
        <v>25</v>
      </c>
    </row>
    <row r="868" spans="1:12" x14ac:dyDescent="0.25">
      <c r="A868">
        <v>867</v>
      </c>
      <c r="B868">
        <v>60</v>
      </c>
      <c r="C868" t="s">
        <v>12</v>
      </c>
      <c r="D868" s="1">
        <v>45584</v>
      </c>
      <c r="E868" s="1">
        <v>45598</v>
      </c>
      <c r="F868" t="s">
        <v>18</v>
      </c>
      <c r="G868" t="s">
        <v>14</v>
      </c>
      <c r="H868">
        <v>14</v>
      </c>
      <c r="I868" t="s">
        <v>20</v>
      </c>
      <c r="J868">
        <v>4</v>
      </c>
      <c r="K868" t="s">
        <v>24</v>
      </c>
      <c r="L868" t="s">
        <v>29</v>
      </c>
    </row>
    <row r="869" spans="1:12" x14ac:dyDescent="0.25">
      <c r="A869">
        <v>868</v>
      </c>
      <c r="B869">
        <v>34</v>
      </c>
      <c r="C869" t="s">
        <v>12</v>
      </c>
      <c r="D869" s="1">
        <v>45425</v>
      </c>
      <c r="E869" s="1">
        <v>45431</v>
      </c>
      <c r="F869" t="s">
        <v>18</v>
      </c>
      <c r="G869" t="s">
        <v>19</v>
      </c>
      <c r="H869">
        <v>6</v>
      </c>
      <c r="I869" t="s">
        <v>20</v>
      </c>
      <c r="J869">
        <v>0</v>
      </c>
      <c r="K869" t="s">
        <v>16</v>
      </c>
      <c r="L869" t="s">
        <v>29</v>
      </c>
    </row>
    <row r="870" spans="1:12" x14ac:dyDescent="0.25">
      <c r="A870">
        <v>869</v>
      </c>
      <c r="B870">
        <v>65</v>
      </c>
      <c r="C870" t="s">
        <v>12</v>
      </c>
      <c r="D870" s="1">
        <v>45544</v>
      </c>
      <c r="E870" s="1">
        <v>45555</v>
      </c>
      <c r="F870" t="s">
        <v>31</v>
      </c>
      <c r="G870" t="s">
        <v>14</v>
      </c>
      <c r="H870">
        <v>11</v>
      </c>
      <c r="I870" t="s">
        <v>20</v>
      </c>
      <c r="J870">
        <v>0</v>
      </c>
      <c r="K870" t="s">
        <v>24</v>
      </c>
      <c r="L870" t="s">
        <v>22</v>
      </c>
    </row>
    <row r="871" spans="1:12" x14ac:dyDescent="0.25">
      <c r="A871">
        <v>870</v>
      </c>
      <c r="B871">
        <v>29</v>
      </c>
      <c r="C871" t="s">
        <v>12</v>
      </c>
      <c r="D871" s="1">
        <v>45427</v>
      </c>
      <c r="E871" s="1">
        <v>45429</v>
      </c>
      <c r="F871" t="s">
        <v>27</v>
      </c>
      <c r="G871" t="s">
        <v>23</v>
      </c>
      <c r="H871">
        <v>2</v>
      </c>
      <c r="I871" t="s">
        <v>15</v>
      </c>
      <c r="J871">
        <v>4</v>
      </c>
      <c r="K871" t="s">
        <v>16</v>
      </c>
      <c r="L871" t="s">
        <v>22</v>
      </c>
    </row>
    <row r="872" spans="1:12" x14ac:dyDescent="0.25">
      <c r="A872">
        <v>871</v>
      </c>
      <c r="B872">
        <v>81</v>
      </c>
      <c r="C872" t="s">
        <v>12</v>
      </c>
      <c r="D872" s="1">
        <v>45298</v>
      </c>
      <c r="E872" s="1">
        <v>45307</v>
      </c>
      <c r="F872" t="s">
        <v>13</v>
      </c>
      <c r="G872" t="s">
        <v>19</v>
      </c>
      <c r="H872">
        <v>9</v>
      </c>
      <c r="I872" t="s">
        <v>15</v>
      </c>
      <c r="J872">
        <v>3</v>
      </c>
      <c r="K872" t="s">
        <v>21</v>
      </c>
      <c r="L872" t="s">
        <v>30</v>
      </c>
    </row>
    <row r="873" spans="1:12" x14ac:dyDescent="0.25">
      <c r="A873">
        <v>872</v>
      </c>
      <c r="B873">
        <v>57</v>
      </c>
      <c r="C873" t="s">
        <v>26</v>
      </c>
      <c r="D873" s="1">
        <v>45517</v>
      </c>
      <c r="E873" s="1">
        <v>45519</v>
      </c>
      <c r="F873" t="s">
        <v>27</v>
      </c>
      <c r="G873" t="s">
        <v>19</v>
      </c>
      <c r="H873">
        <v>2</v>
      </c>
      <c r="I873" t="s">
        <v>15</v>
      </c>
      <c r="J873">
        <v>1</v>
      </c>
      <c r="K873" t="s">
        <v>21</v>
      </c>
      <c r="L873" t="s">
        <v>25</v>
      </c>
    </row>
    <row r="874" spans="1:12" x14ac:dyDescent="0.25">
      <c r="A874">
        <v>873</v>
      </c>
      <c r="B874">
        <v>39</v>
      </c>
      <c r="C874" t="s">
        <v>12</v>
      </c>
      <c r="D874" s="1">
        <v>45408</v>
      </c>
      <c r="E874" s="1">
        <v>45415</v>
      </c>
      <c r="F874" t="s">
        <v>13</v>
      </c>
      <c r="G874" t="s">
        <v>14</v>
      </c>
      <c r="H874">
        <v>7</v>
      </c>
      <c r="I874" t="s">
        <v>15</v>
      </c>
      <c r="J874">
        <v>4</v>
      </c>
      <c r="K874" t="s">
        <v>21</v>
      </c>
      <c r="L874" t="s">
        <v>30</v>
      </c>
    </row>
    <row r="875" spans="1:12" x14ac:dyDescent="0.25">
      <c r="A875">
        <v>874</v>
      </c>
      <c r="B875">
        <v>34</v>
      </c>
      <c r="C875" t="s">
        <v>26</v>
      </c>
      <c r="D875" s="1">
        <v>45406</v>
      </c>
      <c r="E875" s="1">
        <v>45416</v>
      </c>
      <c r="F875" t="s">
        <v>13</v>
      </c>
      <c r="G875" t="s">
        <v>14</v>
      </c>
      <c r="H875">
        <v>10</v>
      </c>
      <c r="I875" t="s">
        <v>15</v>
      </c>
      <c r="J875">
        <v>3</v>
      </c>
      <c r="K875" t="s">
        <v>16</v>
      </c>
      <c r="L875" t="s">
        <v>25</v>
      </c>
    </row>
    <row r="876" spans="1:12" x14ac:dyDescent="0.25">
      <c r="A876">
        <v>875</v>
      </c>
      <c r="B876">
        <v>22</v>
      </c>
      <c r="C876" t="s">
        <v>26</v>
      </c>
      <c r="D876" s="1">
        <v>45607</v>
      </c>
      <c r="E876" s="1">
        <v>45609</v>
      </c>
      <c r="F876" t="s">
        <v>27</v>
      </c>
      <c r="G876" t="s">
        <v>23</v>
      </c>
      <c r="H876">
        <v>2</v>
      </c>
      <c r="I876" t="s">
        <v>15</v>
      </c>
      <c r="J876">
        <v>4</v>
      </c>
      <c r="K876" t="s">
        <v>16</v>
      </c>
      <c r="L876" t="s">
        <v>29</v>
      </c>
    </row>
    <row r="877" spans="1:12" x14ac:dyDescent="0.25">
      <c r="A877">
        <v>876</v>
      </c>
      <c r="B877">
        <v>88</v>
      </c>
      <c r="C877" t="s">
        <v>12</v>
      </c>
      <c r="D877" s="1">
        <v>45488</v>
      </c>
      <c r="E877" s="1">
        <v>45500</v>
      </c>
      <c r="F877" t="s">
        <v>31</v>
      </c>
      <c r="G877" t="s">
        <v>14</v>
      </c>
      <c r="H877">
        <v>12</v>
      </c>
      <c r="I877" t="s">
        <v>15</v>
      </c>
      <c r="J877">
        <v>0</v>
      </c>
      <c r="K877" t="s">
        <v>16</v>
      </c>
      <c r="L877" t="s">
        <v>25</v>
      </c>
    </row>
    <row r="878" spans="1:12" x14ac:dyDescent="0.25">
      <c r="A878">
        <v>877</v>
      </c>
      <c r="B878">
        <v>54</v>
      </c>
      <c r="C878" t="s">
        <v>12</v>
      </c>
      <c r="D878" s="1">
        <v>45509</v>
      </c>
      <c r="E878" s="1">
        <v>45519</v>
      </c>
      <c r="F878" t="s">
        <v>28</v>
      </c>
      <c r="G878" t="s">
        <v>19</v>
      </c>
      <c r="H878">
        <v>10</v>
      </c>
      <c r="I878" t="s">
        <v>15</v>
      </c>
      <c r="J878">
        <v>2</v>
      </c>
      <c r="K878" t="s">
        <v>21</v>
      </c>
      <c r="L878" t="s">
        <v>25</v>
      </c>
    </row>
    <row r="879" spans="1:12" x14ac:dyDescent="0.25">
      <c r="A879">
        <v>878</v>
      </c>
      <c r="B879">
        <v>76</v>
      </c>
      <c r="C879" t="s">
        <v>12</v>
      </c>
      <c r="D879" s="1">
        <v>45328</v>
      </c>
      <c r="E879" s="1">
        <v>45337</v>
      </c>
      <c r="F879" t="s">
        <v>27</v>
      </c>
      <c r="G879" t="s">
        <v>23</v>
      </c>
      <c r="H879">
        <v>9</v>
      </c>
      <c r="I879" t="s">
        <v>20</v>
      </c>
      <c r="J879">
        <v>3</v>
      </c>
      <c r="K879" t="s">
        <v>21</v>
      </c>
      <c r="L879" t="s">
        <v>22</v>
      </c>
    </row>
    <row r="880" spans="1:12" x14ac:dyDescent="0.25">
      <c r="A880">
        <v>879</v>
      </c>
      <c r="B880">
        <v>36</v>
      </c>
      <c r="C880" t="s">
        <v>12</v>
      </c>
      <c r="D880" s="1">
        <v>45589</v>
      </c>
      <c r="E880" s="1">
        <v>45597</v>
      </c>
      <c r="F880" t="s">
        <v>13</v>
      </c>
      <c r="G880" t="s">
        <v>23</v>
      </c>
      <c r="H880">
        <v>8</v>
      </c>
      <c r="I880" t="s">
        <v>15</v>
      </c>
      <c r="J880">
        <v>2</v>
      </c>
      <c r="K880" t="s">
        <v>16</v>
      </c>
      <c r="L880" t="s">
        <v>22</v>
      </c>
    </row>
    <row r="881" spans="1:12" x14ac:dyDescent="0.25">
      <c r="A881">
        <v>880</v>
      </c>
      <c r="B881">
        <v>24</v>
      </c>
      <c r="C881" t="s">
        <v>12</v>
      </c>
      <c r="D881" s="1">
        <v>45518</v>
      </c>
      <c r="E881" s="1">
        <v>45529</v>
      </c>
      <c r="F881" t="s">
        <v>18</v>
      </c>
      <c r="G881" t="s">
        <v>19</v>
      </c>
      <c r="H881">
        <v>11</v>
      </c>
      <c r="I881" t="s">
        <v>15</v>
      </c>
      <c r="J881">
        <v>4</v>
      </c>
      <c r="K881" t="s">
        <v>16</v>
      </c>
      <c r="L881" t="s">
        <v>17</v>
      </c>
    </row>
    <row r="882" spans="1:12" x14ac:dyDescent="0.25">
      <c r="A882">
        <v>881</v>
      </c>
      <c r="B882">
        <v>88</v>
      </c>
      <c r="C882" t="s">
        <v>26</v>
      </c>
      <c r="D882" s="1">
        <v>45552</v>
      </c>
      <c r="E882" s="1">
        <v>45555</v>
      </c>
      <c r="F882" t="s">
        <v>31</v>
      </c>
      <c r="G882" t="s">
        <v>19</v>
      </c>
      <c r="H882">
        <v>3</v>
      </c>
      <c r="I882" t="s">
        <v>15</v>
      </c>
      <c r="J882">
        <v>3</v>
      </c>
      <c r="K882" t="s">
        <v>21</v>
      </c>
      <c r="L882" t="s">
        <v>25</v>
      </c>
    </row>
    <row r="883" spans="1:12" x14ac:dyDescent="0.25">
      <c r="A883">
        <v>882</v>
      </c>
      <c r="B883">
        <v>37</v>
      </c>
      <c r="C883" t="s">
        <v>12</v>
      </c>
      <c r="D883" s="1">
        <v>45583</v>
      </c>
      <c r="E883" s="1">
        <v>45593</v>
      </c>
      <c r="F883" t="s">
        <v>28</v>
      </c>
      <c r="G883" t="s">
        <v>14</v>
      </c>
      <c r="H883">
        <v>10</v>
      </c>
      <c r="I883" t="s">
        <v>20</v>
      </c>
      <c r="J883">
        <v>1</v>
      </c>
      <c r="K883" t="s">
        <v>16</v>
      </c>
      <c r="L883" t="s">
        <v>25</v>
      </c>
    </row>
    <row r="884" spans="1:12" x14ac:dyDescent="0.25">
      <c r="A884">
        <v>883</v>
      </c>
      <c r="B884">
        <v>65</v>
      </c>
      <c r="C884" t="s">
        <v>26</v>
      </c>
      <c r="D884" s="1">
        <v>45413</v>
      </c>
      <c r="E884" s="1">
        <v>45416</v>
      </c>
      <c r="F884" t="s">
        <v>31</v>
      </c>
      <c r="G884" t="s">
        <v>23</v>
      </c>
      <c r="H884">
        <v>3</v>
      </c>
      <c r="I884" t="s">
        <v>15</v>
      </c>
      <c r="J884">
        <v>3</v>
      </c>
      <c r="K884" t="s">
        <v>21</v>
      </c>
      <c r="L884" t="s">
        <v>30</v>
      </c>
    </row>
    <row r="885" spans="1:12" x14ac:dyDescent="0.25">
      <c r="A885">
        <v>884</v>
      </c>
      <c r="B885">
        <v>77</v>
      </c>
      <c r="C885" t="s">
        <v>12</v>
      </c>
      <c r="D885" s="1">
        <v>45480</v>
      </c>
      <c r="E885" s="1">
        <v>45488</v>
      </c>
      <c r="F885" t="s">
        <v>28</v>
      </c>
      <c r="G885" t="s">
        <v>23</v>
      </c>
      <c r="H885">
        <v>8</v>
      </c>
      <c r="I885" t="s">
        <v>20</v>
      </c>
      <c r="J885">
        <v>0</v>
      </c>
      <c r="K885" t="s">
        <v>21</v>
      </c>
      <c r="L885" t="s">
        <v>29</v>
      </c>
    </row>
    <row r="886" spans="1:12" x14ac:dyDescent="0.25">
      <c r="A886">
        <v>885</v>
      </c>
      <c r="B886">
        <v>38</v>
      </c>
      <c r="C886" t="s">
        <v>26</v>
      </c>
      <c r="D886" s="1">
        <v>45310</v>
      </c>
      <c r="E886" s="1">
        <v>45315</v>
      </c>
      <c r="F886" t="s">
        <v>18</v>
      </c>
      <c r="G886" t="s">
        <v>23</v>
      </c>
      <c r="H886">
        <v>5</v>
      </c>
      <c r="I886" t="s">
        <v>20</v>
      </c>
      <c r="J886">
        <v>3</v>
      </c>
      <c r="K886" t="s">
        <v>21</v>
      </c>
      <c r="L886" t="s">
        <v>30</v>
      </c>
    </row>
    <row r="887" spans="1:12" x14ac:dyDescent="0.25">
      <c r="A887">
        <v>886</v>
      </c>
      <c r="B887">
        <v>51</v>
      </c>
      <c r="C887" t="s">
        <v>12</v>
      </c>
      <c r="D887" s="1">
        <v>45608</v>
      </c>
      <c r="E887" s="1">
        <v>45612</v>
      </c>
      <c r="F887" t="s">
        <v>18</v>
      </c>
      <c r="G887" t="s">
        <v>14</v>
      </c>
      <c r="H887">
        <v>4</v>
      </c>
      <c r="I887" t="s">
        <v>15</v>
      </c>
      <c r="J887">
        <v>1</v>
      </c>
      <c r="K887" t="s">
        <v>21</v>
      </c>
      <c r="L887" t="s">
        <v>25</v>
      </c>
    </row>
    <row r="888" spans="1:12" x14ac:dyDescent="0.25">
      <c r="A888">
        <v>887</v>
      </c>
      <c r="B888">
        <v>24</v>
      </c>
      <c r="C888" t="s">
        <v>12</v>
      </c>
      <c r="D888" s="1">
        <v>45654</v>
      </c>
      <c r="E888" s="1">
        <v>45666</v>
      </c>
      <c r="F888" t="s">
        <v>31</v>
      </c>
      <c r="G888" t="s">
        <v>19</v>
      </c>
      <c r="H888">
        <v>12</v>
      </c>
      <c r="I888" t="s">
        <v>15</v>
      </c>
      <c r="J888">
        <v>2</v>
      </c>
      <c r="K888" t="s">
        <v>24</v>
      </c>
      <c r="L888" t="s">
        <v>25</v>
      </c>
    </row>
    <row r="889" spans="1:12" x14ac:dyDescent="0.25">
      <c r="A889">
        <v>888</v>
      </c>
      <c r="B889">
        <v>38</v>
      </c>
      <c r="C889" t="s">
        <v>26</v>
      </c>
      <c r="D889" s="1">
        <v>45592</v>
      </c>
      <c r="E889" s="1">
        <v>45607</v>
      </c>
      <c r="F889" t="s">
        <v>31</v>
      </c>
      <c r="G889" t="s">
        <v>19</v>
      </c>
      <c r="H889">
        <v>15</v>
      </c>
      <c r="I889" t="s">
        <v>20</v>
      </c>
      <c r="J889">
        <v>2</v>
      </c>
      <c r="K889" t="s">
        <v>16</v>
      </c>
      <c r="L889" t="s">
        <v>29</v>
      </c>
    </row>
    <row r="890" spans="1:12" x14ac:dyDescent="0.25">
      <c r="A890">
        <v>889</v>
      </c>
      <c r="B890">
        <v>64</v>
      </c>
      <c r="C890" t="s">
        <v>12</v>
      </c>
      <c r="D890" s="1">
        <v>45300</v>
      </c>
      <c r="E890" s="1">
        <v>45305</v>
      </c>
      <c r="F890" t="s">
        <v>13</v>
      </c>
      <c r="G890" t="s">
        <v>19</v>
      </c>
      <c r="H890">
        <v>5</v>
      </c>
      <c r="I890" t="s">
        <v>15</v>
      </c>
      <c r="J890">
        <v>3</v>
      </c>
      <c r="K890" t="s">
        <v>16</v>
      </c>
      <c r="L890" t="s">
        <v>25</v>
      </c>
    </row>
    <row r="891" spans="1:12" x14ac:dyDescent="0.25">
      <c r="A891">
        <v>890</v>
      </c>
      <c r="B891">
        <v>61</v>
      </c>
      <c r="C891" t="s">
        <v>12</v>
      </c>
      <c r="D891" s="1">
        <v>45543</v>
      </c>
      <c r="E891" s="1">
        <v>45545</v>
      </c>
      <c r="F891" t="s">
        <v>27</v>
      </c>
      <c r="G891" t="s">
        <v>19</v>
      </c>
      <c r="H891">
        <v>2</v>
      </c>
      <c r="I891" t="s">
        <v>20</v>
      </c>
      <c r="J891">
        <v>1</v>
      </c>
      <c r="K891" t="s">
        <v>16</v>
      </c>
      <c r="L891" t="s">
        <v>29</v>
      </c>
    </row>
    <row r="892" spans="1:12" x14ac:dyDescent="0.25">
      <c r="A892">
        <v>891</v>
      </c>
      <c r="B892">
        <v>76</v>
      </c>
      <c r="C892" t="s">
        <v>26</v>
      </c>
      <c r="D892" s="1">
        <v>45530</v>
      </c>
      <c r="E892" s="1">
        <v>45534</v>
      </c>
      <c r="F892" t="s">
        <v>18</v>
      </c>
      <c r="G892" t="s">
        <v>23</v>
      </c>
      <c r="H892">
        <v>4</v>
      </c>
      <c r="I892" t="s">
        <v>15</v>
      </c>
      <c r="J892">
        <v>4</v>
      </c>
      <c r="K892" t="s">
        <v>16</v>
      </c>
      <c r="L892" t="s">
        <v>22</v>
      </c>
    </row>
    <row r="893" spans="1:12" x14ac:dyDescent="0.25">
      <c r="A893">
        <v>892</v>
      </c>
      <c r="B893">
        <v>27</v>
      </c>
      <c r="C893" t="s">
        <v>26</v>
      </c>
      <c r="D893" s="1">
        <v>45572</v>
      </c>
      <c r="E893" s="1">
        <v>45579</v>
      </c>
      <c r="F893" t="s">
        <v>28</v>
      </c>
      <c r="G893" t="s">
        <v>23</v>
      </c>
      <c r="H893">
        <v>7</v>
      </c>
      <c r="I893" t="s">
        <v>15</v>
      </c>
      <c r="J893">
        <v>2</v>
      </c>
      <c r="K893" t="s">
        <v>21</v>
      </c>
      <c r="L893" t="s">
        <v>30</v>
      </c>
    </row>
    <row r="894" spans="1:12" x14ac:dyDescent="0.25">
      <c r="A894">
        <v>893</v>
      </c>
      <c r="B894">
        <v>46</v>
      </c>
      <c r="C894" t="s">
        <v>12</v>
      </c>
      <c r="D894" s="1">
        <v>45546</v>
      </c>
      <c r="E894" s="1">
        <v>45554</v>
      </c>
      <c r="F894" t="s">
        <v>27</v>
      </c>
      <c r="G894" t="s">
        <v>23</v>
      </c>
      <c r="H894">
        <v>8</v>
      </c>
      <c r="I894" t="s">
        <v>15</v>
      </c>
      <c r="J894">
        <v>2</v>
      </c>
      <c r="K894" t="s">
        <v>24</v>
      </c>
      <c r="L894" t="s">
        <v>25</v>
      </c>
    </row>
    <row r="895" spans="1:12" x14ac:dyDescent="0.25">
      <c r="A895">
        <v>894</v>
      </c>
      <c r="B895">
        <v>90</v>
      </c>
      <c r="C895" t="s">
        <v>26</v>
      </c>
      <c r="D895" s="1">
        <v>45603</v>
      </c>
      <c r="E895" s="1">
        <v>45618</v>
      </c>
      <c r="F895" t="s">
        <v>27</v>
      </c>
      <c r="G895" t="s">
        <v>19</v>
      </c>
      <c r="H895">
        <v>15</v>
      </c>
      <c r="I895" t="s">
        <v>20</v>
      </c>
      <c r="J895">
        <v>1</v>
      </c>
      <c r="K895" t="s">
        <v>24</v>
      </c>
      <c r="L895" t="s">
        <v>30</v>
      </c>
    </row>
    <row r="896" spans="1:12" x14ac:dyDescent="0.25">
      <c r="A896">
        <v>895</v>
      </c>
      <c r="B896">
        <v>20</v>
      </c>
      <c r="C896" t="s">
        <v>26</v>
      </c>
      <c r="D896" s="1">
        <v>45363</v>
      </c>
      <c r="E896" s="1">
        <v>45373</v>
      </c>
      <c r="F896" t="s">
        <v>13</v>
      </c>
      <c r="G896" t="s">
        <v>14</v>
      </c>
      <c r="H896">
        <v>10</v>
      </c>
      <c r="I896" t="s">
        <v>15</v>
      </c>
      <c r="J896">
        <v>4</v>
      </c>
      <c r="K896" t="s">
        <v>16</v>
      </c>
      <c r="L896" t="s">
        <v>22</v>
      </c>
    </row>
    <row r="897" spans="1:12" x14ac:dyDescent="0.25">
      <c r="A897">
        <v>896</v>
      </c>
      <c r="B897">
        <v>82</v>
      </c>
      <c r="C897" t="s">
        <v>12</v>
      </c>
      <c r="D897" s="1">
        <v>45382</v>
      </c>
      <c r="E897" s="1">
        <v>45390</v>
      </c>
      <c r="F897" t="s">
        <v>13</v>
      </c>
      <c r="G897" t="s">
        <v>19</v>
      </c>
      <c r="H897">
        <v>8</v>
      </c>
      <c r="I897" t="s">
        <v>20</v>
      </c>
      <c r="J897">
        <v>1</v>
      </c>
      <c r="K897" t="s">
        <v>24</v>
      </c>
      <c r="L897" t="s">
        <v>22</v>
      </c>
    </row>
    <row r="898" spans="1:12" x14ac:dyDescent="0.25">
      <c r="A898">
        <v>897</v>
      </c>
      <c r="B898">
        <v>64</v>
      </c>
      <c r="C898" t="s">
        <v>12</v>
      </c>
      <c r="D898" s="1">
        <v>45474</v>
      </c>
      <c r="E898" s="1">
        <v>45486</v>
      </c>
      <c r="F898" t="s">
        <v>27</v>
      </c>
      <c r="G898" t="s">
        <v>19</v>
      </c>
      <c r="H898">
        <v>12</v>
      </c>
      <c r="I898" t="s">
        <v>15</v>
      </c>
      <c r="J898">
        <v>1</v>
      </c>
      <c r="K898" t="s">
        <v>24</v>
      </c>
      <c r="L898" t="s">
        <v>29</v>
      </c>
    </row>
    <row r="899" spans="1:12" x14ac:dyDescent="0.25">
      <c r="A899">
        <v>898</v>
      </c>
      <c r="B899">
        <v>26</v>
      </c>
      <c r="C899" t="s">
        <v>12</v>
      </c>
      <c r="D899" s="1">
        <v>45608</v>
      </c>
      <c r="E899" s="1">
        <v>45611</v>
      </c>
      <c r="F899" t="s">
        <v>18</v>
      </c>
      <c r="G899" t="s">
        <v>23</v>
      </c>
      <c r="H899">
        <v>3</v>
      </c>
      <c r="I899" t="s">
        <v>15</v>
      </c>
      <c r="J899">
        <v>2</v>
      </c>
      <c r="K899" t="s">
        <v>24</v>
      </c>
      <c r="L899" t="s">
        <v>17</v>
      </c>
    </row>
    <row r="900" spans="1:12" x14ac:dyDescent="0.25">
      <c r="A900">
        <v>899</v>
      </c>
      <c r="B900">
        <v>51</v>
      </c>
      <c r="C900" t="s">
        <v>12</v>
      </c>
      <c r="D900" s="1">
        <v>45557</v>
      </c>
      <c r="E900" s="1">
        <v>45565</v>
      </c>
      <c r="F900" t="s">
        <v>31</v>
      </c>
      <c r="G900" t="s">
        <v>19</v>
      </c>
      <c r="H900">
        <v>8</v>
      </c>
      <c r="I900" t="s">
        <v>15</v>
      </c>
      <c r="J900">
        <v>0</v>
      </c>
      <c r="K900" t="s">
        <v>24</v>
      </c>
      <c r="L900" t="s">
        <v>17</v>
      </c>
    </row>
    <row r="901" spans="1:12" x14ac:dyDescent="0.25">
      <c r="A901">
        <v>900</v>
      </c>
      <c r="B901">
        <v>80</v>
      </c>
      <c r="C901" t="s">
        <v>26</v>
      </c>
      <c r="D901" s="1">
        <v>45601</v>
      </c>
      <c r="E901" s="1">
        <v>45607</v>
      </c>
      <c r="F901" t="s">
        <v>28</v>
      </c>
      <c r="G901" t="s">
        <v>23</v>
      </c>
      <c r="H901">
        <v>6</v>
      </c>
      <c r="I901" t="s">
        <v>15</v>
      </c>
      <c r="J901">
        <v>4</v>
      </c>
      <c r="K901" t="s">
        <v>16</v>
      </c>
      <c r="L901" t="s">
        <v>17</v>
      </c>
    </row>
    <row r="902" spans="1:12" x14ac:dyDescent="0.25">
      <c r="A902">
        <v>901</v>
      </c>
      <c r="B902">
        <v>86</v>
      </c>
      <c r="C902" t="s">
        <v>26</v>
      </c>
      <c r="D902" s="1">
        <v>45492</v>
      </c>
      <c r="E902" s="1">
        <v>45495</v>
      </c>
      <c r="F902" t="s">
        <v>27</v>
      </c>
      <c r="G902" t="s">
        <v>14</v>
      </c>
      <c r="H902">
        <v>3</v>
      </c>
      <c r="I902" t="s">
        <v>15</v>
      </c>
      <c r="J902">
        <v>2</v>
      </c>
      <c r="K902" t="s">
        <v>24</v>
      </c>
      <c r="L902" t="s">
        <v>29</v>
      </c>
    </row>
    <row r="903" spans="1:12" x14ac:dyDescent="0.25">
      <c r="A903">
        <v>902</v>
      </c>
      <c r="B903">
        <v>64</v>
      </c>
      <c r="C903" t="s">
        <v>12</v>
      </c>
      <c r="D903" s="1">
        <v>45494</v>
      </c>
      <c r="E903" s="1">
        <v>45503</v>
      </c>
      <c r="F903" t="s">
        <v>27</v>
      </c>
      <c r="G903" t="s">
        <v>19</v>
      </c>
      <c r="H903">
        <v>9</v>
      </c>
      <c r="I903" t="s">
        <v>15</v>
      </c>
      <c r="J903">
        <v>1</v>
      </c>
      <c r="K903" t="s">
        <v>16</v>
      </c>
      <c r="L903" t="s">
        <v>17</v>
      </c>
    </row>
    <row r="904" spans="1:12" x14ac:dyDescent="0.25">
      <c r="A904">
        <v>903</v>
      </c>
      <c r="B904">
        <v>30</v>
      </c>
      <c r="C904" t="s">
        <v>12</v>
      </c>
      <c r="D904" s="1">
        <v>45293</v>
      </c>
      <c r="E904" s="1">
        <v>45299</v>
      </c>
      <c r="F904" t="s">
        <v>31</v>
      </c>
      <c r="G904" t="s">
        <v>19</v>
      </c>
      <c r="H904">
        <v>6</v>
      </c>
      <c r="I904" t="s">
        <v>15</v>
      </c>
      <c r="J904">
        <v>2</v>
      </c>
      <c r="K904" t="s">
        <v>21</v>
      </c>
      <c r="L904" t="s">
        <v>29</v>
      </c>
    </row>
    <row r="905" spans="1:12" x14ac:dyDescent="0.25">
      <c r="A905">
        <v>904</v>
      </c>
      <c r="B905">
        <v>64</v>
      </c>
      <c r="C905" t="s">
        <v>26</v>
      </c>
      <c r="D905" s="1">
        <v>45456</v>
      </c>
      <c r="E905" s="1">
        <v>45463</v>
      </c>
      <c r="F905" t="s">
        <v>13</v>
      </c>
      <c r="G905" t="s">
        <v>23</v>
      </c>
      <c r="H905">
        <v>7</v>
      </c>
      <c r="I905" t="s">
        <v>15</v>
      </c>
      <c r="J905">
        <v>3</v>
      </c>
      <c r="K905" t="s">
        <v>24</v>
      </c>
      <c r="L905" t="s">
        <v>30</v>
      </c>
    </row>
    <row r="906" spans="1:12" x14ac:dyDescent="0.25">
      <c r="A906">
        <v>905</v>
      </c>
      <c r="B906">
        <v>80</v>
      </c>
      <c r="C906" t="s">
        <v>12</v>
      </c>
      <c r="D906" s="1">
        <v>45478</v>
      </c>
      <c r="E906" s="1">
        <v>45487</v>
      </c>
      <c r="F906" t="s">
        <v>28</v>
      </c>
      <c r="G906" t="s">
        <v>19</v>
      </c>
      <c r="H906">
        <v>9</v>
      </c>
      <c r="I906" t="s">
        <v>15</v>
      </c>
      <c r="J906">
        <v>4</v>
      </c>
      <c r="K906" t="s">
        <v>21</v>
      </c>
      <c r="L906" t="s">
        <v>17</v>
      </c>
    </row>
    <row r="907" spans="1:12" x14ac:dyDescent="0.25">
      <c r="A907">
        <v>906</v>
      </c>
      <c r="B907">
        <v>54</v>
      </c>
      <c r="C907" t="s">
        <v>12</v>
      </c>
      <c r="D907" s="1">
        <v>45419</v>
      </c>
      <c r="E907" s="1">
        <v>45423</v>
      </c>
      <c r="F907" t="s">
        <v>18</v>
      </c>
      <c r="G907" t="s">
        <v>19</v>
      </c>
      <c r="H907">
        <v>4</v>
      </c>
      <c r="I907" t="s">
        <v>20</v>
      </c>
      <c r="J907">
        <v>2</v>
      </c>
      <c r="K907" t="s">
        <v>24</v>
      </c>
      <c r="L907" t="s">
        <v>25</v>
      </c>
    </row>
    <row r="908" spans="1:12" x14ac:dyDescent="0.25">
      <c r="A908">
        <v>907</v>
      </c>
      <c r="B908">
        <v>57</v>
      </c>
      <c r="C908" t="s">
        <v>12</v>
      </c>
      <c r="D908" s="1">
        <v>45566</v>
      </c>
      <c r="E908" s="1">
        <v>45578</v>
      </c>
      <c r="F908" t="s">
        <v>31</v>
      </c>
      <c r="G908" t="s">
        <v>23</v>
      </c>
      <c r="H908">
        <v>12</v>
      </c>
      <c r="I908" t="s">
        <v>20</v>
      </c>
      <c r="J908">
        <v>1</v>
      </c>
      <c r="K908" t="s">
        <v>16</v>
      </c>
      <c r="L908" t="s">
        <v>30</v>
      </c>
    </row>
    <row r="909" spans="1:12" x14ac:dyDescent="0.25">
      <c r="A909">
        <v>908</v>
      </c>
      <c r="B909">
        <v>48</v>
      </c>
      <c r="C909" t="s">
        <v>26</v>
      </c>
      <c r="D909" s="1">
        <v>45542</v>
      </c>
      <c r="E909" s="1">
        <v>45549</v>
      </c>
      <c r="F909" t="s">
        <v>28</v>
      </c>
      <c r="G909" t="s">
        <v>23</v>
      </c>
      <c r="H909">
        <v>7</v>
      </c>
      <c r="I909" t="s">
        <v>20</v>
      </c>
      <c r="J909">
        <v>2</v>
      </c>
      <c r="K909" t="s">
        <v>16</v>
      </c>
      <c r="L909" t="s">
        <v>30</v>
      </c>
    </row>
    <row r="910" spans="1:12" x14ac:dyDescent="0.25">
      <c r="A910">
        <v>909</v>
      </c>
      <c r="B910">
        <v>32</v>
      </c>
      <c r="C910" t="s">
        <v>12</v>
      </c>
      <c r="D910" s="1">
        <v>45418</v>
      </c>
      <c r="E910" s="1">
        <v>45419</v>
      </c>
      <c r="F910" t="s">
        <v>13</v>
      </c>
      <c r="G910" t="s">
        <v>19</v>
      </c>
      <c r="H910">
        <v>1</v>
      </c>
      <c r="I910" t="s">
        <v>15</v>
      </c>
      <c r="J910">
        <v>3</v>
      </c>
      <c r="K910" t="s">
        <v>16</v>
      </c>
      <c r="L910" t="s">
        <v>17</v>
      </c>
    </row>
    <row r="911" spans="1:12" x14ac:dyDescent="0.25">
      <c r="A911">
        <v>910</v>
      </c>
      <c r="B911">
        <v>57</v>
      </c>
      <c r="C911" t="s">
        <v>26</v>
      </c>
      <c r="D911" s="1">
        <v>45428</v>
      </c>
      <c r="E911" s="1">
        <v>45437</v>
      </c>
      <c r="F911" t="s">
        <v>31</v>
      </c>
      <c r="G911" t="s">
        <v>14</v>
      </c>
      <c r="H911">
        <v>9</v>
      </c>
      <c r="I911" t="s">
        <v>20</v>
      </c>
      <c r="J911">
        <v>1</v>
      </c>
      <c r="K911" t="s">
        <v>16</v>
      </c>
      <c r="L911" t="s">
        <v>22</v>
      </c>
    </row>
    <row r="912" spans="1:12" x14ac:dyDescent="0.25">
      <c r="A912">
        <v>911</v>
      </c>
      <c r="B912">
        <v>47</v>
      </c>
      <c r="C912" t="s">
        <v>12</v>
      </c>
      <c r="D912" s="1">
        <v>45364</v>
      </c>
      <c r="E912" s="1">
        <v>45367</v>
      </c>
      <c r="F912" t="s">
        <v>28</v>
      </c>
      <c r="G912" t="s">
        <v>14</v>
      </c>
      <c r="H912">
        <v>3</v>
      </c>
      <c r="I912" t="s">
        <v>15</v>
      </c>
      <c r="J912">
        <v>4</v>
      </c>
      <c r="K912" t="s">
        <v>16</v>
      </c>
      <c r="L912" t="s">
        <v>22</v>
      </c>
    </row>
    <row r="913" spans="1:12" x14ac:dyDescent="0.25">
      <c r="A913">
        <v>912</v>
      </c>
      <c r="B913">
        <v>22</v>
      </c>
      <c r="C913" t="s">
        <v>12</v>
      </c>
      <c r="D913" s="1">
        <v>45554</v>
      </c>
      <c r="E913" s="1">
        <v>45557</v>
      </c>
      <c r="F913" t="s">
        <v>31</v>
      </c>
      <c r="G913" t="s">
        <v>19</v>
      </c>
      <c r="H913">
        <v>3</v>
      </c>
      <c r="I913" t="s">
        <v>20</v>
      </c>
      <c r="J913">
        <v>2</v>
      </c>
      <c r="K913" t="s">
        <v>24</v>
      </c>
      <c r="L913" t="s">
        <v>30</v>
      </c>
    </row>
    <row r="914" spans="1:12" x14ac:dyDescent="0.25">
      <c r="A914">
        <v>913</v>
      </c>
      <c r="B914">
        <v>39</v>
      </c>
      <c r="C914" t="s">
        <v>26</v>
      </c>
      <c r="D914" s="1">
        <v>45410</v>
      </c>
      <c r="E914" s="1">
        <v>45424</v>
      </c>
      <c r="F914" t="s">
        <v>28</v>
      </c>
      <c r="G914" t="s">
        <v>19</v>
      </c>
      <c r="H914">
        <v>14</v>
      </c>
      <c r="I914" t="s">
        <v>15</v>
      </c>
      <c r="J914">
        <v>0</v>
      </c>
      <c r="K914" t="s">
        <v>21</v>
      </c>
      <c r="L914" t="s">
        <v>17</v>
      </c>
    </row>
    <row r="915" spans="1:12" x14ac:dyDescent="0.25">
      <c r="A915">
        <v>914</v>
      </c>
      <c r="B915">
        <v>79</v>
      </c>
      <c r="C915" t="s">
        <v>26</v>
      </c>
      <c r="D915" s="1">
        <v>45448</v>
      </c>
      <c r="E915" s="1">
        <v>45453</v>
      </c>
      <c r="F915" t="s">
        <v>13</v>
      </c>
      <c r="G915" t="s">
        <v>19</v>
      </c>
      <c r="H915">
        <v>5</v>
      </c>
      <c r="I915" t="s">
        <v>20</v>
      </c>
      <c r="J915">
        <v>0</v>
      </c>
      <c r="K915" t="s">
        <v>24</v>
      </c>
      <c r="L915" t="s">
        <v>17</v>
      </c>
    </row>
    <row r="916" spans="1:12" x14ac:dyDescent="0.25">
      <c r="A916">
        <v>915</v>
      </c>
      <c r="B916">
        <v>33</v>
      </c>
      <c r="C916" t="s">
        <v>26</v>
      </c>
      <c r="D916" s="1">
        <v>45437</v>
      </c>
      <c r="E916" s="1">
        <v>45442</v>
      </c>
      <c r="F916" t="s">
        <v>27</v>
      </c>
      <c r="G916" t="s">
        <v>14</v>
      </c>
      <c r="H916">
        <v>5</v>
      </c>
      <c r="I916" t="s">
        <v>20</v>
      </c>
      <c r="J916">
        <v>4</v>
      </c>
      <c r="K916" t="s">
        <v>21</v>
      </c>
      <c r="L916" t="s">
        <v>30</v>
      </c>
    </row>
    <row r="917" spans="1:12" x14ac:dyDescent="0.25">
      <c r="A917">
        <v>916</v>
      </c>
      <c r="B917">
        <v>35</v>
      </c>
      <c r="C917" t="s">
        <v>26</v>
      </c>
      <c r="D917" s="1">
        <v>45346</v>
      </c>
      <c r="E917" s="1">
        <v>45347</v>
      </c>
      <c r="F917" t="s">
        <v>27</v>
      </c>
      <c r="G917" t="s">
        <v>23</v>
      </c>
      <c r="H917">
        <v>1</v>
      </c>
      <c r="I917" t="s">
        <v>15</v>
      </c>
      <c r="J917">
        <v>4</v>
      </c>
      <c r="K917" t="s">
        <v>16</v>
      </c>
      <c r="L917" t="s">
        <v>17</v>
      </c>
    </row>
    <row r="918" spans="1:12" x14ac:dyDescent="0.25">
      <c r="A918">
        <v>917</v>
      </c>
      <c r="B918">
        <v>50</v>
      </c>
      <c r="C918" t="s">
        <v>12</v>
      </c>
      <c r="D918" s="1">
        <v>45554</v>
      </c>
      <c r="E918" s="1">
        <v>45558</v>
      </c>
      <c r="F918" t="s">
        <v>18</v>
      </c>
      <c r="G918" t="s">
        <v>14</v>
      </c>
      <c r="H918">
        <v>4</v>
      </c>
      <c r="I918" t="s">
        <v>20</v>
      </c>
      <c r="J918">
        <v>1</v>
      </c>
      <c r="K918" t="s">
        <v>24</v>
      </c>
      <c r="L918" t="s">
        <v>22</v>
      </c>
    </row>
    <row r="919" spans="1:12" x14ac:dyDescent="0.25">
      <c r="A919">
        <v>918</v>
      </c>
      <c r="B919">
        <v>22</v>
      </c>
      <c r="C919" t="s">
        <v>26</v>
      </c>
      <c r="D919" s="1">
        <v>45325</v>
      </c>
      <c r="E919" s="1">
        <v>45338</v>
      </c>
      <c r="F919" t="s">
        <v>31</v>
      </c>
      <c r="G919" t="s">
        <v>19</v>
      </c>
      <c r="H919">
        <v>13</v>
      </c>
      <c r="I919" t="s">
        <v>20</v>
      </c>
      <c r="J919">
        <v>3</v>
      </c>
      <c r="K919" t="s">
        <v>24</v>
      </c>
      <c r="L919" t="s">
        <v>17</v>
      </c>
    </row>
    <row r="920" spans="1:12" x14ac:dyDescent="0.25">
      <c r="A920">
        <v>919</v>
      </c>
      <c r="B920">
        <v>88</v>
      </c>
      <c r="C920" t="s">
        <v>12</v>
      </c>
      <c r="D920" s="1">
        <v>45305</v>
      </c>
      <c r="E920" s="1">
        <v>45320</v>
      </c>
      <c r="F920" t="s">
        <v>31</v>
      </c>
      <c r="G920" t="s">
        <v>14</v>
      </c>
      <c r="H920">
        <v>15</v>
      </c>
      <c r="I920" t="s">
        <v>15</v>
      </c>
      <c r="J920">
        <v>3</v>
      </c>
      <c r="K920" t="s">
        <v>24</v>
      </c>
      <c r="L920" t="s">
        <v>29</v>
      </c>
    </row>
    <row r="921" spans="1:12" x14ac:dyDescent="0.25">
      <c r="A921">
        <v>920</v>
      </c>
      <c r="B921">
        <v>59</v>
      </c>
      <c r="C921" t="s">
        <v>26</v>
      </c>
      <c r="D921" s="1">
        <v>45532</v>
      </c>
      <c r="E921" s="1">
        <v>45542</v>
      </c>
      <c r="F921" t="s">
        <v>13</v>
      </c>
      <c r="G921" t="s">
        <v>23</v>
      </c>
      <c r="H921">
        <v>10</v>
      </c>
      <c r="I921" t="s">
        <v>20</v>
      </c>
      <c r="J921">
        <v>2</v>
      </c>
      <c r="K921" t="s">
        <v>16</v>
      </c>
      <c r="L921" t="s">
        <v>17</v>
      </c>
    </row>
    <row r="922" spans="1:12" x14ac:dyDescent="0.25">
      <c r="A922">
        <v>921</v>
      </c>
      <c r="B922">
        <v>37</v>
      </c>
      <c r="C922" t="s">
        <v>26</v>
      </c>
      <c r="D922" s="1">
        <v>45544</v>
      </c>
      <c r="E922" s="1">
        <v>45554</v>
      </c>
      <c r="F922" t="s">
        <v>18</v>
      </c>
      <c r="G922" t="s">
        <v>19</v>
      </c>
      <c r="H922">
        <v>10</v>
      </c>
      <c r="I922" t="s">
        <v>15</v>
      </c>
      <c r="J922">
        <v>3</v>
      </c>
      <c r="K922" t="s">
        <v>24</v>
      </c>
      <c r="L922" t="s">
        <v>29</v>
      </c>
    </row>
    <row r="923" spans="1:12" x14ac:dyDescent="0.25">
      <c r="A923">
        <v>922</v>
      </c>
      <c r="B923">
        <v>28</v>
      </c>
      <c r="C923" t="s">
        <v>12</v>
      </c>
      <c r="D923" s="1">
        <v>45402</v>
      </c>
      <c r="E923" s="1">
        <v>45414</v>
      </c>
      <c r="F923" t="s">
        <v>13</v>
      </c>
      <c r="G923" t="s">
        <v>23</v>
      </c>
      <c r="H923">
        <v>12</v>
      </c>
      <c r="I923" t="s">
        <v>20</v>
      </c>
      <c r="J923">
        <v>0</v>
      </c>
      <c r="K923" t="s">
        <v>16</v>
      </c>
      <c r="L923" t="s">
        <v>17</v>
      </c>
    </row>
    <row r="924" spans="1:12" x14ac:dyDescent="0.25">
      <c r="A924">
        <v>923</v>
      </c>
      <c r="B924">
        <v>90</v>
      </c>
      <c r="C924" t="s">
        <v>12</v>
      </c>
      <c r="D924" s="1">
        <v>45317</v>
      </c>
      <c r="E924" s="1">
        <v>45323</v>
      </c>
      <c r="F924" t="s">
        <v>28</v>
      </c>
      <c r="G924" t="s">
        <v>14</v>
      </c>
      <c r="H924">
        <v>6</v>
      </c>
      <c r="I924" t="s">
        <v>20</v>
      </c>
      <c r="J924">
        <v>4</v>
      </c>
      <c r="K924" t="s">
        <v>24</v>
      </c>
      <c r="L924" t="s">
        <v>29</v>
      </c>
    </row>
    <row r="925" spans="1:12" x14ac:dyDescent="0.25">
      <c r="A925">
        <v>924</v>
      </c>
      <c r="B925">
        <v>41</v>
      </c>
      <c r="C925" t="s">
        <v>26</v>
      </c>
      <c r="D925" s="1">
        <v>45593</v>
      </c>
      <c r="E925" s="1">
        <v>45600</v>
      </c>
      <c r="F925" t="s">
        <v>28</v>
      </c>
      <c r="G925" t="s">
        <v>19</v>
      </c>
      <c r="H925">
        <v>7</v>
      </c>
      <c r="I925" t="s">
        <v>15</v>
      </c>
      <c r="J925">
        <v>4</v>
      </c>
      <c r="K925" t="s">
        <v>16</v>
      </c>
      <c r="L925" t="s">
        <v>29</v>
      </c>
    </row>
    <row r="926" spans="1:12" x14ac:dyDescent="0.25">
      <c r="A926">
        <v>925</v>
      </c>
      <c r="B926">
        <v>74</v>
      </c>
      <c r="C926" t="s">
        <v>12</v>
      </c>
      <c r="D926" s="1">
        <v>45365</v>
      </c>
      <c r="E926" s="1">
        <v>45369</v>
      </c>
      <c r="F926" t="s">
        <v>28</v>
      </c>
      <c r="G926" t="s">
        <v>19</v>
      </c>
      <c r="H926">
        <v>4</v>
      </c>
      <c r="I926" t="s">
        <v>15</v>
      </c>
      <c r="J926">
        <v>4</v>
      </c>
      <c r="K926" t="s">
        <v>16</v>
      </c>
      <c r="L926" t="s">
        <v>29</v>
      </c>
    </row>
    <row r="927" spans="1:12" x14ac:dyDescent="0.25">
      <c r="A927">
        <v>926</v>
      </c>
      <c r="B927">
        <v>40</v>
      </c>
      <c r="C927" t="s">
        <v>26</v>
      </c>
      <c r="D927" s="1">
        <v>45593</v>
      </c>
      <c r="E927" s="1">
        <v>45606</v>
      </c>
      <c r="F927" t="s">
        <v>27</v>
      </c>
      <c r="G927" t="s">
        <v>14</v>
      </c>
      <c r="H927">
        <v>13</v>
      </c>
      <c r="I927" t="s">
        <v>15</v>
      </c>
      <c r="J927">
        <v>4</v>
      </c>
      <c r="K927" t="s">
        <v>21</v>
      </c>
      <c r="L927" t="s">
        <v>25</v>
      </c>
    </row>
    <row r="928" spans="1:12" x14ac:dyDescent="0.25">
      <c r="A928">
        <v>927</v>
      </c>
      <c r="B928">
        <v>67</v>
      </c>
      <c r="C928" t="s">
        <v>12</v>
      </c>
      <c r="D928" s="1">
        <v>45327</v>
      </c>
      <c r="E928" s="1">
        <v>45331</v>
      </c>
      <c r="F928" t="s">
        <v>27</v>
      </c>
      <c r="G928" t="s">
        <v>19</v>
      </c>
      <c r="H928">
        <v>4</v>
      </c>
      <c r="I928" t="s">
        <v>20</v>
      </c>
      <c r="J928">
        <v>2</v>
      </c>
      <c r="K928" t="s">
        <v>16</v>
      </c>
      <c r="L928" t="s">
        <v>25</v>
      </c>
    </row>
    <row r="929" spans="1:12" x14ac:dyDescent="0.25">
      <c r="A929">
        <v>928</v>
      </c>
      <c r="B929">
        <v>53</v>
      </c>
      <c r="C929" t="s">
        <v>26</v>
      </c>
      <c r="D929" s="1">
        <v>45565</v>
      </c>
      <c r="E929" s="1">
        <v>45575</v>
      </c>
      <c r="F929" t="s">
        <v>28</v>
      </c>
      <c r="G929" t="s">
        <v>19</v>
      </c>
      <c r="H929">
        <v>10</v>
      </c>
      <c r="I929" t="s">
        <v>15</v>
      </c>
      <c r="J929">
        <v>2</v>
      </c>
      <c r="K929" t="s">
        <v>16</v>
      </c>
      <c r="L929" t="s">
        <v>25</v>
      </c>
    </row>
    <row r="930" spans="1:12" x14ac:dyDescent="0.25">
      <c r="A930">
        <v>929</v>
      </c>
      <c r="B930">
        <v>26</v>
      </c>
      <c r="C930" t="s">
        <v>12</v>
      </c>
      <c r="D930" s="1">
        <v>45404</v>
      </c>
      <c r="E930" s="1">
        <v>45407</v>
      </c>
      <c r="F930" t="s">
        <v>31</v>
      </c>
      <c r="G930" t="s">
        <v>23</v>
      </c>
      <c r="H930">
        <v>3</v>
      </c>
      <c r="I930" t="s">
        <v>15</v>
      </c>
      <c r="J930">
        <v>0</v>
      </c>
      <c r="K930" t="s">
        <v>21</v>
      </c>
      <c r="L930" t="s">
        <v>22</v>
      </c>
    </row>
    <row r="931" spans="1:12" x14ac:dyDescent="0.25">
      <c r="A931">
        <v>930</v>
      </c>
      <c r="B931">
        <v>29</v>
      </c>
      <c r="C931" t="s">
        <v>12</v>
      </c>
      <c r="D931" s="1">
        <v>45340</v>
      </c>
      <c r="E931" s="1">
        <v>45344</v>
      </c>
      <c r="F931" t="s">
        <v>27</v>
      </c>
      <c r="G931" t="s">
        <v>14</v>
      </c>
      <c r="H931">
        <v>4</v>
      </c>
      <c r="I931" t="s">
        <v>15</v>
      </c>
      <c r="J931">
        <v>1</v>
      </c>
      <c r="K931" t="s">
        <v>16</v>
      </c>
      <c r="L931" t="s">
        <v>30</v>
      </c>
    </row>
    <row r="932" spans="1:12" x14ac:dyDescent="0.25">
      <c r="A932">
        <v>931</v>
      </c>
      <c r="B932">
        <v>90</v>
      </c>
      <c r="C932" t="s">
        <v>12</v>
      </c>
      <c r="D932" s="1">
        <v>45303</v>
      </c>
      <c r="E932" s="1">
        <v>45306</v>
      </c>
      <c r="F932" t="s">
        <v>18</v>
      </c>
      <c r="G932" t="s">
        <v>19</v>
      </c>
      <c r="H932">
        <v>3</v>
      </c>
      <c r="I932" t="s">
        <v>20</v>
      </c>
      <c r="J932">
        <v>2</v>
      </c>
      <c r="K932" t="s">
        <v>24</v>
      </c>
      <c r="L932" t="s">
        <v>25</v>
      </c>
    </row>
    <row r="933" spans="1:12" x14ac:dyDescent="0.25">
      <c r="A933">
        <v>932</v>
      </c>
      <c r="B933">
        <v>26</v>
      </c>
      <c r="C933" t="s">
        <v>12</v>
      </c>
      <c r="D933" s="1">
        <v>45523</v>
      </c>
      <c r="E933" s="1">
        <v>45528</v>
      </c>
      <c r="F933" t="s">
        <v>31</v>
      </c>
      <c r="G933" t="s">
        <v>14</v>
      </c>
      <c r="H933">
        <v>5</v>
      </c>
      <c r="I933" t="s">
        <v>20</v>
      </c>
      <c r="J933">
        <v>4</v>
      </c>
      <c r="K933" t="s">
        <v>24</v>
      </c>
      <c r="L933" t="s">
        <v>30</v>
      </c>
    </row>
    <row r="934" spans="1:12" x14ac:dyDescent="0.25">
      <c r="A934">
        <v>933</v>
      </c>
      <c r="B934">
        <v>37</v>
      </c>
      <c r="C934" t="s">
        <v>12</v>
      </c>
      <c r="D934" s="1">
        <v>45566</v>
      </c>
      <c r="E934" s="1">
        <v>45567</v>
      </c>
      <c r="F934" t="s">
        <v>27</v>
      </c>
      <c r="G934" t="s">
        <v>19</v>
      </c>
      <c r="H934">
        <v>1</v>
      </c>
      <c r="I934" t="s">
        <v>15</v>
      </c>
      <c r="J934">
        <v>3</v>
      </c>
      <c r="K934" t="s">
        <v>24</v>
      </c>
      <c r="L934" t="s">
        <v>30</v>
      </c>
    </row>
    <row r="935" spans="1:12" x14ac:dyDescent="0.25">
      <c r="A935">
        <v>934</v>
      </c>
      <c r="B935">
        <v>23</v>
      </c>
      <c r="C935" t="s">
        <v>12</v>
      </c>
      <c r="D935" s="1">
        <v>45371</v>
      </c>
      <c r="E935" s="1">
        <v>45377</v>
      </c>
      <c r="F935" t="s">
        <v>18</v>
      </c>
      <c r="G935" t="s">
        <v>14</v>
      </c>
      <c r="H935">
        <v>6</v>
      </c>
      <c r="I935" t="s">
        <v>20</v>
      </c>
      <c r="J935">
        <v>3</v>
      </c>
      <c r="K935" t="s">
        <v>16</v>
      </c>
      <c r="L935" t="s">
        <v>22</v>
      </c>
    </row>
    <row r="936" spans="1:12" x14ac:dyDescent="0.25">
      <c r="A936">
        <v>935</v>
      </c>
      <c r="B936">
        <v>85</v>
      </c>
      <c r="C936" t="s">
        <v>12</v>
      </c>
      <c r="D936" s="1">
        <v>45464</v>
      </c>
      <c r="E936" s="1">
        <v>45470</v>
      </c>
      <c r="F936" t="s">
        <v>13</v>
      </c>
      <c r="G936" t="s">
        <v>23</v>
      </c>
      <c r="H936">
        <v>6</v>
      </c>
      <c r="I936" t="s">
        <v>20</v>
      </c>
      <c r="J936">
        <v>1</v>
      </c>
      <c r="K936" t="s">
        <v>24</v>
      </c>
      <c r="L936" t="s">
        <v>30</v>
      </c>
    </row>
    <row r="937" spans="1:12" x14ac:dyDescent="0.25">
      <c r="A937">
        <v>936</v>
      </c>
      <c r="B937">
        <v>75</v>
      </c>
      <c r="C937" t="s">
        <v>12</v>
      </c>
      <c r="D937" s="1">
        <v>45509</v>
      </c>
      <c r="E937" s="1">
        <v>45512</v>
      </c>
      <c r="F937" t="s">
        <v>27</v>
      </c>
      <c r="G937" t="s">
        <v>23</v>
      </c>
      <c r="H937">
        <v>3</v>
      </c>
      <c r="I937" t="s">
        <v>20</v>
      </c>
      <c r="J937">
        <v>1</v>
      </c>
      <c r="K937" t="s">
        <v>21</v>
      </c>
      <c r="L937" t="s">
        <v>25</v>
      </c>
    </row>
    <row r="938" spans="1:12" x14ac:dyDescent="0.25">
      <c r="A938">
        <v>937</v>
      </c>
      <c r="B938">
        <v>49</v>
      </c>
      <c r="C938" t="s">
        <v>26</v>
      </c>
      <c r="D938" s="1">
        <v>45293</v>
      </c>
      <c r="E938" s="1">
        <v>45295</v>
      </c>
      <c r="F938" t="s">
        <v>18</v>
      </c>
      <c r="G938" t="s">
        <v>23</v>
      </c>
      <c r="H938">
        <v>2</v>
      </c>
      <c r="I938" t="s">
        <v>15</v>
      </c>
      <c r="J938">
        <v>0</v>
      </c>
      <c r="K938" t="s">
        <v>16</v>
      </c>
      <c r="L938" t="s">
        <v>22</v>
      </c>
    </row>
    <row r="939" spans="1:12" x14ac:dyDescent="0.25">
      <c r="A939">
        <v>938</v>
      </c>
      <c r="B939">
        <v>29</v>
      </c>
      <c r="C939" t="s">
        <v>26</v>
      </c>
      <c r="D939" s="1">
        <v>45526</v>
      </c>
      <c r="E939" s="1">
        <v>45541</v>
      </c>
      <c r="F939" t="s">
        <v>18</v>
      </c>
      <c r="G939" t="s">
        <v>19</v>
      </c>
      <c r="H939">
        <v>15</v>
      </c>
      <c r="I939" t="s">
        <v>20</v>
      </c>
      <c r="J939">
        <v>4</v>
      </c>
      <c r="K939" t="s">
        <v>16</v>
      </c>
      <c r="L939" t="s">
        <v>29</v>
      </c>
    </row>
    <row r="940" spans="1:12" x14ac:dyDescent="0.25">
      <c r="A940">
        <v>939</v>
      </c>
      <c r="B940">
        <v>31</v>
      </c>
      <c r="C940" t="s">
        <v>12</v>
      </c>
      <c r="D940" s="1">
        <v>45488</v>
      </c>
      <c r="E940" s="1">
        <v>45494</v>
      </c>
      <c r="F940" t="s">
        <v>13</v>
      </c>
      <c r="G940" t="s">
        <v>19</v>
      </c>
      <c r="H940">
        <v>6</v>
      </c>
      <c r="I940" t="s">
        <v>15</v>
      </c>
      <c r="J940">
        <v>0</v>
      </c>
      <c r="K940" t="s">
        <v>16</v>
      </c>
      <c r="L940" t="s">
        <v>17</v>
      </c>
    </row>
    <row r="941" spans="1:12" x14ac:dyDescent="0.25">
      <c r="A941">
        <v>940</v>
      </c>
      <c r="B941">
        <v>82</v>
      </c>
      <c r="C941" t="s">
        <v>12</v>
      </c>
      <c r="D941" s="1">
        <v>45406</v>
      </c>
      <c r="E941" s="1">
        <v>45414</v>
      </c>
      <c r="F941" t="s">
        <v>31</v>
      </c>
      <c r="G941" t="s">
        <v>19</v>
      </c>
      <c r="H941">
        <v>8</v>
      </c>
      <c r="I941" t="s">
        <v>15</v>
      </c>
      <c r="J941">
        <v>3</v>
      </c>
      <c r="K941" t="s">
        <v>21</v>
      </c>
      <c r="L941" t="s">
        <v>22</v>
      </c>
    </row>
    <row r="942" spans="1:12" x14ac:dyDescent="0.25">
      <c r="A942">
        <v>941</v>
      </c>
      <c r="B942">
        <v>53</v>
      </c>
      <c r="C942" t="s">
        <v>26</v>
      </c>
      <c r="D942" s="1">
        <v>45581</v>
      </c>
      <c r="E942" s="1">
        <v>45594</v>
      </c>
      <c r="F942" t="s">
        <v>18</v>
      </c>
      <c r="G942" t="s">
        <v>19</v>
      </c>
      <c r="H942">
        <v>13</v>
      </c>
      <c r="I942" t="s">
        <v>15</v>
      </c>
      <c r="J942">
        <v>4</v>
      </c>
      <c r="K942" t="s">
        <v>16</v>
      </c>
      <c r="L942" t="s">
        <v>29</v>
      </c>
    </row>
    <row r="943" spans="1:12" x14ac:dyDescent="0.25">
      <c r="A943">
        <v>942</v>
      </c>
      <c r="B943">
        <v>43</v>
      </c>
      <c r="C943" t="s">
        <v>26</v>
      </c>
      <c r="D943" s="1">
        <v>45616</v>
      </c>
      <c r="E943" s="1">
        <v>45629</v>
      </c>
      <c r="F943" t="s">
        <v>28</v>
      </c>
      <c r="G943" t="s">
        <v>19</v>
      </c>
      <c r="H943">
        <v>13</v>
      </c>
      <c r="I943" t="s">
        <v>20</v>
      </c>
      <c r="J943">
        <v>2</v>
      </c>
      <c r="K943" t="s">
        <v>21</v>
      </c>
      <c r="L943" t="s">
        <v>25</v>
      </c>
    </row>
    <row r="944" spans="1:12" x14ac:dyDescent="0.25">
      <c r="A944">
        <v>943</v>
      </c>
      <c r="B944">
        <v>30</v>
      </c>
      <c r="C944" t="s">
        <v>26</v>
      </c>
      <c r="D944" s="1">
        <v>45310</v>
      </c>
      <c r="E944" s="1">
        <v>45322</v>
      </c>
      <c r="F944" t="s">
        <v>27</v>
      </c>
      <c r="G944" t="s">
        <v>19</v>
      </c>
      <c r="H944">
        <v>12</v>
      </c>
      <c r="I944" t="s">
        <v>15</v>
      </c>
      <c r="J944">
        <v>0</v>
      </c>
      <c r="K944" t="s">
        <v>21</v>
      </c>
      <c r="L944" t="s">
        <v>25</v>
      </c>
    </row>
    <row r="945" spans="1:12" x14ac:dyDescent="0.25">
      <c r="A945">
        <v>944</v>
      </c>
      <c r="B945">
        <v>54</v>
      </c>
      <c r="C945" t="s">
        <v>26</v>
      </c>
      <c r="D945" s="1">
        <v>45390</v>
      </c>
      <c r="E945" s="1">
        <v>45405</v>
      </c>
      <c r="F945" t="s">
        <v>18</v>
      </c>
      <c r="G945" t="s">
        <v>23</v>
      </c>
      <c r="H945">
        <v>15</v>
      </c>
      <c r="I945" t="s">
        <v>20</v>
      </c>
      <c r="J945">
        <v>4</v>
      </c>
      <c r="K945" t="s">
        <v>21</v>
      </c>
      <c r="L945" t="s">
        <v>29</v>
      </c>
    </row>
    <row r="946" spans="1:12" x14ac:dyDescent="0.25">
      <c r="A946">
        <v>945</v>
      </c>
      <c r="B946">
        <v>55</v>
      </c>
      <c r="C946" t="s">
        <v>26</v>
      </c>
      <c r="D946" s="1">
        <v>45456</v>
      </c>
      <c r="E946" s="1">
        <v>45458</v>
      </c>
      <c r="F946" t="s">
        <v>18</v>
      </c>
      <c r="G946" t="s">
        <v>19</v>
      </c>
      <c r="H946">
        <v>2</v>
      </c>
      <c r="I946" t="s">
        <v>20</v>
      </c>
      <c r="J946">
        <v>2</v>
      </c>
      <c r="K946" t="s">
        <v>16</v>
      </c>
      <c r="L946" t="s">
        <v>22</v>
      </c>
    </row>
    <row r="947" spans="1:12" x14ac:dyDescent="0.25">
      <c r="A947">
        <v>946</v>
      </c>
      <c r="B947">
        <v>51</v>
      </c>
      <c r="C947" t="s">
        <v>12</v>
      </c>
      <c r="D947" s="1">
        <v>45547</v>
      </c>
      <c r="E947" s="1">
        <v>45562</v>
      </c>
      <c r="F947" t="s">
        <v>31</v>
      </c>
      <c r="G947" t="s">
        <v>23</v>
      </c>
      <c r="H947">
        <v>15</v>
      </c>
      <c r="I947" t="s">
        <v>15</v>
      </c>
      <c r="J947">
        <v>4</v>
      </c>
      <c r="K947" t="s">
        <v>16</v>
      </c>
      <c r="L947" t="s">
        <v>30</v>
      </c>
    </row>
    <row r="948" spans="1:12" x14ac:dyDescent="0.25">
      <c r="A948">
        <v>947</v>
      </c>
      <c r="B948">
        <v>55</v>
      </c>
      <c r="C948" t="s">
        <v>12</v>
      </c>
      <c r="D948" s="1">
        <v>45376</v>
      </c>
      <c r="E948" s="1">
        <v>45379</v>
      </c>
      <c r="F948" t="s">
        <v>31</v>
      </c>
      <c r="G948" t="s">
        <v>19</v>
      </c>
      <c r="H948">
        <v>3</v>
      </c>
      <c r="I948" t="s">
        <v>15</v>
      </c>
      <c r="J948">
        <v>0</v>
      </c>
      <c r="K948" t="s">
        <v>21</v>
      </c>
      <c r="L948" t="s">
        <v>25</v>
      </c>
    </row>
    <row r="949" spans="1:12" x14ac:dyDescent="0.25">
      <c r="A949">
        <v>948</v>
      </c>
      <c r="B949">
        <v>53</v>
      </c>
      <c r="C949" t="s">
        <v>12</v>
      </c>
      <c r="D949" s="1">
        <v>45548</v>
      </c>
      <c r="E949" s="1">
        <v>45552</v>
      </c>
      <c r="F949" t="s">
        <v>28</v>
      </c>
      <c r="G949" t="s">
        <v>23</v>
      </c>
      <c r="H949">
        <v>4</v>
      </c>
      <c r="I949" t="s">
        <v>15</v>
      </c>
      <c r="J949">
        <v>4</v>
      </c>
      <c r="K949" t="s">
        <v>16</v>
      </c>
      <c r="L949" t="s">
        <v>30</v>
      </c>
    </row>
    <row r="950" spans="1:12" x14ac:dyDescent="0.25">
      <c r="A950">
        <v>949</v>
      </c>
      <c r="B950">
        <v>35</v>
      </c>
      <c r="C950" t="s">
        <v>12</v>
      </c>
      <c r="D950" s="1">
        <v>45352</v>
      </c>
      <c r="E950" s="1">
        <v>45364</v>
      </c>
      <c r="F950" t="s">
        <v>27</v>
      </c>
      <c r="G950" t="s">
        <v>19</v>
      </c>
      <c r="H950">
        <v>12</v>
      </c>
      <c r="I950" t="s">
        <v>15</v>
      </c>
      <c r="J950">
        <v>3</v>
      </c>
      <c r="K950" t="s">
        <v>16</v>
      </c>
      <c r="L950" t="s">
        <v>29</v>
      </c>
    </row>
    <row r="951" spans="1:12" x14ac:dyDescent="0.25">
      <c r="A951">
        <v>950</v>
      </c>
      <c r="B951">
        <v>60</v>
      </c>
      <c r="C951" t="s">
        <v>12</v>
      </c>
      <c r="D951" s="1">
        <v>45613</v>
      </c>
      <c r="E951" s="1">
        <v>45618</v>
      </c>
      <c r="F951" t="s">
        <v>28</v>
      </c>
      <c r="G951" t="s">
        <v>19</v>
      </c>
      <c r="H951">
        <v>5</v>
      </c>
      <c r="I951" t="s">
        <v>15</v>
      </c>
      <c r="J951">
        <v>3</v>
      </c>
      <c r="K951" t="s">
        <v>24</v>
      </c>
      <c r="L951" t="s">
        <v>25</v>
      </c>
    </row>
    <row r="952" spans="1:12" x14ac:dyDescent="0.25">
      <c r="A952">
        <v>951</v>
      </c>
      <c r="B952">
        <v>82</v>
      </c>
      <c r="C952" t="s">
        <v>26</v>
      </c>
      <c r="D952" s="1">
        <v>45310</v>
      </c>
      <c r="E952" s="1">
        <v>45324</v>
      </c>
      <c r="F952" t="s">
        <v>31</v>
      </c>
      <c r="G952" t="s">
        <v>23</v>
      </c>
      <c r="H952">
        <v>14</v>
      </c>
      <c r="I952" t="s">
        <v>15</v>
      </c>
      <c r="J952">
        <v>3</v>
      </c>
      <c r="K952" t="s">
        <v>21</v>
      </c>
      <c r="L952" t="s">
        <v>17</v>
      </c>
    </row>
    <row r="953" spans="1:12" x14ac:dyDescent="0.25">
      <c r="A953">
        <v>952</v>
      </c>
      <c r="B953">
        <v>37</v>
      </c>
      <c r="C953" t="s">
        <v>12</v>
      </c>
      <c r="D953" s="1">
        <v>45640</v>
      </c>
      <c r="E953" s="1">
        <v>45643</v>
      </c>
      <c r="F953" t="s">
        <v>13</v>
      </c>
      <c r="G953" t="s">
        <v>19</v>
      </c>
      <c r="H953">
        <v>3</v>
      </c>
      <c r="I953" t="s">
        <v>15</v>
      </c>
      <c r="J953">
        <v>4</v>
      </c>
      <c r="K953" t="s">
        <v>21</v>
      </c>
      <c r="L953" t="s">
        <v>22</v>
      </c>
    </row>
    <row r="954" spans="1:12" x14ac:dyDescent="0.25">
      <c r="A954">
        <v>953</v>
      </c>
      <c r="B954">
        <v>36</v>
      </c>
      <c r="C954" t="s">
        <v>26</v>
      </c>
      <c r="D954" s="1">
        <v>45459</v>
      </c>
      <c r="E954" s="1">
        <v>45464</v>
      </c>
      <c r="F954" t="s">
        <v>13</v>
      </c>
      <c r="G954" t="s">
        <v>23</v>
      </c>
      <c r="H954">
        <v>5</v>
      </c>
      <c r="I954" t="s">
        <v>20</v>
      </c>
      <c r="J954">
        <v>0</v>
      </c>
      <c r="K954" t="s">
        <v>16</v>
      </c>
      <c r="L954" t="s">
        <v>25</v>
      </c>
    </row>
    <row r="955" spans="1:12" x14ac:dyDescent="0.25">
      <c r="A955">
        <v>954</v>
      </c>
      <c r="B955">
        <v>41</v>
      </c>
      <c r="C955" t="s">
        <v>26</v>
      </c>
      <c r="D955" s="1">
        <v>45518</v>
      </c>
      <c r="E955" s="1">
        <v>45522</v>
      </c>
      <c r="F955" t="s">
        <v>13</v>
      </c>
      <c r="G955" t="s">
        <v>19</v>
      </c>
      <c r="H955">
        <v>4</v>
      </c>
      <c r="I955" t="s">
        <v>15</v>
      </c>
      <c r="J955">
        <v>1</v>
      </c>
      <c r="K955" t="s">
        <v>21</v>
      </c>
      <c r="L955" t="s">
        <v>25</v>
      </c>
    </row>
    <row r="956" spans="1:12" x14ac:dyDescent="0.25">
      <c r="A956">
        <v>955</v>
      </c>
      <c r="B956">
        <v>67</v>
      </c>
      <c r="C956" t="s">
        <v>12</v>
      </c>
      <c r="D956" s="1">
        <v>45316</v>
      </c>
      <c r="E956" s="1">
        <v>45326</v>
      </c>
      <c r="F956" t="s">
        <v>18</v>
      </c>
      <c r="G956" t="s">
        <v>19</v>
      </c>
      <c r="H956">
        <v>10</v>
      </c>
      <c r="I956" t="s">
        <v>15</v>
      </c>
      <c r="J956">
        <v>3</v>
      </c>
      <c r="K956" t="s">
        <v>24</v>
      </c>
      <c r="L956" t="s">
        <v>29</v>
      </c>
    </row>
    <row r="957" spans="1:12" x14ac:dyDescent="0.25">
      <c r="A957">
        <v>956</v>
      </c>
      <c r="B957">
        <v>68</v>
      </c>
      <c r="C957" t="s">
        <v>12</v>
      </c>
      <c r="D957" s="1">
        <v>45340</v>
      </c>
      <c r="E957" s="1">
        <v>45348</v>
      </c>
      <c r="F957" t="s">
        <v>18</v>
      </c>
      <c r="G957" t="s">
        <v>19</v>
      </c>
      <c r="H957">
        <v>8</v>
      </c>
      <c r="I957" t="s">
        <v>15</v>
      </c>
      <c r="J957">
        <v>2</v>
      </c>
      <c r="K957" t="s">
        <v>24</v>
      </c>
      <c r="L957" t="s">
        <v>25</v>
      </c>
    </row>
    <row r="958" spans="1:12" x14ac:dyDescent="0.25">
      <c r="A958">
        <v>957</v>
      </c>
      <c r="B958">
        <v>55</v>
      </c>
      <c r="C958" t="s">
        <v>26</v>
      </c>
      <c r="D958" s="1">
        <v>45484</v>
      </c>
      <c r="E958" s="1">
        <v>45493</v>
      </c>
      <c r="F958" t="s">
        <v>27</v>
      </c>
      <c r="G958" t="s">
        <v>14</v>
      </c>
      <c r="H958">
        <v>9</v>
      </c>
      <c r="I958" t="s">
        <v>20</v>
      </c>
      <c r="J958">
        <v>1</v>
      </c>
      <c r="K958" t="s">
        <v>16</v>
      </c>
      <c r="L958" t="s">
        <v>25</v>
      </c>
    </row>
    <row r="959" spans="1:12" x14ac:dyDescent="0.25">
      <c r="A959">
        <v>958</v>
      </c>
      <c r="B959">
        <v>48</v>
      </c>
      <c r="C959" t="s">
        <v>12</v>
      </c>
      <c r="D959" s="1">
        <v>45650</v>
      </c>
      <c r="E959" s="1">
        <v>45653</v>
      </c>
      <c r="F959" t="s">
        <v>31</v>
      </c>
      <c r="G959" t="s">
        <v>14</v>
      </c>
      <c r="H959">
        <v>3</v>
      </c>
      <c r="I959" t="s">
        <v>15</v>
      </c>
      <c r="J959">
        <v>4</v>
      </c>
      <c r="K959" t="s">
        <v>21</v>
      </c>
      <c r="L959" t="s">
        <v>30</v>
      </c>
    </row>
    <row r="960" spans="1:12" x14ac:dyDescent="0.25">
      <c r="A960">
        <v>959</v>
      </c>
      <c r="B960">
        <v>55</v>
      </c>
      <c r="C960" t="s">
        <v>26</v>
      </c>
      <c r="D960" s="1">
        <v>45582</v>
      </c>
      <c r="E960" s="1">
        <v>45591</v>
      </c>
      <c r="F960" t="s">
        <v>31</v>
      </c>
      <c r="G960" t="s">
        <v>23</v>
      </c>
      <c r="H960">
        <v>9</v>
      </c>
      <c r="I960" t="s">
        <v>15</v>
      </c>
      <c r="J960">
        <v>0</v>
      </c>
      <c r="K960" t="s">
        <v>16</v>
      </c>
      <c r="L960" t="s">
        <v>22</v>
      </c>
    </row>
    <row r="961" spans="1:12" x14ac:dyDescent="0.25">
      <c r="A961">
        <v>960</v>
      </c>
      <c r="B961">
        <v>63</v>
      </c>
      <c r="C961" t="s">
        <v>26</v>
      </c>
      <c r="D961" s="1">
        <v>45378</v>
      </c>
      <c r="E961" s="1">
        <v>45381</v>
      </c>
      <c r="F961" t="s">
        <v>13</v>
      </c>
      <c r="G961" t="s">
        <v>19</v>
      </c>
      <c r="H961">
        <v>3</v>
      </c>
      <c r="I961" t="s">
        <v>20</v>
      </c>
      <c r="J961">
        <v>1</v>
      </c>
      <c r="K961" t="s">
        <v>21</v>
      </c>
      <c r="L961" t="s">
        <v>25</v>
      </c>
    </row>
    <row r="962" spans="1:12" x14ac:dyDescent="0.25">
      <c r="A962">
        <v>961</v>
      </c>
      <c r="B962">
        <v>59</v>
      </c>
      <c r="C962" t="s">
        <v>26</v>
      </c>
      <c r="D962" s="1">
        <v>45556</v>
      </c>
      <c r="E962" s="1">
        <v>45565</v>
      </c>
      <c r="F962" t="s">
        <v>28</v>
      </c>
      <c r="G962" t="s">
        <v>19</v>
      </c>
      <c r="H962">
        <v>9</v>
      </c>
      <c r="I962" t="s">
        <v>20</v>
      </c>
      <c r="J962">
        <v>0</v>
      </c>
      <c r="K962" t="s">
        <v>21</v>
      </c>
      <c r="L962" t="s">
        <v>29</v>
      </c>
    </row>
    <row r="963" spans="1:12" x14ac:dyDescent="0.25">
      <c r="A963">
        <v>962</v>
      </c>
      <c r="B963">
        <v>68</v>
      </c>
      <c r="C963" t="s">
        <v>12</v>
      </c>
      <c r="D963" s="1">
        <v>45568</v>
      </c>
      <c r="E963" s="1">
        <v>45574</v>
      </c>
      <c r="F963" t="s">
        <v>18</v>
      </c>
      <c r="G963" t="s">
        <v>14</v>
      </c>
      <c r="H963">
        <v>6</v>
      </c>
      <c r="I963" t="s">
        <v>15</v>
      </c>
      <c r="J963">
        <v>2</v>
      </c>
      <c r="K963" t="s">
        <v>24</v>
      </c>
      <c r="L963" t="s">
        <v>17</v>
      </c>
    </row>
    <row r="964" spans="1:12" x14ac:dyDescent="0.25">
      <c r="A964">
        <v>963</v>
      </c>
      <c r="B964">
        <v>51</v>
      </c>
      <c r="C964" t="s">
        <v>12</v>
      </c>
      <c r="D964" s="1">
        <v>45312</v>
      </c>
      <c r="E964" s="1">
        <v>45316</v>
      </c>
      <c r="F964" t="s">
        <v>31</v>
      </c>
      <c r="G964" t="s">
        <v>23</v>
      </c>
      <c r="H964">
        <v>4</v>
      </c>
      <c r="I964" t="s">
        <v>15</v>
      </c>
      <c r="J964">
        <v>3</v>
      </c>
      <c r="K964" t="s">
        <v>24</v>
      </c>
      <c r="L964" t="s">
        <v>29</v>
      </c>
    </row>
    <row r="965" spans="1:12" x14ac:dyDescent="0.25">
      <c r="A965">
        <v>964</v>
      </c>
      <c r="B965">
        <v>46</v>
      </c>
      <c r="C965" t="s">
        <v>26</v>
      </c>
      <c r="D965" s="1">
        <v>45449</v>
      </c>
      <c r="E965" s="1">
        <v>45458</v>
      </c>
      <c r="F965" t="s">
        <v>13</v>
      </c>
      <c r="G965" t="s">
        <v>14</v>
      </c>
      <c r="H965">
        <v>9</v>
      </c>
      <c r="I965" t="s">
        <v>20</v>
      </c>
      <c r="J965">
        <v>2</v>
      </c>
      <c r="K965" t="s">
        <v>16</v>
      </c>
      <c r="L965" t="s">
        <v>29</v>
      </c>
    </row>
    <row r="966" spans="1:12" x14ac:dyDescent="0.25">
      <c r="A966">
        <v>965</v>
      </c>
      <c r="B966">
        <v>24</v>
      </c>
      <c r="C966" t="s">
        <v>12</v>
      </c>
      <c r="D966" s="1">
        <v>45656</v>
      </c>
      <c r="E966" s="1">
        <v>45668</v>
      </c>
      <c r="F966" t="s">
        <v>31</v>
      </c>
      <c r="G966" t="s">
        <v>14</v>
      </c>
      <c r="H966">
        <v>12</v>
      </c>
      <c r="I966" t="s">
        <v>15</v>
      </c>
      <c r="J966">
        <v>2</v>
      </c>
      <c r="K966" t="s">
        <v>21</v>
      </c>
      <c r="L966" t="s">
        <v>29</v>
      </c>
    </row>
    <row r="967" spans="1:12" x14ac:dyDescent="0.25">
      <c r="A967">
        <v>966</v>
      </c>
      <c r="B967">
        <v>42</v>
      </c>
      <c r="C967" t="s">
        <v>12</v>
      </c>
      <c r="D967" s="1">
        <v>45351</v>
      </c>
      <c r="E967" s="1">
        <v>45365</v>
      </c>
      <c r="F967" t="s">
        <v>28</v>
      </c>
      <c r="G967" t="s">
        <v>19</v>
      </c>
      <c r="H967">
        <v>14</v>
      </c>
      <c r="I967" t="s">
        <v>15</v>
      </c>
      <c r="J967">
        <v>0</v>
      </c>
      <c r="K967" t="s">
        <v>21</v>
      </c>
      <c r="L967" t="s">
        <v>30</v>
      </c>
    </row>
    <row r="968" spans="1:12" x14ac:dyDescent="0.25">
      <c r="A968">
        <v>967</v>
      </c>
      <c r="B968">
        <v>61</v>
      </c>
      <c r="C968" t="s">
        <v>26</v>
      </c>
      <c r="D968" s="1">
        <v>45445</v>
      </c>
      <c r="E968" s="1">
        <v>45460</v>
      </c>
      <c r="F968" t="s">
        <v>13</v>
      </c>
      <c r="G968" t="s">
        <v>14</v>
      </c>
      <c r="H968">
        <v>15</v>
      </c>
      <c r="I968" t="s">
        <v>15</v>
      </c>
      <c r="J968">
        <v>0</v>
      </c>
      <c r="K968" t="s">
        <v>16</v>
      </c>
      <c r="L968" t="s">
        <v>30</v>
      </c>
    </row>
    <row r="969" spans="1:12" x14ac:dyDescent="0.25">
      <c r="A969">
        <v>968</v>
      </c>
      <c r="B969">
        <v>65</v>
      </c>
      <c r="C969" t="s">
        <v>26</v>
      </c>
      <c r="D969" s="1">
        <v>45373</v>
      </c>
      <c r="E969" s="1">
        <v>45381</v>
      </c>
      <c r="F969" t="s">
        <v>28</v>
      </c>
      <c r="G969" t="s">
        <v>14</v>
      </c>
      <c r="H969">
        <v>8</v>
      </c>
      <c r="I969" t="s">
        <v>15</v>
      </c>
      <c r="J969">
        <v>2</v>
      </c>
      <c r="K969" t="s">
        <v>16</v>
      </c>
      <c r="L969" t="s">
        <v>25</v>
      </c>
    </row>
    <row r="970" spans="1:12" x14ac:dyDescent="0.25">
      <c r="A970">
        <v>969</v>
      </c>
      <c r="B970">
        <v>20</v>
      </c>
      <c r="C970" t="s">
        <v>12</v>
      </c>
      <c r="D970" s="1">
        <v>45427</v>
      </c>
      <c r="E970" s="1">
        <v>45436</v>
      </c>
      <c r="F970" t="s">
        <v>27</v>
      </c>
      <c r="G970" t="s">
        <v>14</v>
      </c>
      <c r="H970">
        <v>9</v>
      </c>
      <c r="I970" t="s">
        <v>15</v>
      </c>
      <c r="J970">
        <v>3</v>
      </c>
      <c r="K970" t="s">
        <v>16</v>
      </c>
      <c r="L970" t="s">
        <v>22</v>
      </c>
    </row>
    <row r="971" spans="1:12" x14ac:dyDescent="0.25">
      <c r="A971">
        <v>970</v>
      </c>
      <c r="B971">
        <v>30</v>
      </c>
      <c r="C971" t="s">
        <v>12</v>
      </c>
      <c r="D971" s="1">
        <v>45566</v>
      </c>
      <c r="E971" s="1">
        <v>45575</v>
      </c>
      <c r="F971" t="s">
        <v>28</v>
      </c>
      <c r="G971" t="s">
        <v>23</v>
      </c>
      <c r="H971">
        <v>9</v>
      </c>
      <c r="I971" t="s">
        <v>15</v>
      </c>
      <c r="J971">
        <v>0</v>
      </c>
      <c r="K971" t="s">
        <v>24</v>
      </c>
      <c r="L971" t="s">
        <v>22</v>
      </c>
    </row>
    <row r="972" spans="1:12" x14ac:dyDescent="0.25">
      <c r="A972">
        <v>971</v>
      </c>
      <c r="B972">
        <v>55</v>
      </c>
      <c r="C972" t="s">
        <v>12</v>
      </c>
      <c r="D972" s="1">
        <v>45630</v>
      </c>
      <c r="E972" s="1">
        <v>45631</v>
      </c>
      <c r="F972" t="s">
        <v>27</v>
      </c>
      <c r="G972" t="s">
        <v>19</v>
      </c>
      <c r="H972">
        <v>1</v>
      </c>
      <c r="I972" t="s">
        <v>15</v>
      </c>
      <c r="J972">
        <v>0</v>
      </c>
      <c r="K972" t="s">
        <v>16</v>
      </c>
      <c r="L972" t="s">
        <v>22</v>
      </c>
    </row>
    <row r="973" spans="1:12" x14ac:dyDescent="0.25">
      <c r="A973">
        <v>972</v>
      </c>
      <c r="B973">
        <v>42</v>
      </c>
      <c r="C973" t="s">
        <v>12</v>
      </c>
      <c r="D973" s="1">
        <v>45530</v>
      </c>
      <c r="E973" s="1">
        <v>45535</v>
      </c>
      <c r="F973" t="s">
        <v>28</v>
      </c>
      <c r="G973" t="s">
        <v>23</v>
      </c>
      <c r="H973">
        <v>5</v>
      </c>
      <c r="I973" t="s">
        <v>15</v>
      </c>
      <c r="J973">
        <v>1</v>
      </c>
      <c r="K973" t="s">
        <v>24</v>
      </c>
      <c r="L973" t="s">
        <v>22</v>
      </c>
    </row>
    <row r="974" spans="1:12" x14ac:dyDescent="0.25">
      <c r="A974">
        <v>973</v>
      </c>
      <c r="B974">
        <v>49</v>
      </c>
      <c r="C974" t="s">
        <v>12</v>
      </c>
      <c r="D974" s="1">
        <v>45415</v>
      </c>
      <c r="E974" s="1">
        <v>45423</v>
      </c>
      <c r="F974" t="s">
        <v>13</v>
      </c>
      <c r="G974" t="s">
        <v>14</v>
      </c>
      <c r="H974">
        <v>8</v>
      </c>
      <c r="I974" t="s">
        <v>15</v>
      </c>
      <c r="J974">
        <v>0</v>
      </c>
      <c r="K974" t="s">
        <v>24</v>
      </c>
      <c r="L974" t="s">
        <v>29</v>
      </c>
    </row>
    <row r="975" spans="1:12" x14ac:dyDescent="0.25">
      <c r="A975">
        <v>974</v>
      </c>
      <c r="B975">
        <v>47</v>
      </c>
      <c r="C975" t="s">
        <v>12</v>
      </c>
      <c r="D975" s="1">
        <v>45398</v>
      </c>
      <c r="E975" s="1">
        <v>45406</v>
      </c>
      <c r="F975" t="s">
        <v>31</v>
      </c>
      <c r="G975" t="s">
        <v>14</v>
      </c>
      <c r="H975">
        <v>8</v>
      </c>
      <c r="I975" t="s">
        <v>20</v>
      </c>
      <c r="J975">
        <v>0</v>
      </c>
      <c r="K975" t="s">
        <v>24</v>
      </c>
      <c r="L975" t="s">
        <v>17</v>
      </c>
    </row>
    <row r="976" spans="1:12" x14ac:dyDescent="0.25">
      <c r="A976">
        <v>975</v>
      </c>
      <c r="B976">
        <v>63</v>
      </c>
      <c r="C976" t="s">
        <v>12</v>
      </c>
      <c r="D976" s="1">
        <v>45642</v>
      </c>
      <c r="E976" s="1">
        <v>45647</v>
      </c>
      <c r="F976" t="s">
        <v>28</v>
      </c>
      <c r="G976" t="s">
        <v>23</v>
      </c>
      <c r="H976">
        <v>5</v>
      </c>
      <c r="I976" t="s">
        <v>15</v>
      </c>
      <c r="J976">
        <v>0</v>
      </c>
      <c r="K976" t="s">
        <v>16</v>
      </c>
      <c r="L976" t="s">
        <v>22</v>
      </c>
    </row>
    <row r="977" spans="1:12" x14ac:dyDescent="0.25">
      <c r="A977">
        <v>976</v>
      </c>
      <c r="B977">
        <v>25</v>
      </c>
      <c r="C977" t="s">
        <v>12</v>
      </c>
      <c r="D977" s="1">
        <v>45394</v>
      </c>
      <c r="E977" s="1">
        <v>45395</v>
      </c>
      <c r="F977" t="s">
        <v>28</v>
      </c>
      <c r="G977" t="s">
        <v>23</v>
      </c>
      <c r="H977">
        <v>1</v>
      </c>
      <c r="I977" t="s">
        <v>20</v>
      </c>
      <c r="J977">
        <v>2</v>
      </c>
      <c r="K977" t="s">
        <v>21</v>
      </c>
      <c r="L977" t="s">
        <v>22</v>
      </c>
    </row>
    <row r="978" spans="1:12" x14ac:dyDescent="0.25">
      <c r="A978">
        <v>977</v>
      </c>
      <c r="B978">
        <v>88</v>
      </c>
      <c r="C978" t="s">
        <v>26</v>
      </c>
      <c r="D978" s="1">
        <v>45601</v>
      </c>
      <c r="E978" s="1">
        <v>45613</v>
      </c>
      <c r="F978" t="s">
        <v>28</v>
      </c>
      <c r="G978" t="s">
        <v>19</v>
      </c>
      <c r="H978">
        <v>12</v>
      </c>
      <c r="I978" t="s">
        <v>15</v>
      </c>
      <c r="J978">
        <v>2</v>
      </c>
      <c r="K978" t="s">
        <v>21</v>
      </c>
      <c r="L978" t="s">
        <v>22</v>
      </c>
    </row>
    <row r="979" spans="1:12" x14ac:dyDescent="0.25">
      <c r="A979">
        <v>978</v>
      </c>
      <c r="B979">
        <v>87</v>
      </c>
      <c r="C979" t="s">
        <v>12</v>
      </c>
      <c r="D979" s="1">
        <v>45496</v>
      </c>
      <c r="E979" s="1">
        <v>45508</v>
      </c>
      <c r="F979" t="s">
        <v>13</v>
      </c>
      <c r="G979" t="s">
        <v>19</v>
      </c>
      <c r="H979">
        <v>12</v>
      </c>
      <c r="I979" t="s">
        <v>15</v>
      </c>
      <c r="J979">
        <v>3</v>
      </c>
      <c r="K979" t="s">
        <v>16</v>
      </c>
      <c r="L979" t="s">
        <v>29</v>
      </c>
    </row>
    <row r="980" spans="1:12" x14ac:dyDescent="0.25">
      <c r="A980">
        <v>979</v>
      </c>
      <c r="B980">
        <v>86</v>
      </c>
      <c r="C980" t="s">
        <v>12</v>
      </c>
      <c r="D980" s="1">
        <v>45294</v>
      </c>
      <c r="E980" s="1">
        <v>45308</v>
      </c>
      <c r="F980" t="s">
        <v>27</v>
      </c>
      <c r="G980" t="s">
        <v>19</v>
      </c>
      <c r="H980">
        <v>14</v>
      </c>
      <c r="I980" t="s">
        <v>15</v>
      </c>
      <c r="J980">
        <v>1</v>
      </c>
      <c r="K980" t="s">
        <v>21</v>
      </c>
      <c r="L980" t="s">
        <v>25</v>
      </c>
    </row>
    <row r="981" spans="1:12" x14ac:dyDescent="0.25">
      <c r="A981">
        <v>980</v>
      </c>
      <c r="B981">
        <v>48</v>
      </c>
      <c r="C981" t="s">
        <v>26</v>
      </c>
      <c r="D981" s="1">
        <v>45320</v>
      </c>
      <c r="E981" s="1">
        <v>45327</v>
      </c>
      <c r="F981" t="s">
        <v>13</v>
      </c>
      <c r="G981" t="s">
        <v>14</v>
      </c>
      <c r="H981">
        <v>7</v>
      </c>
      <c r="I981" t="s">
        <v>15</v>
      </c>
      <c r="J981">
        <v>3</v>
      </c>
      <c r="K981" t="s">
        <v>21</v>
      </c>
      <c r="L981" t="s">
        <v>22</v>
      </c>
    </row>
    <row r="982" spans="1:12" x14ac:dyDescent="0.25">
      <c r="A982">
        <v>981</v>
      </c>
      <c r="B982">
        <v>57</v>
      </c>
      <c r="C982" t="s">
        <v>12</v>
      </c>
      <c r="D982" s="1">
        <v>45485</v>
      </c>
      <c r="E982" s="1">
        <v>45486</v>
      </c>
      <c r="F982" t="s">
        <v>31</v>
      </c>
      <c r="G982" t="s">
        <v>23</v>
      </c>
      <c r="H982">
        <v>1</v>
      </c>
      <c r="I982" t="s">
        <v>15</v>
      </c>
      <c r="J982">
        <v>2</v>
      </c>
      <c r="K982" t="s">
        <v>21</v>
      </c>
      <c r="L982" t="s">
        <v>29</v>
      </c>
    </row>
    <row r="983" spans="1:12" x14ac:dyDescent="0.25">
      <c r="A983">
        <v>982</v>
      </c>
      <c r="B983">
        <v>50</v>
      </c>
      <c r="C983" t="s">
        <v>26</v>
      </c>
      <c r="D983" s="1">
        <v>45415</v>
      </c>
      <c r="E983" s="1">
        <v>45427</v>
      </c>
      <c r="F983" t="s">
        <v>28</v>
      </c>
      <c r="G983" t="s">
        <v>19</v>
      </c>
      <c r="H983">
        <v>12</v>
      </c>
      <c r="I983" t="s">
        <v>15</v>
      </c>
      <c r="J983">
        <v>3</v>
      </c>
      <c r="K983" t="s">
        <v>21</v>
      </c>
      <c r="L983" t="s">
        <v>30</v>
      </c>
    </row>
    <row r="984" spans="1:12" x14ac:dyDescent="0.25">
      <c r="A984">
        <v>983</v>
      </c>
      <c r="B984">
        <v>30</v>
      </c>
      <c r="C984" t="s">
        <v>12</v>
      </c>
      <c r="D984" s="1">
        <v>45616</v>
      </c>
      <c r="E984" s="1">
        <v>45630</v>
      </c>
      <c r="F984" t="s">
        <v>18</v>
      </c>
      <c r="G984" t="s">
        <v>23</v>
      </c>
      <c r="H984">
        <v>14</v>
      </c>
      <c r="I984" t="s">
        <v>15</v>
      </c>
      <c r="J984">
        <v>0</v>
      </c>
      <c r="K984" t="s">
        <v>24</v>
      </c>
      <c r="L984" t="s">
        <v>17</v>
      </c>
    </row>
    <row r="985" spans="1:12" x14ac:dyDescent="0.25">
      <c r="A985">
        <v>984</v>
      </c>
      <c r="B985">
        <v>39</v>
      </c>
      <c r="C985" t="s">
        <v>12</v>
      </c>
      <c r="D985" s="1">
        <v>45636</v>
      </c>
      <c r="E985" s="1">
        <v>45641</v>
      </c>
      <c r="F985" t="s">
        <v>27</v>
      </c>
      <c r="G985" t="s">
        <v>14</v>
      </c>
      <c r="H985">
        <v>5</v>
      </c>
      <c r="I985" t="s">
        <v>15</v>
      </c>
      <c r="J985">
        <v>4</v>
      </c>
      <c r="K985" t="s">
        <v>21</v>
      </c>
      <c r="L985" t="s">
        <v>25</v>
      </c>
    </row>
    <row r="986" spans="1:12" x14ac:dyDescent="0.25">
      <c r="A986">
        <v>985</v>
      </c>
      <c r="B986">
        <v>57</v>
      </c>
      <c r="C986" t="s">
        <v>12</v>
      </c>
      <c r="D986" s="1">
        <v>45315</v>
      </c>
      <c r="E986" s="1">
        <v>45322</v>
      </c>
      <c r="F986" t="s">
        <v>31</v>
      </c>
      <c r="G986" t="s">
        <v>23</v>
      </c>
      <c r="H986">
        <v>7</v>
      </c>
      <c r="I986" t="s">
        <v>15</v>
      </c>
      <c r="J986">
        <v>1</v>
      </c>
      <c r="K986" t="s">
        <v>16</v>
      </c>
      <c r="L986" t="s">
        <v>30</v>
      </c>
    </row>
    <row r="987" spans="1:12" x14ac:dyDescent="0.25">
      <c r="A987">
        <v>986</v>
      </c>
      <c r="B987">
        <v>37</v>
      </c>
      <c r="C987" t="s">
        <v>12</v>
      </c>
      <c r="D987" s="1">
        <v>45374</v>
      </c>
      <c r="E987" s="1">
        <v>45381</v>
      </c>
      <c r="F987" t="s">
        <v>27</v>
      </c>
      <c r="G987" t="s">
        <v>14</v>
      </c>
      <c r="H987">
        <v>7</v>
      </c>
      <c r="I987" t="s">
        <v>15</v>
      </c>
      <c r="J987">
        <v>4</v>
      </c>
      <c r="K987" t="s">
        <v>16</v>
      </c>
      <c r="L987" t="s">
        <v>29</v>
      </c>
    </row>
    <row r="988" spans="1:12" x14ac:dyDescent="0.25">
      <c r="A988">
        <v>987</v>
      </c>
      <c r="B988">
        <v>84</v>
      </c>
      <c r="C988" t="s">
        <v>26</v>
      </c>
      <c r="D988" s="1">
        <v>45421</v>
      </c>
      <c r="E988" s="1">
        <v>45430</v>
      </c>
      <c r="F988" t="s">
        <v>27</v>
      </c>
      <c r="G988" t="s">
        <v>23</v>
      </c>
      <c r="H988">
        <v>9</v>
      </c>
      <c r="I988" t="s">
        <v>20</v>
      </c>
      <c r="J988">
        <v>3</v>
      </c>
      <c r="K988" t="s">
        <v>16</v>
      </c>
      <c r="L988" t="s">
        <v>17</v>
      </c>
    </row>
    <row r="989" spans="1:12" x14ac:dyDescent="0.25">
      <c r="A989">
        <v>988</v>
      </c>
      <c r="B989">
        <v>81</v>
      </c>
      <c r="C989" t="s">
        <v>26</v>
      </c>
      <c r="D989" s="1">
        <v>45403</v>
      </c>
      <c r="E989" s="1">
        <v>45408</v>
      </c>
      <c r="F989" t="s">
        <v>31</v>
      </c>
      <c r="G989" t="s">
        <v>19</v>
      </c>
      <c r="H989">
        <v>5</v>
      </c>
      <c r="I989" t="s">
        <v>20</v>
      </c>
      <c r="J989">
        <v>0</v>
      </c>
      <c r="K989" t="s">
        <v>16</v>
      </c>
      <c r="L989" t="s">
        <v>29</v>
      </c>
    </row>
    <row r="990" spans="1:12" x14ac:dyDescent="0.25">
      <c r="A990">
        <v>989</v>
      </c>
      <c r="B990">
        <v>49</v>
      </c>
      <c r="C990" t="s">
        <v>12</v>
      </c>
      <c r="D990" s="1">
        <v>45463</v>
      </c>
      <c r="E990" s="1">
        <v>45471</v>
      </c>
      <c r="F990" t="s">
        <v>28</v>
      </c>
      <c r="G990" t="s">
        <v>23</v>
      </c>
      <c r="H990">
        <v>8</v>
      </c>
      <c r="I990" t="s">
        <v>20</v>
      </c>
      <c r="J990">
        <v>1</v>
      </c>
      <c r="K990" t="s">
        <v>21</v>
      </c>
      <c r="L990" t="s">
        <v>29</v>
      </c>
    </row>
    <row r="991" spans="1:12" x14ac:dyDescent="0.25">
      <c r="A991">
        <v>990</v>
      </c>
      <c r="B991">
        <v>58</v>
      </c>
      <c r="C991" t="s">
        <v>12</v>
      </c>
      <c r="D991" s="1">
        <v>45617</v>
      </c>
      <c r="E991" s="1">
        <v>45619</v>
      </c>
      <c r="F991" t="s">
        <v>31</v>
      </c>
      <c r="G991" t="s">
        <v>23</v>
      </c>
      <c r="H991">
        <v>2</v>
      </c>
      <c r="I991" t="s">
        <v>15</v>
      </c>
      <c r="J991">
        <v>1</v>
      </c>
      <c r="K991" t="s">
        <v>21</v>
      </c>
      <c r="L991" t="s">
        <v>22</v>
      </c>
    </row>
    <row r="992" spans="1:12" x14ac:dyDescent="0.25">
      <c r="A992">
        <v>991</v>
      </c>
      <c r="B992">
        <v>50</v>
      </c>
      <c r="C992" t="s">
        <v>26</v>
      </c>
      <c r="D992" s="1">
        <v>45489</v>
      </c>
      <c r="E992" s="1">
        <v>45495</v>
      </c>
      <c r="F992" t="s">
        <v>27</v>
      </c>
      <c r="G992" t="s">
        <v>14</v>
      </c>
      <c r="H992">
        <v>6</v>
      </c>
      <c r="I992" t="s">
        <v>20</v>
      </c>
      <c r="J992">
        <v>4</v>
      </c>
      <c r="K992" t="s">
        <v>24</v>
      </c>
      <c r="L992" t="s">
        <v>22</v>
      </c>
    </row>
    <row r="993" spans="1:12" x14ac:dyDescent="0.25">
      <c r="A993">
        <v>992</v>
      </c>
      <c r="B993">
        <v>51</v>
      </c>
      <c r="C993" t="s">
        <v>12</v>
      </c>
      <c r="D993" s="1">
        <v>45447</v>
      </c>
      <c r="E993" s="1">
        <v>45457</v>
      </c>
      <c r="F993" t="s">
        <v>18</v>
      </c>
      <c r="G993" t="s">
        <v>14</v>
      </c>
      <c r="H993">
        <v>10</v>
      </c>
      <c r="I993" t="s">
        <v>20</v>
      </c>
      <c r="J993">
        <v>3</v>
      </c>
      <c r="K993" t="s">
        <v>16</v>
      </c>
      <c r="L993" t="s">
        <v>30</v>
      </c>
    </row>
    <row r="994" spans="1:12" x14ac:dyDescent="0.25">
      <c r="A994">
        <v>993</v>
      </c>
      <c r="B994">
        <v>64</v>
      </c>
      <c r="C994" t="s">
        <v>26</v>
      </c>
      <c r="D994" s="1">
        <v>45316</v>
      </c>
      <c r="E994" s="1">
        <v>45331</v>
      </c>
      <c r="F994" t="s">
        <v>28</v>
      </c>
      <c r="G994" t="s">
        <v>19</v>
      </c>
      <c r="H994">
        <v>15</v>
      </c>
      <c r="I994" t="s">
        <v>15</v>
      </c>
      <c r="J994">
        <v>1</v>
      </c>
      <c r="K994" t="s">
        <v>21</v>
      </c>
      <c r="L994" t="s">
        <v>25</v>
      </c>
    </row>
    <row r="995" spans="1:12" x14ac:dyDescent="0.25">
      <c r="A995">
        <v>994</v>
      </c>
      <c r="B995">
        <v>73</v>
      </c>
      <c r="C995" t="s">
        <v>26</v>
      </c>
      <c r="D995" s="1">
        <v>45468</v>
      </c>
      <c r="E995" s="1">
        <v>45477</v>
      </c>
      <c r="F995" t="s">
        <v>18</v>
      </c>
      <c r="G995" t="s">
        <v>23</v>
      </c>
      <c r="H995">
        <v>9</v>
      </c>
      <c r="I995" t="s">
        <v>15</v>
      </c>
      <c r="J995">
        <v>2</v>
      </c>
      <c r="K995" t="s">
        <v>24</v>
      </c>
      <c r="L995" t="s">
        <v>25</v>
      </c>
    </row>
    <row r="996" spans="1:12" x14ac:dyDescent="0.25">
      <c r="A996">
        <v>995</v>
      </c>
      <c r="B996">
        <v>46</v>
      </c>
      <c r="C996" t="s">
        <v>12</v>
      </c>
      <c r="D996" s="1">
        <v>45431</v>
      </c>
      <c r="E996" s="1">
        <v>45441</v>
      </c>
      <c r="F996" t="s">
        <v>27</v>
      </c>
      <c r="G996" t="s">
        <v>14</v>
      </c>
      <c r="H996">
        <v>10</v>
      </c>
      <c r="I996" t="s">
        <v>15</v>
      </c>
      <c r="J996">
        <v>0</v>
      </c>
      <c r="K996" t="s">
        <v>24</v>
      </c>
      <c r="L996" t="s">
        <v>25</v>
      </c>
    </row>
    <row r="997" spans="1:12" x14ac:dyDescent="0.25">
      <c r="A997">
        <v>996</v>
      </c>
      <c r="B997">
        <v>35</v>
      </c>
      <c r="C997" t="s">
        <v>26</v>
      </c>
      <c r="D997" s="1">
        <v>45383</v>
      </c>
      <c r="E997" s="1">
        <v>45384</v>
      </c>
      <c r="F997" t="s">
        <v>27</v>
      </c>
      <c r="G997" t="s">
        <v>14</v>
      </c>
      <c r="H997">
        <v>1</v>
      </c>
      <c r="I997" t="s">
        <v>15</v>
      </c>
      <c r="J997">
        <v>3</v>
      </c>
      <c r="K997" t="s">
        <v>24</v>
      </c>
      <c r="L997" t="s">
        <v>30</v>
      </c>
    </row>
    <row r="998" spans="1:12" x14ac:dyDescent="0.25">
      <c r="A998">
        <v>997</v>
      </c>
      <c r="B998">
        <v>62</v>
      </c>
      <c r="C998" t="s">
        <v>12</v>
      </c>
      <c r="D998" s="1">
        <v>45524</v>
      </c>
      <c r="E998" s="1">
        <v>45532</v>
      </c>
      <c r="F998" t="s">
        <v>13</v>
      </c>
      <c r="G998" t="s">
        <v>19</v>
      </c>
      <c r="H998">
        <v>8</v>
      </c>
      <c r="I998" t="s">
        <v>20</v>
      </c>
      <c r="J998">
        <v>1</v>
      </c>
      <c r="K998" t="s">
        <v>16</v>
      </c>
      <c r="L998" t="s">
        <v>30</v>
      </c>
    </row>
    <row r="999" spans="1:12" x14ac:dyDescent="0.25">
      <c r="A999">
        <v>998</v>
      </c>
      <c r="B999">
        <v>83</v>
      </c>
      <c r="C999" t="s">
        <v>26</v>
      </c>
      <c r="D999" s="1">
        <v>45456</v>
      </c>
      <c r="E999" s="1">
        <v>45465</v>
      </c>
      <c r="F999" t="s">
        <v>28</v>
      </c>
      <c r="G999" t="s">
        <v>23</v>
      </c>
      <c r="H999">
        <v>9</v>
      </c>
      <c r="I999" t="s">
        <v>15</v>
      </c>
      <c r="J999">
        <v>0</v>
      </c>
      <c r="K999" t="s">
        <v>16</v>
      </c>
      <c r="L999" t="s">
        <v>29</v>
      </c>
    </row>
    <row r="1000" spans="1:12" x14ac:dyDescent="0.25">
      <c r="A1000">
        <v>999</v>
      </c>
      <c r="B1000">
        <v>42</v>
      </c>
      <c r="C1000" t="s">
        <v>12</v>
      </c>
      <c r="D1000" s="1">
        <v>45528</v>
      </c>
      <c r="E1000" s="1">
        <v>45533</v>
      </c>
      <c r="F1000" t="s">
        <v>27</v>
      </c>
      <c r="G1000" t="s">
        <v>14</v>
      </c>
      <c r="H1000">
        <v>5</v>
      </c>
      <c r="I1000" t="s">
        <v>15</v>
      </c>
      <c r="J1000">
        <v>4</v>
      </c>
      <c r="K1000" t="s">
        <v>16</v>
      </c>
      <c r="L1000" t="s">
        <v>25</v>
      </c>
    </row>
    <row r="1001" spans="1:12" x14ac:dyDescent="0.25">
      <c r="A1001">
        <v>1000</v>
      </c>
      <c r="B1001">
        <v>52</v>
      </c>
      <c r="C1001" t="s">
        <v>12</v>
      </c>
      <c r="D1001" s="1">
        <v>45469</v>
      </c>
      <c r="E1001" s="1">
        <v>45475</v>
      </c>
      <c r="F1001" t="s">
        <v>28</v>
      </c>
      <c r="G1001" t="s">
        <v>19</v>
      </c>
      <c r="H1001">
        <v>6</v>
      </c>
      <c r="I1001" t="s">
        <v>15</v>
      </c>
      <c r="J1001">
        <v>2</v>
      </c>
      <c r="K1001" t="s">
        <v>16</v>
      </c>
      <c r="L1001" t="s">
        <v>22</v>
      </c>
    </row>
    <row r="1002" spans="1:12" x14ac:dyDescent="0.25">
      <c r="A1002">
        <v>1001</v>
      </c>
      <c r="B1002">
        <v>24</v>
      </c>
      <c r="C1002" t="s">
        <v>26</v>
      </c>
      <c r="D1002" s="1">
        <v>45398</v>
      </c>
      <c r="E1002" s="1">
        <v>45399</v>
      </c>
      <c r="F1002" t="s">
        <v>28</v>
      </c>
      <c r="G1002" t="s">
        <v>19</v>
      </c>
      <c r="H1002">
        <v>1</v>
      </c>
      <c r="I1002" t="s">
        <v>20</v>
      </c>
      <c r="J1002">
        <v>0</v>
      </c>
      <c r="K1002" t="s">
        <v>21</v>
      </c>
      <c r="L1002" t="s">
        <v>22</v>
      </c>
    </row>
    <row r="1003" spans="1:12" x14ac:dyDescent="0.25">
      <c r="A1003">
        <v>1002</v>
      </c>
      <c r="B1003">
        <v>48</v>
      </c>
      <c r="C1003" t="s">
        <v>12</v>
      </c>
      <c r="D1003" s="1">
        <v>45587</v>
      </c>
      <c r="E1003" s="1">
        <v>45594</v>
      </c>
      <c r="F1003" t="s">
        <v>13</v>
      </c>
      <c r="G1003" t="s">
        <v>14</v>
      </c>
      <c r="H1003">
        <v>7</v>
      </c>
      <c r="I1003" t="s">
        <v>15</v>
      </c>
      <c r="J1003">
        <v>3</v>
      </c>
      <c r="K1003" t="s">
        <v>21</v>
      </c>
      <c r="L1003" t="s">
        <v>30</v>
      </c>
    </row>
    <row r="1004" spans="1:12" x14ac:dyDescent="0.25">
      <c r="A1004">
        <v>1003</v>
      </c>
      <c r="B1004">
        <v>25</v>
      </c>
      <c r="C1004" t="s">
        <v>12</v>
      </c>
      <c r="D1004" s="1">
        <v>45303</v>
      </c>
      <c r="E1004" s="1">
        <v>45312</v>
      </c>
      <c r="F1004" t="s">
        <v>18</v>
      </c>
      <c r="G1004" t="s">
        <v>19</v>
      </c>
      <c r="H1004">
        <v>9</v>
      </c>
      <c r="I1004" t="s">
        <v>20</v>
      </c>
      <c r="J1004">
        <v>0</v>
      </c>
      <c r="K1004" t="s">
        <v>21</v>
      </c>
      <c r="L1004" t="s">
        <v>22</v>
      </c>
    </row>
    <row r="1005" spans="1:12" x14ac:dyDescent="0.25">
      <c r="A1005">
        <v>1004</v>
      </c>
      <c r="B1005">
        <v>87</v>
      </c>
      <c r="C1005" t="s">
        <v>26</v>
      </c>
      <c r="D1005" s="1">
        <v>45520</v>
      </c>
      <c r="E1005" s="1">
        <v>45526</v>
      </c>
      <c r="F1005" t="s">
        <v>27</v>
      </c>
      <c r="G1005" t="s">
        <v>23</v>
      </c>
      <c r="H1005">
        <v>6</v>
      </c>
      <c r="I1005" t="s">
        <v>15</v>
      </c>
      <c r="J1005">
        <v>1</v>
      </c>
      <c r="K1005" t="s">
        <v>21</v>
      </c>
      <c r="L1005" t="s">
        <v>29</v>
      </c>
    </row>
    <row r="1006" spans="1:12" x14ac:dyDescent="0.25">
      <c r="A1006">
        <v>1005</v>
      </c>
      <c r="B1006">
        <v>49</v>
      </c>
      <c r="C1006" t="s">
        <v>26</v>
      </c>
      <c r="D1006" s="1">
        <v>45419</v>
      </c>
      <c r="E1006" s="1">
        <v>45428</v>
      </c>
      <c r="F1006" t="s">
        <v>18</v>
      </c>
      <c r="G1006" t="s">
        <v>19</v>
      </c>
      <c r="H1006">
        <v>9</v>
      </c>
      <c r="I1006" t="s">
        <v>15</v>
      </c>
      <c r="J1006">
        <v>2</v>
      </c>
      <c r="K1006" t="s">
        <v>21</v>
      </c>
      <c r="L1006" t="s">
        <v>29</v>
      </c>
    </row>
    <row r="1007" spans="1:12" x14ac:dyDescent="0.25">
      <c r="A1007">
        <v>1006</v>
      </c>
      <c r="B1007">
        <v>68</v>
      </c>
      <c r="C1007" t="s">
        <v>26</v>
      </c>
      <c r="D1007" s="1">
        <v>45340</v>
      </c>
      <c r="E1007" s="1">
        <v>45351</v>
      </c>
      <c r="F1007" t="s">
        <v>31</v>
      </c>
      <c r="G1007" t="s">
        <v>14</v>
      </c>
      <c r="H1007">
        <v>11</v>
      </c>
      <c r="I1007" t="s">
        <v>15</v>
      </c>
      <c r="J1007">
        <v>3</v>
      </c>
      <c r="K1007" t="s">
        <v>21</v>
      </c>
      <c r="L1007" t="s">
        <v>29</v>
      </c>
    </row>
    <row r="1008" spans="1:12" x14ac:dyDescent="0.25">
      <c r="A1008">
        <v>1007</v>
      </c>
      <c r="B1008">
        <v>81</v>
      </c>
      <c r="C1008" t="s">
        <v>26</v>
      </c>
      <c r="D1008" s="1">
        <v>45572</v>
      </c>
      <c r="E1008" s="1">
        <v>45578</v>
      </c>
      <c r="F1008" t="s">
        <v>13</v>
      </c>
      <c r="G1008" t="s">
        <v>14</v>
      </c>
      <c r="H1008">
        <v>6</v>
      </c>
      <c r="I1008" t="s">
        <v>15</v>
      </c>
      <c r="J1008">
        <v>3</v>
      </c>
      <c r="K1008" t="s">
        <v>24</v>
      </c>
      <c r="L1008" t="s">
        <v>17</v>
      </c>
    </row>
    <row r="1009" spans="1:12" x14ac:dyDescent="0.25">
      <c r="A1009">
        <v>1008</v>
      </c>
      <c r="B1009">
        <v>50</v>
      </c>
      <c r="C1009" t="s">
        <v>12</v>
      </c>
      <c r="D1009" s="1">
        <v>45492</v>
      </c>
      <c r="E1009" s="1">
        <v>45500</v>
      </c>
      <c r="F1009" t="s">
        <v>28</v>
      </c>
      <c r="G1009" t="s">
        <v>23</v>
      </c>
      <c r="H1009">
        <v>8</v>
      </c>
      <c r="I1009" t="s">
        <v>15</v>
      </c>
      <c r="J1009">
        <v>1</v>
      </c>
      <c r="K1009" t="s">
        <v>16</v>
      </c>
      <c r="L1009" t="s">
        <v>25</v>
      </c>
    </row>
    <row r="1010" spans="1:12" x14ac:dyDescent="0.25">
      <c r="A1010">
        <v>1009</v>
      </c>
      <c r="B1010">
        <v>89</v>
      </c>
      <c r="C1010" t="s">
        <v>12</v>
      </c>
      <c r="D1010" s="1">
        <v>45578</v>
      </c>
      <c r="E1010" s="1">
        <v>45587</v>
      </c>
      <c r="F1010" t="s">
        <v>31</v>
      </c>
      <c r="G1010" t="s">
        <v>14</v>
      </c>
      <c r="H1010">
        <v>9</v>
      </c>
      <c r="I1010" t="s">
        <v>15</v>
      </c>
      <c r="J1010">
        <v>3</v>
      </c>
      <c r="K1010" t="s">
        <v>16</v>
      </c>
      <c r="L1010" t="s">
        <v>25</v>
      </c>
    </row>
    <row r="1011" spans="1:12" x14ac:dyDescent="0.25">
      <c r="A1011">
        <v>1010</v>
      </c>
      <c r="B1011">
        <v>32</v>
      </c>
      <c r="C1011" t="s">
        <v>26</v>
      </c>
      <c r="D1011" s="1">
        <v>45300</v>
      </c>
      <c r="E1011" s="1">
        <v>45315</v>
      </c>
      <c r="F1011" t="s">
        <v>28</v>
      </c>
      <c r="G1011" t="s">
        <v>19</v>
      </c>
      <c r="H1011">
        <v>15</v>
      </c>
      <c r="I1011" t="s">
        <v>20</v>
      </c>
      <c r="J1011">
        <v>3</v>
      </c>
      <c r="K1011" t="s">
        <v>21</v>
      </c>
      <c r="L1011" t="s">
        <v>25</v>
      </c>
    </row>
    <row r="1012" spans="1:12" x14ac:dyDescent="0.25">
      <c r="A1012">
        <v>1011</v>
      </c>
      <c r="B1012">
        <v>40</v>
      </c>
      <c r="C1012" t="s">
        <v>26</v>
      </c>
      <c r="D1012" s="1">
        <v>45366</v>
      </c>
      <c r="E1012" s="1">
        <v>45372</v>
      </c>
      <c r="F1012" t="s">
        <v>31</v>
      </c>
      <c r="G1012" t="s">
        <v>23</v>
      </c>
      <c r="H1012">
        <v>6</v>
      </c>
      <c r="I1012" t="s">
        <v>15</v>
      </c>
      <c r="J1012">
        <v>1</v>
      </c>
      <c r="K1012" t="s">
        <v>24</v>
      </c>
      <c r="L1012" t="s">
        <v>30</v>
      </c>
    </row>
    <row r="1013" spans="1:12" x14ac:dyDescent="0.25">
      <c r="A1013">
        <v>1012</v>
      </c>
      <c r="B1013">
        <v>79</v>
      </c>
      <c r="C1013" t="s">
        <v>12</v>
      </c>
      <c r="D1013" s="1">
        <v>45358</v>
      </c>
      <c r="E1013" s="1">
        <v>45363</v>
      </c>
      <c r="F1013" t="s">
        <v>31</v>
      </c>
      <c r="G1013" t="s">
        <v>19</v>
      </c>
      <c r="H1013">
        <v>5</v>
      </c>
      <c r="I1013" t="s">
        <v>15</v>
      </c>
      <c r="J1013">
        <v>0</v>
      </c>
      <c r="K1013" t="s">
        <v>24</v>
      </c>
      <c r="L1013" t="s">
        <v>17</v>
      </c>
    </row>
    <row r="1014" spans="1:12" x14ac:dyDescent="0.25">
      <c r="A1014">
        <v>1013</v>
      </c>
      <c r="B1014">
        <v>62</v>
      </c>
      <c r="C1014" t="s">
        <v>26</v>
      </c>
      <c r="D1014" s="1">
        <v>45425</v>
      </c>
      <c r="E1014" s="1">
        <v>45436</v>
      </c>
      <c r="F1014" t="s">
        <v>31</v>
      </c>
      <c r="G1014" t="s">
        <v>23</v>
      </c>
      <c r="H1014">
        <v>11</v>
      </c>
      <c r="I1014" t="s">
        <v>15</v>
      </c>
      <c r="J1014">
        <v>0</v>
      </c>
      <c r="K1014" t="s">
        <v>24</v>
      </c>
      <c r="L1014" t="s">
        <v>30</v>
      </c>
    </row>
    <row r="1015" spans="1:12" x14ac:dyDescent="0.25">
      <c r="A1015">
        <v>1014</v>
      </c>
      <c r="B1015">
        <v>39</v>
      </c>
      <c r="C1015" t="s">
        <v>26</v>
      </c>
      <c r="D1015" s="1">
        <v>45436</v>
      </c>
      <c r="E1015" s="1">
        <v>45443</v>
      </c>
      <c r="F1015" t="s">
        <v>28</v>
      </c>
      <c r="G1015" t="s">
        <v>19</v>
      </c>
      <c r="H1015">
        <v>7</v>
      </c>
      <c r="I1015" t="s">
        <v>15</v>
      </c>
      <c r="J1015">
        <v>1</v>
      </c>
      <c r="K1015" t="s">
        <v>16</v>
      </c>
      <c r="L1015" t="s">
        <v>30</v>
      </c>
    </row>
    <row r="1016" spans="1:12" x14ac:dyDescent="0.25">
      <c r="A1016">
        <v>1015</v>
      </c>
      <c r="B1016">
        <v>88</v>
      </c>
      <c r="C1016" t="s">
        <v>26</v>
      </c>
      <c r="D1016" s="1">
        <v>45565</v>
      </c>
      <c r="E1016" s="1">
        <v>45572</v>
      </c>
      <c r="F1016" t="s">
        <v>18</v>
      </c>
      <c r="G1016" t="s">
        <v>19</v>
      </c>
      <c r="H1016">
        <v>7</v>
      </c>
      <c r="I1016" t="s">
        <v>15</v>
      </c>
      <c r="J1016">
        <v>1</v>
      </c>
      <c r="K1016" t="s">
        <v>16</v>
      </c>
      <c r="L1016" t="s">
        <v>25</v>
      </c>
    </row>
    <row r="1017" spans="1:12" x14ac:dyDescent="0.25">
      <c r="A1017">
        <v>1016</v>
      </c>
      <c r="B1017">
        <v>21</v>
      </c>
      <c r="C1017" t="s">
        <v>26</v>
      </c>
      <c r="D1017" s="1">
        <v>45608</v>
      </c>
      <c r="E1017" s="1">
        <v>45611</v>
      </c>
      <c r="F1017" t="s">
        <v>13</v>
      </c>
      <c r="G1017" t="s">
        <v>19</v>
      </c>
      <c r="H1017">
        <v>3</v>
      </c>
      <c r="I1017" t="s">
        <v>15</v>
      </c>
      <c r="J1017">
        <v>0</v>
      </c>
      <c r="K1017" t="s">
        <v>21</v>
      </c>
      <c r="L1017" t="s">
        <v>22</v>
      </c>
    </row>
    <row r="1018" spans="1:12" x14ac:dyDescent="0.25">
      <c r="A1018">
        <v>1017</v>
      </c>
      <c r="B1018">
        <v>21</v>
      </c>
      <c r="C1018" t="s">
        <v>26</v>
      </c>
      <c r="D1018" s="1">
        <v>45613</v>
      </c>
      <c r="E1018" s="1">
        <v>45621</v>
      </c>
      <c r="F1018" t="s">
        <v>31</v>
      </c>
      <c r="G1018" t="s">
        <v>14</v>
      </c>
      <c r="H1018">
        <v>8</v>
      </c>
      <c r="I1018" t="s">
        <v>15</v>
      </c>
      <c r="J1018">
        <v>2</v>
      </c>
      <c r="K1018" t="s">
        <v>24</v>
      </c>
      <c r="L1018" t="s">
        <v>30</v>
      </c>
    </row>
    <row r="1019" spans="1:12" x14ac:dyDescent="0.25">
      <c r="A1019">
        <v>1018</v>
      </c>
      <c r="B1019">
        <v>41</v>
      </c>
      <c r="C1019" t="s">
        <v>12</v>
      </c>
      <c r="D1019" s="1">
        <v>45655</v>
      </c>
      <c r="E1019" s="1">
        <v>45661</v>
      </c>
      <c r="F1019" t="s">
        <v>27</v>
      </c>
      <c r="G1019" t="s">
        <v>19</v>
      </c>
      <c r="H1019">
        <v>6</v>
      </c>
      <c r="I1019" t="s">
        <v>20</v>
      </c>
      <c r="J1019">
        <v>0</v>
      </c>
      <c r="K1019" t="s">
        <v>21</v>
      </c>
      <c r="L1019" t="s">
        <v>29</v>
      </c>
    </row>
    <row r="1020" spans="1:12" x14ac:dyDescent="0.25">
      <c r="A1020">
        <v>1019</v>
      </c>
      <c r="B1020">
        <v>58</v>
      </c>
      <c r="C1020" t="s">
        <v>12</v>
      </c>
      <c r="D1020" s="1">
        <v>45360</v>
      </c>
      <c r="E1020" s="1">
        <v>45373</v>
      </c>
      <c r="F1020" t="s">
        <v>18</v>
      </c>
      <c r="G1020" t="s">
        <v>23</v>
      </c>
      <c r="H1020">
        <v>13</v>
      </c>
      <c r="I1020" t="s">
        <v>20</v>
      </c>
      <c r="J1020">
        <v>2</v>
      </c>
      <c r="K1020" t="s">
        <v>21</v>
      </c>
      <c r="L1020" t="s">
        <v>29</v>
      </c>
    </row>
    <row r="1021" spans="1:12" x14ac:dyDescent="0.25">
      <c r="A1021">
        <v>1020</v>
      </c>
      <c r="B1021">
        <v>61</v>
      </c>
      <c r="C1021" t="s">
        <v>12</v>
      </c>
      <c r="D1021" s="1">
        <v>45349</v>
      </c>
      <c r="E1021" s="1">
        <v>45353</v>
      </c>
      <c r="F1021" t="s">
        <v>31</v>
      </c>
      <c r="G1021" t="s">
        <v>23</v>
      </c>
      <c r="H1021">
        <v>4</v>
      </c>
      <c r="I1021" t="s">
        <v>15</v>
      </c>
      <c r="J1021">
        <v>2</v>
      </c>
      <c r="K1021" t="s">
        <v>16</v>
      </c>
      <c r="L1021" t="s">
        <v>30</v>
      </c>
    </row>
    <row r="1022" spans="1:12" x14ac:dyDescent="0.25">
      <c r="A1022">
        <v>1021</v>
      </c>
      <c r="B1022">
        <v>42</v>
      </c>
      <c r="C1022" t="s">
        <v>26</v>
      </c>
      <c r="D1022" s="1">
        <v>45629</v>
      </c>
      <c r="E1022" s="1">
        <v>45634</v>
      </c>
      <c r="F1022" t="s">
        <v>31</v>
      </c>
      <c r="G1022" t="s">
        <v>14</v>
      </c>
      <c r="H1022">
        <v>5</v>
      </c>
      <c r="I1022" t="s">
        <v>15</v>
      </c>
      <c r="J1022">
        <v>4</v>
      </c>
      <c r="K1022" t="s">
        <v>24</v>
      </c>
      <c r="L1022" t="s">
        <v>17</v>
      </c>
    </row>
    <row r="1023" spans="1:12" x14ac:dyDescent="0.25">
      <c r="A1023">
        <v>1022</v>
      </c>
      <c r="B1023">
        <v>82</v>
      </c>
      <c r="C1023" t="s">
        <v>26</v>
      </c>
      <c r="D1023" s="1">
        <v>45610</v>
      </c>
      <c r="E1023" s="1">
        <v>45612</v>
      </c>
      <c r="F1023" t="s">
        <v>28</v>
      </c>
      <c r="G1023" t="s">
        <v>23</v>
      </c>
      <c r="H1023">
        <v>2</v>
      </c>
      <c r="I1023" t="s">
        <v>15</v>
      </c>
      <c r="J1023">
        <v>3</v>
      </c>
      <c r="K1023" t="s">
        <v>24</v>
      </c>
      <c r="L1023" t="s">
        <v>30</v>
      </c>
    </row>
    <row r="1024" spans="1:12" x14ac:dyDescent="0.25">
      <c r="A1024">
        <v>1023</v>
      </c>
      <c r="B1024">
        <v>23</v>
      </c>
      <c r="C1024" t="s">
        <v>12</v>
      </c>
      <c r="D1024" s="1">
        <v>45410</v>
      </c>
      <c r="E1024" s="1">
        <v>45415</v>
      </c>
      <c r="F1024" t="s">
        <v>31</v>
      </c>
      <c r="G1024" t="s">
        <v>23</v>
      </c>
      <c r="H1024">
        <v>5</v>
      </c>
      <c r="I1024" t="s">
        <v>15</v>
      </c>
      <c r="J1024">
        <v>3</v>
      </c>
      <c r="K1024" t="s">
        <v>16</v>
      </c>
      <c r="L1024" t="s">
        <v>17</v>
      </c>
    </row>
    <row r="1025" spans="1:12" x14ac:dyDescent="0.25">
      <c r="A1025">
        <v>1024</v>
      </c>
      <c r="B1025">
        <v>86</v>
      </c>
      <c r="C1025" t="s">
        <v>26</v>
      </c>
      <c r="D1025" s="1">
        <v>45446</v>
      </c>
      <c r="E1025" s="1">
        <v>45460</v>
      </c>
      <c r="F1025" t="s">
        <v>28</v>
      </c>
      <c r="G1025" t="s">
        <v>19</v>
      </c>
      <c r="H1025">
        <v>14</v>
      </c>
      <c r="I1025" t="s">
        <v>15</v>
      </c>
      <c r="J1025">
        <v>1</v>
      </c>
      <c r="K1025" t="s">
        <v>16</v>
      </c>
      <c r="L1025" t="s">
        <v>30</v>
      </c>
    </row>
    <row r="1026" spans="1:12" x14ac:dyDescent="0.25">
      <c r="A1026">
        <v>1025</v>
      </c>
      <c r="B1026">
        <v>86</v>
      </c>
      <c r="C1026" t="s">
        <v>12</v>
      </c>
      <c r="D1026" s="1">
        <v>45546</v>
      </c>
      <c r="E1026" s="1">
        <v>45552</v>
      </c>
      <c r="F1026" t="s">
        <v>28</v>
      </c>
      <c r="G1026" t="s">
        <v>14</v>
      </c>
      <c r="H1026">
        <v>6</v>
      </c>
      <c r="I1026" t="s">
        <v>15</v>
      </c>
      <c r="J1026">
        <v>2</v>
      </c>
      <c r="K1026" t="s">
        <v>16</v>
      </c>
      <c r="L1026" t="s">
        <v>30</v>
      </c>
    </row>
    <row r="1027" spans="1:12" x14ac:dyDescent="0.25">
      <c r="A1027">
        <v>1026</v>
      </c>
      <c r="B1027">
        <v>32</v>
      </c>
      <c r="C1027" t="s">
        <v>26</v>
      </c>
      <c r="D1027" s="1">
        <v>45490</v>
      </c>
      <c r="E1027" s="1">
        <v>45504</v>
      </c>
      <c r="F1027" t="s">
        <v>28</v>
      </c>
      <c r="G1027" t="s">
        <v>14</v>
      </c>
      <c r="H1027">
        <v>14</v>
      </c>
      <c r="I1027" t="s">
        <v>20</v>
      </c>
      <c r="J1027">
        <v>2</v>
      </c>
      <c r="K1027" t="s">
        <v>16</v>
      </c>
      <c r="L1027" t="s">
        <v>29</v>
      </c>
    </row>
    <row r="1028" spans="1:12" x14ac:dyDescent="0.25">
      <c r="A1028">
        <v>1027</v>
      </c>
      <c r="B1028">
        <v>28</v>
      </c>
      <c r="C1028" t="s">
        <v>12</v>
      </c>
      <c r="D1028" s="1">
        <v>45402</v>
      </c>
      <c r="E1028" s="1">
        <v>45411</v>
      </c>
      <c r="F1028" t="s">
        <v>18</v>
      </c>
      <c r="G1028" t="s">
        <v>14</v>
      </c>
      <c r="H1028">
        <v>9</v>
      </c>
      <c r="I1028" t="s">
        <v>20</v>
      </c>
      <c r="J1028">
        <v>1</v>
      </c>
      <c r="K1028" t="s">
        <v>24</v>
      </c>
      <c r="L1028" t="s">
        <v>22</v>
      </c>
    </row>
    <row r="1029" spans="1:12" x14ac:dyDescent="0.25">
      <c r="A1029">
        <v>1028</v>
      </c>
      <c r="B1029">
        <v>71</v>
      </c>
      <c r="C1029" t="s">
        <v>26</v>
      </c>
      <c r="D1029" s="1">
        <v>45601</v>
      </c>
      <c r="E1029" s="1">
        <v>45614</v>
      </c>
      <c r="F1029" t="s">
        <v>13</v>
      </c>
      <c r="G1029" t="s">
        <v>23</v>
      </c>
      <c r="H1029">
        <v>13</v>
      </c>
      <c r="I1029" t="s">
        <v>15</v>
      </c>
      <c r="J1029">
        <v>0</v>
      </c>
      <c r="K1029" t="s">
        <v>16</v>
      </c>
      <c r="L1029" t="s">
        <v>30</v>
      </c>
    </row>
    <row r="1030" spans="1:12" x14ac:dyDescent="0.25">
      <c r="A1030">
        <v>1029</v>
      </c>
      <c r="B1030">
        <v>21</v>
      </c>
      <c r="C1030" t="s">
        <v>26</v>
      </c>
      <c r="D1030" s="1">
        <v>45582</v>
      </c>
      <c r="E1030" s="1">
        <v>45584</v>
      </c>
      <c r="F1030" t="s">
        <v>18</v>
      </c>
      <c r="G1030" t="s">
        <v>23</v>
      </c>
      <c r="H1030">
        <v>2</v>
      </c>
      <c r="I1030" t="s">
        <v>15</v>
      </c>
      <c r="J1030">
        <v>3</v>
      </c>
      <c r="K1030" t="s">
        <v>21</v>
      </c>
      <c r="L1030" t="s">
        <v>22</v>
      </c>
    </row>
    <row r="1031" spans="1:12" x14ac:dyDescent="0.25">
      <c r="A1031">
        <v>1030</v>
      </c>
      <c r="B1031">
        <v>60</v>
      </c>
      <c r="C1031" t="s">
        <v>26</v>
      </c>
      <c r="D1031" s="1">
        <v>45456</v>
      </c>
      <c r="E1031" s="1">
        <v>45461</v>
      </c>
      <c r="F1031" t="s">
        <v>18</v>
      </c>
      <c r="G1031" t="s">
        <v>23</v>
      </c>
      <c r="H1031">
        <v>5</v>
      </c>
      <c r="I1031" t="s">
        <v>15</v>
      </c>
      <c r="J1031">
        <v>3</v>
      </c>
      <c r="K1031" t="s">
        <v>16</v>
      </c>
      <c r="L1031" t="s">
        <v>17</v>
      </c>
    </row>
    <row r="1032" spans="1:12" x14ac:dyDescent="0.25">
      <c r="A1032">
        <v>1031</v>
      </c>
      <c r="B1032">
        <v>72</v>
      </c>
      <c r="C1032" t="s">
        <v>26</v>
      </c>
      <c r="D1032" s="1">
        <v>45587</v>
      </c>
      <c r="E1032" s="1">
        <v>45596</v>
      </c>
      <c r="F1032" t="s">
        <v>31</v>
      </c>
      <c r="G1032" t="s">
        <v>14</v>
      </c>
      <c r="H1032">
        <v>9</v>
      </c>
      <c r="I1032" t="s">
        <v>20</v>
      </c>
      <c r="J1032">
        <v>2</v>
      </c>
      <c r="K1032" t="s">
        <v>24</v>
      </c>
      <c r="L1032" t="s">
        <v>22</v>
      </c>
    </row>
    <row r="1033" spans="1:12" x14ac:dyDescent="0.25">
      <c r="A1033">
        <v>1032</v>
      </c>
      <c r="B1033">
        <v>67</v>
      </c>
      <c r="C1033" t="s">
        <v>26</v>
      </c>
      <c r="D1033" s="1">
        <v>45621</v>
      </c>
      <c r="E1033" s="1">
        <v>45630</v>
      </c>
      <c r="F1033" t="s">
        <v>31</v>
      </c>
      <c r="G1033" t="s">
        <v>19</v>
      </c>
      <c r="H1033">
        <v>9</v>
      </c>
      <c r="I1033" t="s">
        <v>20</v>
      </c>
      <c r="J1033">
        <v>4</v>
      </c>
      <c r="K1033" t="s">
        <v>21</v>
      </c>
      <c r="L1033" t="s">
        <v>17</v>
      </c>
    </row>
    <row r="1034" spans="1:12" x14ac:dyDescent="0.25">
      <c r="A1034">
        <v>1033</v>
      </c>
      <c r="B1034">
        <v>73</v>
      </c>
      <c r="C1034" t="s">
        <v>12</v>
      </c>
      <c r="D1034" s="1">
        <v>45324</v>
      </c>
      <c r="E1034" s="1">
        <v>45326</v>
      </c>
      <c r="F1034" t="s">
        <v>13</v>
      </c>
      <c r="G1034" t="s">
        <v>19</v>
      </c>
      <c r="H1034">
        <v>2</v>
      </c>
      <c r="I1034" t="s">
        <v>15</v>
      </c>
      <c r="J1034">
        <v>4</v>
      </c>
      <c r="K1034" t="s">
        <v>21</v>
      </c>
      <c r="L1034" t="s">
        <v>29</v>
      </c>
    </row>
    <row r="1035" spans="1:12" x14ac:dyDescent="0.25">
      <c r="A1035">
        <v>1034</v>
      </c>
      <c r="B1035">
        <v>62</v>
      </c>
      <c r="C1035" t="s">
        <v>26</v>
      </c>
      <c r="D1035" s="1">
        <v>45645</v>
      </c>
      <c r="E1035" s="1">
        <v>45656</v>
      </c>
      <c r="F1035" t="s">
        <v>18</v>
      </c>
      <c r="G1035" t="s">
        <v>19</v>
      </c>
      <c r="H1035">
        <v>11</v>
      </c>
      <c r="I1035" t="s">
        <v>15</v>
      </c>
      <c r="J1035">
        <v>1</v>
      </c>
      <c r="K1035" t="s">
        <v>21</v>
      </c>
      <c r="L1035" t="s">
        <v>17</v>
      </c>
    </row>
    <row r="1036" spans="1:12" x14ac:dyDescent="0.25">
      <c r="A1036">
        <v>1035</v>
      </c>
      <c r="B1036">
        <v>38</v>
      </c>
      <c r="C1036" t="s">
        <v>26</v>
      </c>
      <c r="D1036" s="1">
        <v>45529</v>
      </c>
      <c r="E1036" s="1">
        <v>45544</v>
      </c>
      <c r="F1036" t="s">
        <v>18</v>
      </c>
      <c r="G1036" t="s">
        <v>14</v>
      </c>
      <c r="H1036">
        <v>15</v>
      </c>
      <c r="I1036" t="s">
        <v>15</v>
      </c>
      <c r="J1036">
        <v>3</v>
      </c>
      <c r="K1036" t="s">
        <v>21</v>
      </c>
      <c r="L1036" t="s">
        <v>22</v>
      </c>
    </row>
    <row r="1037" spans="1:12" x14ac:dyDescent="0.25">
      <c r="A1037">
        <v>1036</v>
      </c>
      <c r="B1037">
        <v>78</v>
      </c>
      <c r="C1037" t="s">
        <v>26</v>
      </c>
      <c r="D1037" s="1">
        <v>45351</v>
      </c>
      <c r="E1037" s="1">
        <v>45357</v>
      </c>
      <c r="F1037" t="s">
        <v>31</v>
      </c>
      <c r="G1037" t="s">
        <v>23</v>
      </c>
      <c r="H1037">
        <v>6</v>
      </c>
      <c r="I1037" t="s">
        <v>15</v>
      </c>
      <c r="J1037">
        <v>0</v>
      </c>
      <c r="K1037" t="s">
        <v>24</v>
      </c>
      <c r="L1037" t="s">
        <v>29</v>
      </c>
    </row>
    <row r="1038" spans="1:12" x14ac:dyDescent="0.25">
      <c r="A1038">
        <v>1037</v>
      </c>
      <c r="B1038">
        <v>37</v>
      </c>
      <c r="C1038" t="s">
        <v>12</v>
      </c>
      <c r="D1038" s="1">
        <v>45320</v>
      </c>
      <c r="E1038" s="1">
        <v>45334</v>
      </c>
      <c r="F1038" t="s">
        <v>27</v>
      </c>
      <c r="G1038" t="s">
        <v>19</v>
      </c>
      <c r="H1038">
        <v>14</v>
      </c>
      <c r="I1038" t="s">
        <v>15</v>
      </c>
      <c r="J1038">
        <v>0</v>
      </c>
      <c r="K1038" t="s">
        <v>24</v>
      </c>
      <c r="L1038" t="s">
        <v>29</v>
      </c>
    </row>
    <row r="1039" spans="1:12" x14ac:dyDescent="0.25">
      <c r="A1039">
        <v>1038</v>
      </c>
      <c r="B1039">
        <v>67</v>
      </c>
      <c r="C1039" t="s">
        <v>12</v>
      </c>
      <c r="D1039" s="1">
        <v>45391</v>
      </c>
      <c r="E1039" s="1">
        <v>45395</v>
      </c>
      <c r="F1039" t="s">
        <v>28</v>
      </c>
      <c r="G1039" t="s">
        <v>14</v>
      </c>
      <c r="H1039">
        <v>4</v>
      </c>
      <c r="I1039" t="s">
        <v>15</v>
      </c>
      <c r="J1039">
        <v>4</v>
      </c>
      <c r="K1039" t="s">
        <v>16</v>
      </c>
      <c r="L1039" t="s">
        <v>30</v>
      </c>
    </row>
    <row r="1040" spans="1:12" x14ac:dyDescent="0.25">
      <c r="A1040">
        <v>1039</v>
      </c>
      <c r="B1040">
        <v>22</v>
      </c>
      <c r="C1040" t="s">
        <v>26</v>
      </c>
      <c r="D1040" s="1">
        <v>45569</v>
      </c>
      <c r="E1040" s="1">
        <v>45581</v>
      </c>
      <c r="F1040" t="s">
        <v>13</v>
      </c>
      <c r="G1040" t="s">
        <v>23</v>
      </c>
      <c r="H1040">
        <v>12</v>
      </c>
      <c r="I1040" t="s">
        <v>20</v>
      </c>
      <c r="J1040">
        <v>0</v>
      </c>
      <c r="K1040" t="s">
        <v>24</v>
      </c>
      <c r="L1040" t="s">
        <v>22</v>
      </c>
    </row>
    <row r="1041" spans="1:12" x14ac:dyDescent="0.25">
      <c r="A1041">
        <v>1040</v>
      </c>
      <c r="B1041">
        <v>51</v>
      </c>
      <c r="C1041" t="s">
        <v>26</v>
      </c>
      <c r="D1041" s="1">
        <v>45364</v>
      </c>
      <c r="E1041" s="1">
        <v>45373</v>
      </c>
      <c r="F1041" t="s">
        <v>31</v>
      </c>
      <c r="G1041" t="s">
        <v>19</v>
      </c>
      <c r="H1041">
        <v>9</v>
      </c>
      <c r="I1041" t="s">
        <v>15</v>
      </c>
      <c r="J1041">
        <v>2</v>
      </c>
      <c r="K1041" t="s">
        <v>24</v>
      </c>
      <c r="L1041" t="s">
        <v>17</v>
      </c>
    </row>
    <row r="1042" spans="1:12" x14ac:dyDescent="0.25">
      <c r="A1042">
        <v>1041</v>
      </c>
      <c r="B1042">
        <v>45</v>
      </c>
      <c r="C1042" t="s">
        <v>26</v>
      </c>
      <c r="D1042" s="1">
        <v>45568</v>
      </c>
      <c r="E1042" s="1">
        <v>45582</v>
      </c>
      <c r="F1042" t="s">
        <v>27</v>
      </c>
      <c r="G1042" t="s">
        <v>19</v>
      </c>
      <c r="H1042">
        <v>14</v>
      </c>
      <c r="I1042" t="s">
        <v>15</v>
      </c>
      <c r="J1042">
        <v>2</v>
      </c>
      <c r="K1042" t="s">
        <v>21</v>
      </c>
      <c r="L1042" t="s">
        <v>29</v>
      </c>
    </row>
    <row r="1043" spans="1:12" x14ac:dyDescent="0.25">
      <c r="A1043">
        <v>1042</v>
      </c>
      <c r="B1043">
        <v>52</v>
      </c>
      <c r="C1043" t="s">
        <v>26</v>
      </c>
      <c r="D1043" s="1">
        <v>45623</v>
      </c>
      <c r="E1043" s="1">
        <v>45631</v>
      </c>
      <c r="F1043" t="s">
        <v>13</v>
      </c>
      <c r="G1043" t="s">
        <v>19</v>
      </c>
      <c r="H1043">
        <v>8</v>
      </c>
      <c r="I1043" t="s">
        <v>15</v>
      </c>
      <c r="J1043">
        <v>4</v>
      </c>
      <c r="K1043" t="s">
        <v>24</v>
      </c>
      <c r="L1043" t="s">
        <v>30</v>
      </c>
    </row>
    <row r="1044" spans="1:12" x14ac:dyDescent="0.25">
      <c r="A1044">
        <v>1043</v>
      </c>
      <c r="B1044">
        <v>58</v>
      </c>
      <c r="C1044" t="s">
        <v>12</v>
      </c>
      <c r="D1044" s="1">
        <v>45632</v>
      </c>
      <c r="E1044" s="1">
        <v>45647</v>
      </c>
      <c r="F1044" t="s">
        <v>18</v>
      </c>
      <c r="G1044" t="s">
        <v>19</v>
      </c>
      <c r="H1044">
        <v>15</v>
      </c>
      <c r="I1044" t="s">
        <v>20</v>
      </c>
      <c r="J1044">
        <v>3</v>
      </c>
      <c r="K1044" t="s">
        <v>16</v>
      </c>
      <c r="L1044" t="s">
        <v>25</v>
      </c>
    </row>
    <row r="1045" spans="1:12" x14ac:dyDescent="0.25">
      <c r="A1045">
        <v>1044</v>
      </c>
      <c r="B1045">
        <v>58</v>
      </c>
      <c r="C1045" t="s">
        <v>26</v>
      </c>
      <c r="D1045" s="1">
        <v>45460</v>
      </c>
      <c r="E1045" s="1">
        <v>45467</v>
      </c>
      <c r="F1045" t="s">
        <v>13</v>
      </c>
      <c r="G1045" t="s">
        <v>23</v>
      </c>
      <c r="H1045">
        <v>7</v>
      </c>
      <c r="I1045" t="s">
        <v>15</v>
      </c>
      <c r="J1045">
        <v>1</v>
      </c>
      <c r="K1045" t="s">
        <v>24</v>
      </c>
      <c r="L1045" t="s">
        <v>29</v>
      </c>
    </row>
    <row r="1046" spans="1:12" x14ac:dyDescent="0.25">
      <c r="A1046">
        <v>1045</v>
      </c>
      <c r="B1046">
        <v>39</v>
      </c>
      <c r="C1046" t="s">
        <v>12</v>
      </c>
      <c r="D1046" s="1">
        <v>45506</v>
      </c>
      <c r="E1046" s="1">
        <v>45515</v>
      </c>
      <c r="F1046" t="s">
        <v>18</v>
      </c>
      <c r="G1046" t="s">
        <v>14</v>
      </c>
      <c r="H1046">
        <v>9</v>
      </c>
      <c r="I1046" t="s">
        <v>15</v>
      </c>
      <c r="J1046">
        <v>1</v>
      </c>
      <c r="K1046" t="s">
        <v>16</v>
      </c>
      <c r="L1046" t="s">
        <v>29</v>
      </c>
    </row>
    <row r="1047" spans="1:12" x14ac:dyDescent="0.25">
      <c r="A1047">
        <v>1046</v>
      </c>
      <c r="B1047">
        <v>64</v>
      </c>
      <c r="C1047" t="s">
        <v>12</v>
      </c>
      <c r="D1047" s="1">
        <v>45298</v>
      </c>
      <c r="E1047" s="1">
        <v>45309</v>
      </c>
      <c r="F1047" t="s">
        <v>13</v>
      </c>
      <c r="G1047" t="s">
        <v>23</v>
      </c>
      <c r="H1047">
        <v>11</v>
      </c>
      <c r="I1047" t="s">
        <v>15</v>
      </c>
      <c r="J1047">
        <v>3</v>
      </c>
      <c r="K1047" t="s">
        <v>24</v>
      </c>
      <c r="L1047" t="s">
        <v>29</v>
      </c>
    </row>
    <row r="1048" spans="1:12" x14ac:dyDescent="0.25">
      <c r="A1048">
        <v>1047</v>
      </c>
      <c r="B1048">
        <v>42</v>
      </c>
      <c r="C1048" t="s">
        <v>26</v>
      </c>
      <c r="D1048" s="1">
        <v>45319</v>
      </c>
      <c r="E1048" s="1">
        <v>45323</v>
      </c>
      <c r="F1048" t="s">
        <v>31</v>
      </c>
      <c r="G1048" t="s">
        <v>14</v>
      </c>
      <c r="H1048">
        <v>4</v>
      </c>
      <c r="I1048" t="s">
        <v>20</v>
      </c>
      <c r="J1048">
        <v>3</v>
      </c>
      <c r="K1048" t="s">
        <v>24</v>
      </c>
      <c r="L1048" t="s">
        <v>29</v>
      </c>
    </row>
    <row r="1049" spans="1:12" x14ac:dyDescent="0.25">
      <c r="A1049">
        <v>1048</v>
      </c>
      <c r="B1049">
        <v>74</v>
      </c>
      <c r="C1049" t="s">
        <v>26</v>
      </c>
      <c r="D1049" s="1">
        <v>45594</v>
      </c>
      <c r="E1049" s="1">
        <v>45604</v>
      </c>
      <c r="F1049" t="s">
        <v>27</v>
      </c>
      <c r="G1049" t="s">
        <v>14</v>
      </c>
      <c r="H1049">
        <v>10</v>
      </c>
      <c r="I1049" t="s">
        <v>15</v>
      </c>
      <c r="J1049">
        <v>2</v>
      </c>
      <c r="K1049" t="s">
        <v>24</v>
      </c>
      <c r="L1049" t="s">
        <v>22</v>
      </c>
    </row>
    <row r="1050" spans="1:12" x14ac:dyDescent="0.25">
      <c r="A1050">
        <v>1049</v>
      </c>
      <c r="B1050">
        <v>26</v>
      </c>
      <c r="C1050" t="s">
        <v>12</v>
      </c>
      <c r="D1050" s="1">
        <v>45440</v>
      </c>
      <c r="E1050" s="1">
        <v>45447</v>
      </c>
      <c r="F1050" t="s">
        <v>28</v>
      </c>
      <c r="G1050" t="s">
        <v>19</v>
      </c>
      <c r="H1050">
        <v>7</v>
      </c>
      <c r="I1050" t="s">
        <v>15</v>
      </c>
      <c r="J1050">
        <v>1</v>
      </c>
      <c r="K1050" t="s">
        <v>21</v>
      </c>
      <c r="L1050" t="s">
        <v>29</v>
      </c>
    </row>
    <row r="1051" spans="1:12" x14ac:dyDescent="0.25">
      <c r="A1051">
        <v>1050</v>
      </c>
      <c r="B1051">
        <v>28</v>
      </c>
      <c r="C1051" t="s">
        <v>12</v>
      </c>
      <c r="D1051" s="1">
        <v>45411</v>
      </c>
      <c r="E1051" s="1">
        <v>45422</v>
      </c>
      <c r="F1051" t="s">
        <v>13</v>
      </c>
      <c r="G1051" t="s">
        <v>14</v>
      </c>
      <c r="H1051">
        <v>11</v>
      </c>
      <c r="I1051" t="s">
        <v>15</v>
      </c>
      <c r="J1051">
        <v>0</v>
      </c>
      <c r="K1051" t="s">
        <v>24</v>
      </c>
      <c r="L1051" t="s">
        <v>25</v>
      </c>
    </row>
    <row r="1052" spans="1:12" x14ac:dyDescent="0.25">
      <c r="A1052">
        <v>1051</v>
      </c>
      <c r="B1052">
        <v>77</v>
      </c>
      <c r="C1052" t="s">
        <v>26</v>
      </c>
      <c r="D1052" s="1">
        <v>45600</v>
      </c>
      <c r="E1052" s="1">
        <v>45613</v>
      </c>
      <c r="F1052" t="s">
        <v>18</v>
      </c>
      <c r="G1052" t="s">
        <v>23</v>
      </c>
      <c r="H1052">
        <v>13</v>
      </c>
      <c r="I1052" t="s">
        <v>20</v>
      </c>
      <c r="J1052">
        <v>0</v>
      </c>
      <c r="K1052" t="s">
        <v>16</v>
      </c>
      <c r="L1052" t="s">
        <v>30</v>
      </c>
    </row>
    <row r="1053" spans="1:12" x14ac:dyDescent="0.25">
      <c r="A1053">
        <v>1052</v>
      </c>
      <c r="B1053">
        <v>68</v>
      </c>
      <c r="C1053" t="s">
        <v>26</v>
      </c>
      <c r="D1053" s="1">
        <v>45486</v>
      </c>
      <c r="E1053" s="1">
        <v>45500</v>
      </c>
      <c r="F1053" t="s">
        <v>18</v>
      </c>
      <c r="G1053" t="s">
        <v>14</v>
      </c>
      <c r="H1053">
        <v>14</v>
      </c>
      <c r="I1053" t="s">
        <v>15</v>
      </c>
      <c r="J1053">
        <v>0</v>
      </c>
      <c r="K1053" t="s">
        <v>21</v>
      </c>
      <c r="L1053" t="s">
        <v>29</v>
      </c>
    </row>
    <row r="1054" spans="1:12" x14ac:dyDescent="0.25">
      <c r="A1054">
        <v>1053</v>
      </c>
      <c r="B1054">
        <v>31</v>
      </c>
      <c r="C1054" t="s">
        <v>26</v>
      </c>
      <c r="D1054" s="1">
        <v>45649</v>
      </c>
      <c r="E1054" s="1">
        <v>45661</v>
      </c>
      <c r="F1054" t="s">
        <v>27</v>
      </c>
      <c r="G1054" t="s">
        <v>14</v>
      </c>
      <c r="H1054">
        <v>12</v>
      </c>
      <c r="I1054" t="s">
        <v>15</v>
      </c>
      <c r="J1054">
        <v>0</v>
      </c>
      <c r="K1054" t="s">
        <v>24</v>
      </c>
      <c r="L1054" t="s">
        <v>17</v>
      </c>
    </row>
    <row r="1055" spans="1:12" x14ac:dyDescent="0.25">
      <c r="A1055">
        <v>1054</v>
      </c>
      <c r="B1055">
        <v>77</v>
      </c>
      <c r="C1055" t="s">
        <v>12</v>
      </c>
      <c r="D1055" s="1">
        <v>45629</v>
      </c>
      <c r="E1055" s="1">
        <v>45643</v>
      </c>
      <c r="F1055" t="s">
        <v>31</v>
      </c>
      <c r="G1055" t="s">
        <v>23</v>
      </c>
      <c r="H1055">
        <v>14</v>
      </c>
      <c r="I1055" t="s">
        <v>15</v>
      </c>
      <c r="J1055">
        <v>4</v>
      </c>
      <c r="K1055" t="s">
        <v>16</v>
      </c>
      <c r="L1055" t="s">
        <v>22</v>
      </c>
    </row>
    <row r="1056" spans="1:12" x14ac:dyDescent="0.25">
      <c r="A1056">
        <v>1055</v>
      </c>
      <c r="B1056">
        <v>86</v>
      </c>
      <c r="C1056" t="s">
        <v>12</v>
      </c>
      <c r="D1056" s="1">
        <v>45327</v>
      </c>
      <c r="E1056" s="1">
        <v>45334</v>
      </c>
      <c r="F1056" t="s">
        <v>27</v>
      </c>
      <c r="G1056" t="s">
        <v>14</v>
      </c>
      <c r="H1056">
        <v>7</v>
      </c>
      <c r="I1056" t="s">
        <v>15</v>
      </c>
      <c r="J1056">
        <v>1</v>
      </c>
      <c r="K1056" t="s">
        <v>21</v>
      </c>
      <c r="L1056" t="s">
        <v>30</v>
      </c>
    </row>
    <row r="1057" spans="1:12" x14ac:dyDescent="0.25">
      <c r="A1057">
        <v>1056</v>
      </c>
      <c r="B1057">
        <v>68</v>
      </c>
      <c r="C1057" t="s">
        <v>26</v>
      </c>
      <c r="D1057" s="1">
        <v>45407</v>
      </c>
      <c r="E1057" s="1">
        <v>45408</v>
      </c>
      <c r="F1057" t="s">
        <v>31</v>
      </c>
      <c r="G1057" t="s">
        <v>14</v>
      </c>
      <c r="H1057">
        <v>1</v>
      </c>
      <c r="I1057" t="s">
        <v>15</v>
      </c>
      <c r="J1057">
        <v>2</v>
      </c>
      <c r="K1057" t="s">
        <v>24</v>
      </c>
      <c r="L1057" t="s">
        <v>29</v>
      </c>
    </row>
    <row r="1058" spans="1:12" x14ac:dyDescent="0.25">
      <c r="A1058">
        <v>1057</v>
      </c>
      <c r="B1058">
        <v>36</v>
      </c>
      <c r="C1058" t="s">
        <v>26</v>
      </c>
      <c r="D1058" s="1">
        <v>45483</v>
      </c>
      <c r="E1058" s="1">
        <v>45492</v>
      </c>
      <c r="F1058" t="s">
        <v>13</v>
      </c>
      <c r="G1058" t="s">
        <v>14</v>
      </c>
      <c r="H1058">
        <v>9</v>
      </c>
      <c r="I1058" t="s">
        <v>15</v>
      </c>
      <c r="J1058">
        <v>4</v>
      </c>
      <c r="K1058" t="s">
        <v>21</v>
      </c>
      <c r="L1058" t="s">
        <v>25</v>
      </c>
    </row>
    <row r="1059" spans="1:12" x14ac:dyDescent="0.25">
      <c r="A1059">
        <v>1058</v>
      </c>
      <c r="B1059">
        <v>44</v>
      </c>
      <c r="C1059" t="s">
        <v>26</v>
      </c>
      <c r="D1059" s="1">
        <v>45559</v>
      </c>
      <c r="E1059" s="1">
        <v>45563</v>
      </c>
      <c r="F1059" t="s">
        <v>18</v>
      </c>
      <c r="G1059" t="s">
        <v>19</v>
      </c>
      <c r="H1059">
        <v>4</v>
      </c>
      <c r="I1059" t="s">
        <v>15</v>
      </c>
      <c r="J1059">
        <v>2</v>
      </c>
      <c r="K1059" t="s">
        <v>24</v>
      </c>
      <c r="L1059" t="s">
        <v>17</v>
      </c>
    </row>
    <row r="1060" spans="1:12" x14ac:dyDescent="0.25">
      <c r="A1060">
        <v>1059</v>
      </c>
      <c r="B1060">
        <v>33</v>
      </c>
      <c r="C1060" t="s">
        <v>26</v>
      </c>
      <c r="D1060" s="1">
        <v>45602</v>
      </c>
      <c r="E1060" s="1">
        <v>45617</v>
      </c>
      <c r="F1060" t="s">
        <v>27</v>
      </c>
      <c r="G1060" t="s">
        <v>23</v>
      </c>
      <c r="H1060">
        <v>15</v>
      </c>
      <c r="I1060" t="s">
        <v>20</v>
      </c>
      <c r="J1060">
        <v>4</v>
      </c>
      <c r="K1060" t="s">
        <v>21</v>
      </c>
      <c r="L1060" t="s">
        <v>17</v>
      </c>
    </row>
    <row r="1061" spans="1:12" x14ac:dyDescent="0.25">
      <c r="A1061">
        <v>1060</v>
      </c>
      <c r="B1061">
        <v>65</v>
      </c>
      <c r="C1061" t="s">
        <v>26</v>
      </c>
      <c r="D1061" s="1">
        <v>45335</v>
      </c>
      <c r="E1061" s="1">
        <v>45346</v>
      </c>
      <c r="F1061" t="s">
        <v>18</v>
      </c>
      <c r="G1061" t="s">
        <v>19</v>
      </c>
      <c r="H1061">
        <v>11</v>
      </c>
      <c r="I1061" t="s">
        <v>20</v>
      </c>
      <c r="J1061">
        <v>4</v>
      </c>
      <c r="K1061" t="s">
        <v>24</v>
      </c>
      <c r="L1061" t="s">
        <v>29</v>
      </c>
    </row>
    <row r="1062" spans="1:12" x14ac:dyDescent="0.25">
      <c r="A1062">
        <v>1061</v>
      </c>
      <c r="B1062">
        <v>79</v>
      </c>
      <c r="C1062" t="s">
        <v>12</v>
      </c>
      <c r="D1062" s="1">
        <v>45623</v>
      </c>
      <c r="E1062" s="1">
        <v>45626</v>
      </c>
      <c r="F1062" t="s">
        <v>27</v>
      </c>
      <c r="G1062" t="s">
        <v>19</v>
      </c>
      <c r="H1062">
        <v>3</v>
      </c>
      <c r="I1062" t="s">
        <v>15</v>
      </c>
      <c r="J1062">
        <v>0</v>
      </c>
      <c r="K1062" t="s">
        <v>21</v>
      </c>
      <c r="L1062" t="s">
        <v>17</v>
      </c>
    </row>
    <row r="1063" spans="1:12" x14ac:dyDescent="0.25">
      <c r="A1063">
        <v>1062</v>
      </c>
      <c r="B1063">
        <v>61</v>
      </c>
      <c r="C1063" t="s">
        <v>12</v>
      </c>
      <c r="D1063" s="1">
        <v>45647</v>
      </c>
      <c r="E1063" s="1">
        <v>45662</v>
      </c>
      <c r="F1063" t="s">
        <v>28</v>
      </c>
      <c r="G1063" t="s">
        <v>23</v>
      </c>
      <c r="H1063">
        <v>15</v>
      </c>
      <c r="I1063" t="s">
        <v>15</v>
      </c>
      <c r="J1063">
        <v>3</v>
      </c>
      <c r="K1063" t="s">
        <v>24</v>
      </c>
      <c r="L1063" t="s">
        <v>17</v>
      </c>
    </row>
    <row r="1064" spans="1:12" x14ac:dyDescent="0.25">
      <c r="A1064">
        <v>1063</v>
      </c>
      <c r="B1064">
        <v>50</v>
      </c>
      <c r="C1064" t="s">
        <v>12</v>
      </c>
      <c r="D1064" s="1">
        <v>45377</v>
      </c>
      <c r="E1064" s="1">
        <v>45391</v>
      </c>
      <c r="F1064" t="s">
        <v>27</v>
      </c>
      <c r="G1064" t="s">
        <v>23</v>
      </c>
      <c r="H1064">
        <v>14</v>
      </c>
      <c r="I1064" t="s">
        <v>20</v>
      </c>
      <c r="J1064">
        <v>1</v>
      </c>
      <c r="K1064" t="s">
        <v>24</v>
      </c>
      <c r="L1064" t="s">
        <v>17</v>
      </c>
    </row>
    <row r="1065" spans="1:12" x14ac:dyDescent="0.25">
      <c r="A1065">
        <v>1064</v>
      </c>
      <c r="B1065">
        <v>88</v>
      </c>
      <c r="C1065" t="s">
        <v>12</v>
      </c>
      <c r="D1065" s="1">
        <v>45300</v>
      </c>
      <c r="E1065" s="1">
        <v>45311</v>
      </c>
      <c r="F1065" t="s">
        <v>28</v>
      </c>
      <c r="G1065" t="s">
        <v>19</v>
      </c>
      <c r="H1065">
        <v>11</v>
      </c>
      <c r="I1065" t="s">
        <v>15</v>
      </c>
      <c r="J1065">
        <v>1</v>
      </c>
      <c r="K1065" t="s">
        <v>16</v>
      </c>
      <c r="L1065" t="s">
        <v>29</v>
      </c>
    </row>
    <row r="1066" spans="1:12" x14ac:dyDescent="0.25">
      <c r="A1066">
        <v>1065</v>
      </c>
      <c r="B1066">
        <v>37</v>
      </c>
      <c r="C1066" t="s">
        <v>12</v>
      </c>
      <c r="D1066" s="1">
        <v>45556</v>
      </c>
      <c r="E1066" s="1">
        <v>45571</v>
      </c>
      <c r="F1066" t="s">
        <v>18</v>
      </c>
      <c r="G1066" t="s">
        <v>14</v>
      </c>
      <c r="H1066">
        <v>15</v>
      </c>
      <c r="I1066" t="s">
        <v>15</v>
      </c>
      <c r="J1066">
        <v>1</v>
      </c>
      <c r="K1066" t="s">
        <v>24</v>
      </c>
      <c r="L1066" t="s">
        <v>29</v>
      </c>
    </row>
    <row r="1067" spans="1:12" x14ac:dyDescent="0.25">
      <c r="A1067">
        <v>1066</v>
      </c>
      <c r="B1067">
        <v>80</v>
      </c>
      <c r="C1067" t="s">
        <v>12</v>
      </c>
      <c r="D1067" s="1">
        <v>45549</v>
      </c>
      <c r="E1067" s="1">
        <v>45562</v>
      </c>
      <c r="F1067" t="s">
        <v>28</v>
      </c>
      <c r="G1067" t="s">
        <v>23</v>
      </c>
      <c r="H1067">
        <v>13</v>
      </c>
      <c r="I1067" t="s">
        <v>20</v>
      </c>
      <c r="J1067">
        <v>1</v>
      </c>
      <c r="K1067" t="s">
        <v>24</v>
      </c>
      <c r="L1067" t="s">
        <v>25</v>
      </c>
    </row>
    <row r="1068" spans="1:12" x14ac:dyDescent="0.25">
      <c r="A1068">
        <v>1067</v>
      </c>
      <c r="B1068">
        <v>88</v>
      </c>
      <c r="C1068" t="s">
        <v>26</v>
      </c>
      <c r="D1068" s="1">
        <v>45419</v>
      </c>
      <c r="E1068" s="1">
        <v>45423</v>
      </c>
      <c r="F1068" t="s">
        <v>13</v>
      </c>
      <c r="G1068" t="s">
        <v>14</v>
      </c>
      <c r="H1068">
        <v>4</v>
      </c>
      <c r="I1068" t="s">
        <v>15</v>
      </c>
      <c r="J1068">
        <v>2</v>
      </c>
      <c r="K1068" t="s">
        <v>16</v>
      </c>
      <c r="L1068" t="s">
        <v>29</v>
      </c>
    </row>
    <row r="1069" spans="1:12" x14ac:dyDescent="0.25">
      <c r="A1069">
        <v>1068</v>
      </c>
      <c r="B1069">
        <v>81</v>
      </c>
      <c r="C1069" t="s">
        <v>26</v>
      </c>
      <c r="D1069" s="1">
        <v>45556</v>
      </c>
      <c r="E1069" s="1">
        <v>45564</v>
      </c>
      <c r="F1069" t="s">
        <v>27</v>
      </c>
      <c r="G1069" t="s">
        <v>19</v>
      </c>
      <c r="H1069">
        <v>8</v>
      </c>
      <c r="I1069" t="s">
        <v>20</v>
      </c>
      <c r="J1069">
        <v>0</v>
      </c>
      <c r="K1069" t="s">
        <v>21</v>
      </c>
      <c r="L1069" t="s">
        <v>17</v>
      </c>
    </row>
    <row r="1070" spans="1:12" x14ac:dyDescent="0.25">
      <c r="A1070">
        <v>1069</v>
      </c>
      <c r="B1070">
        <v>35</v>
      </c>
      <c r="C1070" t="s">
        <v>12</v>
      </c>
      <c r="D1070" s="1">
        <v>45607</v>
      </c>
      <c r="E1070" s="1">
        <v>45610</v>
      </c>
      <c r="F1070" t="s">
        <v>31</v>
      </c>
      <c r="G1070" t="s">
        <v>19</v>
      </c>
      <c r="H1070">
        <v>3</v>
      </c>
      <c r="I1070" t="s">
        <v>15</v>
      </c>
      <c r="J1070">
        <v>2</v>
      </c>
      <c r="K1070" t="s">
        <v>21</v>
      </c>
      <c r="L1070" t="s">
        <v>17</v>
      </c>
    </row>
    <row r="1071" spans="1:12" x14ac:dyDescent="0.25">
      <c r="A1071">
        <v>1070</v>
      </c>
      <c r="B1071">
        <v>73</v>
      </c>
      <c r="C1071" t="s">
        <v>26</v>
      </c>
      <c r="D1071" s="1">
        <v>45373</v>
      </c>
      <c r="E1071" s="1">
        <v>45388</v>
      </c>
      <c r="F1071" t="s">
        <v>27</v>
      </c>
      <c r="G1071" t="s">
        <v>14</v>
      </c>
      <c r="H1071">
        <v>15</v>
      </c>
      <c r="I1071" t="s">
        <v>15</v>
      </c>
      <c r="J1071">
        <v>2</v>
      </c>
      <c r="K1071" t="s">
        <v>24</v>
      </c>
      <c r="L1071" t="s">
        <v>29</v>
      </c>
    </row>
    <row r="1072" spans="1:12" x14ac:dyDescent="0.25">
      <c r="A1072">
        <v>1071</v>
      </c>
      <c r="B1072">
        <v>54</v>
      </c>
      <c r="C1072" t="s">
        <v>26</v>
      </c>
      <c r="D1072" s="1">
        <v>45627</v>
      </c>
      <c r="E1072" s="1">
        <v>45642</v>
      </c>
      <c r="F1072" t="s">
        <v>31</v>
      </c>
      <c r="G1072" t="s">
        <v>14</v>
      </c>
      <c r="H1072">
        <v>15</v>
      </c>
      <c r="I1072" t="s">
        <v>15</v>
      </c>
      <c r="J1072">
        <v>1</v>
      </c>
      <c r="K1072" t="s">
        <v>16</v>
      </c>
      <c r="L1072" t="s">
        <v>22</v>
      </c>
    </row>
    <row r="1073" spans="1:12" x14ac:dyDescent="0.25">
      <c r="A1073">
        <v>1072</v>
      </c>
      <c r="B1073">
        <v>88</v>
      </c>
      <c r="C1073" t="s">
        <v>12</v>
      </c>
      <c r="D1073" s="1">
        <v>45422</v>
      </c>
      <c r="E1073" s="1">
        <v>45428</v>
      </c>
      <c r="F1073" t="s">
        <v>27</v>
      </c>
      <c r="G1073" t="s">
        <v>19</v>
      </c>
      <c r="H1073">
        <v>6</v>
      </c>
      <c r="I1073" t="s">
        <v>20</v>
      </c>
      <c r="J1073">
        <v>4</v>
      </c>
      <c r="K1073" t="s">
        <v>16</v>
      </c>
      <c r="L1073" t="s">
        <v>22</v>
      </c>
    </row>
    <row r="1074" spans="1:12" x14ac:dyDescent="0.25">
      <c r="A1074">
        <v>1073</v>
      </c>
      <c r="B1074">
        <v>53</v>
      </c>
      <c r="C1074" t="s">
        <v>12</v>
      </c>
      <c r="D1074" s="1">
        <v>45479</v>
      </c>
      <c r="E1074" s="1">
        <v>45485</v>
      </c>
      <c r="F1074" t="s">
        <v>31</v>
      </c>
      <c r="G1074" t="s">
        <v>14</v>
      </c>
      <c r="H1074">
        <v>6</v>
      </c>
      <c r="I1074" t="s">
        <v>15</v>
      </c>
      <c r="J1074">
        <v>2</v>
      </c>
      <c r="K1074" t="s">
        <v>16</v>
      </c>
      <c r="L1074" t="s">
        <v>25</v>
      </c>
    </row>
    <row r="1075" spans="1:12" x14ac:dyDescent="0.25">
      <c r="A1075">
        <v>1074</v>
      </c>
      <c r="B1075">
        <v>78</v>
      </c>
      <c r="C1075" t="s">
        <v>26</v>
      </c>
      <c r="D1075" s="1">
        <v>45629</v>
      </c>
      <c r="E1075" s="1">
        <v>45639</v>
      </c>
      <c r="F1075" t="s">
        <v>31</v>
      </c>
      <c r="G1075" t="s">
        <v>23</v>
      </c>
      <c r="H1075">
        <v>10</v>
      </c>
      <c r="I1075" t="s">
        <v>20</v>
      </c>
      <c r="J1075">
        <v>0</v>
      </c>
      <c r="K1075" t="s">
        <v>16</v>
      </c>
      <c r="L1075" t="s">
        <v>17</v>
      </c>
    </row>
    <row r="1076" spans="1:12" x14ac:dyDescent="0.25">
      <c r="A1076">
        <v>1075</v>
      </c>
      <c r="B1076">
        <v>72</v>
      </c>
      <c r="C1076" t="s">
        <v>12</v>
      </c>
      <c r="D1076" s="1">
        <v>45630</v>
      </c>
      <c r="E1076" s="1">
        <v>45637</v>
      </c>
      <c r="F1076" t="s">
        <v>18</v>
      </c>
      <c r="G1076" t="s">
        <v>23</v>
      </c>
      <c r="H1076">
        <v>7</v>
      </c>
      <c r="I1076" t="s">
        <v>15</v>
      </c>
      <c r="J1076">
        <v>0</v>
      </c>
      <c r="K1076" t="s">
        <v>16</v>
      </c>
      <c r="L1076" t="s">
        <v>17</v>
      </c>
    </row>
    <row r="1077" spans="1:12" x14ac:dyDescent="0.25">
      <c r="A1077">
        <v>1076</v>
      </c>
      <c r="B1077">
        <v>67</v>
      </c>
      <c r="C1077" t="s">
        <v>26</v>
      </c>
      <c r="D1077" s="1">
        <v>45342</v>
      </c>
      <c r="E1077" s="1">
        <v>45351</v>
      </c>
      <c r="F1077" t="s">
        <v>31</v>
      </c>
      <c r="G1077" t="s">
        <v>23</v>
      </c>
      <c r="H1077">
        <v>9</v>
      </c>
      <c r="I1077" t="s">
        <v>15</v>
      </c>
      <c r="J1077">
        <v>0</v>
      </c>
      <c r="K1077" t="s">
        <v>21</v>
      </c>
      <c r="L1077" t="s">
        <v>30</v>
      </c>
    </row>
    <row r="1078" spans="1:12" x14ac:dyDescent="0.25">
      <c r="A1078">
        <v>1077</v>
      </c>
      <c r="B1078">
        <v>57</v>
      </c>
      <c r="C1078" t="s">
        <v>26</v>
      </c>
      <c r="D1078" s="1">
        <v>45392</v>
      </c>
      <c r="E1078" s="1">
        <v>45397</v>
      </c>
      <c r="F1078" t="s">
        <v>13</v>
      </c>
      <c r="G1078" t="s">
        <v>23</v>
      </c>
      <c r="H1078">
        <v>5</v>
      </c>
      <c r="I1078" t="s">
        <v>15</v>
      </c>
      <c r="J1078">
        <v>1</v>
      </c>
      <c r="K1078" t="s">
        <v>16</v>
      </c>
      <c r="L1078" t="s">
        <v>30</v>
      </c>
    </row>
    <row r="1079" spans="1:12" x14ac:dyDescent="0.25">
      <c r="A1079">
        <v>1078</v>
      </c>
      <c r="B1079">
        <v>66</v>
      </c>
      <c r="C1079" t="s">
        <v>12</v>
      </c>
      <c r="D1079" s="1">
        <v>45458</v>
      </c>
      <c r="E1079" s="1">
        <v>45473</v>
      </c>
      <c r="F1079" t="s">
        <v>27</v>
      </c>
      <c r="G1079" t="s">
        <v>19</v>
      </c>
      <c r="H1079">
        <v>15</v>
      </c>
      <c r="I1079" t="s">
        <v>15</v>
      </c>
      <c r="J1079">
        <v>2</v>
      </c>
      <c r="K1079" t="s">
        <v>16</v>
      </c>
      <c r="L1079" t="s">
        <v>22</v>
      </c>
    </row>
    <row r="1080" spans="1:12" x14ac:dyDescent="0.25">
      <c r="A1080">
        <v>1079</v>
      </c>
      <c r="B1080">
        <v>56</v>
      </c>
      <c r="C1080" t="s">
        <v>12</v>
      </c>
      <c r="D1080" s="1">
        <v>45439</v>
      </c>
      <c r="E1080" s="1">
        <v>45440</v>
      </c>
      <c r="F1080" t="s">
        <v>31</v>
      </c>
      <c r="G1080" t="s">
        <v>19</v>
      </c>
      <c r="H1080">
        <v>1</v>
      </c>
      <c r="I1080" t="s">
        <v>15</v>
      </c>
      <c r="J1080">
        <v>1</v>
      </c>
      <c r="K1080" t="s">
        <v>16</v>
      </c>
      <c r="L1080" t="s">
        <v>29</v>
      </c>
    </row>
    <row r="1081" spans="1:12" x14ac:dyDescent="0.25">
      <c r="A1081">
        <v>1080</v>
      </c>
      <c r="B1081">
        <v>76</v>
      </c>
      <c r="C1081" t="s">
        <v>26</v>
      </c>
      <c r="D1081" s="1">
        <v>45341</v>
      </c>
      <c r="E1081" s="1">
        <v>45348</v>
      </c>
      <c r="F1081" t="s">
        <v>18</v>
      </c>
      <c r="G1081" t="s">
        <v>19</v>
      </c>
      <c r="H1081">
        <v>7</v>
      </c>
      <c r="I1081" t="s">
        <v>15</v>
      </c>
      <c r="J1081">
        <v>3</v>
      </c>
      <c r="K1081" t="s">
        <v>16</v>
      </c>
      <c r="L1081" t="s">
        <v>22</v>
      </c>
    </row>
    <row r="1082" spans="1:12" x14ac:dyDescent="0.25">
      <c r="A1082">
        <v>1081</v>
      </c>
      <c r="B1082">
        <v>28</v>
      </c>
      <c r="C1082" t="s">
        <v>12</v>
      </c>
      <c r="D1082" s="1">
        <v>45408</v>
      </c>
      <c r="E1082" s="1">
        <v>45421</v>
      </c>
      <c r="F1082" t="s">
        <v>28</v>
      </c>
      <c r="G1082" t="s">
        <v>19</v>
      </c>
      <c r="H1082">
        <v>13</v>
      </c>
      <c r="I1082" t="s">
        <v>20</v>
      </c>
      <c r="J1082">
        <v>2</v>
      </c>
      <c r="K1082" t="s">
        <v>16</v>
      </c>
      <c r="L1082" t="s">
        <v>30</v>
      </c>
    </row>
    <row r="1083" spans="1:12" x14ac:dyDescent="0.25">
      <c r="A1083">
        <v>1082</v>
      </c>
      <c r="B1083">
        <v>67</v>
      </c>
      <c r="C1083" t="s">
        <v>12</v>
      </c>
      <c r="D1083" s="1">
        <v>45653</v>
      </c>
      <c r="E1083" s="1">
        <v>45659</v>
      </c>
      <c r="F1083" t="s">
        <v>13</v>
      </c>
      <c r="G1083" t="s">
        <v>23</v>
      </c>
      <c r="H1083">
        <v>6</v>
      </c>
      <c r="I1083" t="s">
        <v>15</v>
      </c>
      <c r="J1083">
        <v>3</v>
      </c>
      <c r="K1083" t="s">
        <v>16</v>
      </c>
      <c r="L1083" t="s">
        <v>30</v>
      </c>
    </row>
    <row r="1084" spans="1:12" x14ac:dyDescent="0.25">
      <c r="A1084">
        <v>1083</v>
      </c>
      <c r="B1084">
        <v>31</v>
      </c>
      <c r="C1084" t="s">
        <v>12</v>
      </c>
      <c r="D1084" s="1">
        <v>45571</v>
      </c>
      <c r="E1084" s="1">
        <v>45583</v>
      </c>
      <c r="F1084" t="s">
        <v>27</v>
      </c>
      <c r="G1084" t="s">
        <v>19</v>
      </c>
      <c r="H1084">
        <v>12</v>
      </c>
      <c r="I1084" t="s">
        <v>15</v>
      </c>
      <c r="J1084">
        <v>4</v>
      </c>
      <c r="K1084" t="s">
        <v>24</v>
      </c>
      <c r="L1084" t="s">
        <v>30</v>
      </c>
    </row>
    <row r="1085" spans="1:12" x14ac:dyDescent="0.25">
      <c r="A1085">
        <v>1084</v>
      </c>
      <c r="B1085">
        <v>51</v>
      </c>
      <c r="C1085" t="s">
        <v>12</v>
      </c>
      <c r="D1085" s="1">
        <v>45307</v>
      </c>
      <c r="E1085" s="1">
        <v>45317</v>
      </c>
      <c r="F1085" t="s">
        <v>27</v>
      </c>
      <c r="G1085" t="s">
        <v>19</v>
      </c>
      <c r="H1085">
        <v>10</v>
      </c>
      <c r="I1085" t="s">
        <v>15</v>
      </c>
      <c r="J1085">
        <v>3</v>
      </c>
      <c r="K1085" t="s">
        <v>16</v>
      </c>
      <c r="L1085" t="s">
        <v>17</v>
      </c>
    </row>
    <row r="1086" spans="1:12" x14ac:dyDescent="0.25">
      <c r="A1086">
        <v>1085</v>
      </c>
      <c r="B1086">
        <v>85</v>
      </c>
      <c r="C1086" t="s">
        <v>26</v>
      </c>
      <c r="D1086" s="1">
        <v>45380</v>
      </c>
      <c r="E1086" s="1">
        <v>45387</v>
      </c>
      <c r="F1086" t="s">
        <v>31</v>
      </c>
      <c r="G1086" t="s">
        <v>14</v>
      </c>
      <c r="H1086">
        <v>7</v>
      </c>
      <c r="I1086" t="s">
        <v>20</v>
      </c>
      <c r="J1086">
        <v>1</v>
      </c>
      <c r="K1086" t="s">
        <v>16</v>
      </c>
      <c r="L1086" t="s">
        <v>30</v>
      </c>
    </row>
    <row r="1087" spans="1:12" x14ac:dyDescent="0.25">
      <c r="A1087">
        <v>1086</v>
      </c>
      <c r="B1087">
        <v>34</v>
      </c>
      <c r="C1087" t="s">
        <v>12</v>
      </c>
      <c r="D1087" s="1">
        <v>45318</v>
      </c>
      <c r="E1087" s="1">
        <v>45327</v>
      </c>
      <c r="F1087" t="s">
        <v>18</v>
      </c>
      <c r="G1087" t="s">
        <v>23</v>
      </c>
      <c r="H1087">
        <v>9</v>
      </c>
      <c r="I1087" t="s">
        <v>20</v>
      </c>
      <c r="J1087">
        <v>3</v>
      </c>
      <c r="K1087" t="s">
        <v>21</v>
      </c>
      <c r="L1087" t="s">
        <v>22</v>
      </c>
    </row>
    <row r="1088" spans="1:12" x14ac:dyDescent="0.25">
      <c r="A1088">
        <v>1087</v>
      </c>
      <c r="B1088">
        <v>67</v>
      </c>
      <c r="C1088" t="s">
        <v>12</v>
      </c>
      <c r="D1088" s="1">
        <v>45416</v>
      </c>
      <c r="E1088" s="1">
        <v>45425</v>
      </c>
      <c r="F1088" t="s">
        <v>13</v>
      </c>
      <c r="G1088" t="s">
        <v>23</v>
      </c>
      <c r="H1088">
        <v>9</v>
      </c>
      <c r="I1088" t="s">
        <v>15</v>
      </c>
      <c r="J1088">
        <v>3</v>
      </c>
      <c r="K1088" t="s">
        <v>24</v>
      </c>
      <c r="L1088" t="s">
        <v>22</v>
      </c>
    </row>
    <row r="1089" spans="1:12" x14ac:dyDescent="0.25">
      <c r="A1089">
        <v>1088</v>
      </c>
      <c r="B1089">
        <v>30</v>
      </c>
      <c r="C1089" t="s">
        <v>26</v>
      </c>
      <c r="D1089" s="1">
        <v>45365</v>
      </c>
      <c r="E1089" s="1">
        <v>45369</v>
      </c>
      <c r="F1089" t="s">
        <v>27</v>
      </c>
      <c r="G1089" t="s">
        <v>19</v>
      </c>
      <c r="H1089">
        <v>4</v>
      </c>
      <c r="I1089" t="s">
        <v>15</v>
      </c>
      <c r="J1089">
        <v>4</v>
      </c>
      <c r="K1089" t="s">
        <v>16</v>
      </c>
      <c r="L1089" t="s">
        <v>25</v>
      </c>
    </row>
    <row r="1090" spans="1:12" x14ac:dyDescent="0.25">
      <c r="A1090">
        <v>1089</v>
      </c>
      <c r="B1090">
        <v>81</v>
      </c>
      <c r="C1090" t="s">
        <v>12</v>
      </c>
      <c r="D1090" s="1">
        <v>45651</v>
      </c>
      <c r="E1090" s="1">
        <v>45664</v>
      </c>
      <c r="F1090" t="s">
        <v>18</v>
      </c>
      <c r="G1090" t="s">
        <v>14</v>
      </c>
      <c r="H1090">
        <v>13</v>
      </c>
      <c r="I1090" t="s">
        <v>15</v>
      </c>
      <c r="J1090">
        <v>3</v>
      </c>
      <c r="K1090" t="s">
        <v>24</v>
      </c>
      <c r="L1090" t="s">
        <v>22</v>
      </c>
    </row>
    <row r="1091" spans="1:12" x14ac:dyDescent="0.25">
      <c r="A1091">
        <v>1090</v>
      </c>
      <c r="B1091">
        <v>84</v>
      </c>
      <c r="C1091" t="s">
        <v>12</v>
      </c>
      <c r="D1091" s="1">
        <v>45547</v>
      </c>
      <c r="E1091" s="1">
        <v>45562</v>
      </c>
      <c r="F1091" t="s">
        <v>13</v>
      </c>
      <c r="G1091" t="s">
        <v>14</v>
      </c>
      <c r="H1091">
        <v>15</v>
      </c>
      <c r="I1091" t="s">
        <v>15</v>
      </c>
      <c r="J1091">
        <v>4</v>
      </c>
      <c r="K1091" t="s">
        <v>21</v>
      </c>
      <c r="L1091" t="s">
        <v>25</v>
      </c>
    </row>
    <row r="1092" spans="1:12" x14ac:dyDescent="0.25">
      <c r="A1092">
        <v>1091</v>
      </c>
      <c r="B1092">
        <v>82</v>
      </c>
      <c r="C1092" t="s">
        <v>12</v>
      </c>
      <c r="D1092" s="1">
        <v>45381</v>
      </c>
      <c r="E1092" s="1">
        <v>45383</v>
      </c>
      <c r="F1092" t="s">
        <v>27</v>
      </c>
      <c r="G1092" t="s">
        <v>14</v>
      </c>
      <c r="H1092">
        <v>2</v>
      </c>
      <c r="I1092" t="s">
        <v>15</v>
      </c>
      <c r="J1092">
        <v>1</v>
      </c>
      <c r="K1092" t="s">
        <v>16</v>
      </c>
      <c r="L1092" t="s">
        <v>25</v>
      </c>
    </row>
    <row r="1093" spans="1:12" x14ac:dyDescent="0.25">
      <c r="A1093">
        <v>1092</v>
      </c>
      <c r="B1093">
        <v>65</v>
      </c>
      <c r="C1093" t="s">
        <v>26</v>
      </c>
      <c r="D1093" s="1">
        <v>45316</v>
      </c>
      <c r="E1093" s="1">
        <v>45322</v>
      </c>
      <c r="F1093" t="s">
        <v>31</v>
      </c>
      <c r="G1093" t="s">
        <v>19</v>
      </c>
      <c r="H1093">
        <v>6</v>
      </c>
      <c r="I1093" t="s">
        <v>15</v>
      </c>
      <c r="J1093">
        <v>2</v>
      </c>
      <c r="K1093" t="s">
        <v>16</v>
      </c>
      <c r="L1093" t="s">
        <v>17</v>
      </c>
    </row>
    <row r="1094" spans="1:12" x14ac:dyDescent="0.25">
      <c r="A1094">
        <v>1093</v>
      </c>
      <c r="B1094">
        <v>64</v>
      </c>
      <c r="C1094" t="s">
        <v>26</v>
      </c>
      <c r="D1094" s="1">
        <v>45392</v>
      </c>
      <c r="E1094" s="1">
        <v>45395</v>
      </c>
      <c r="F1094" t="s">
        <v>28</v>
      </c>
      <c r="G1094" t="s">
        <v>14</v>
      </c>
      <c r="H1094">
        <v>3</v>
      </c>
      <c r="I1094" t="s">
        <v>15</v>
      </c>
      <c r="J1094">
        <v>3</v>
      </c>
      <c r="K1094" t="s">
        <v>24</v>
      </c>
      <c r="L1094" t="s">
        <v>17</v>
      </c>
    </row>
    <row r="1095" spans="1:12" x14ac:dyDescent="0.25">
      <c r="A1095">
        <v>1094</v>
      </c>
      <c r="B1095">
        <v>36</v>
      </c>
      <c r="C1095" t="s">
        <v>12</v>
      </c>
      <c r="D1095" s="1">
        <v>45549</v>
      </c>
      <c r="E1095" s="1">
        <v>45563</v>
      </c>
      <c r="F1095" t="s">
        <v>13</v>
      </c>
      <c r="G1095" t="s">
        <v>19</v>
      </c>
      <c r="H1095">
        <v>14</v>
      </c>
      <c r="I1095" t="s">
        <v>15</v>
      </c>
      <c r="J1095">
        <v>0</v>
      </c>
      <c r="K1095" t="s">
        <v>21</v>
      </c>
      <c r="L1095" t="s">
        <v>25</v>
      </c>
    </row>
    <row r="1096" spans="1:12" x14ac:dyDescent="0.25">
      <c r="A1096">
        <v>1095</v>
      </c>
      <c r="B1096">
        <v>64</v>
      </c>
      <c r="C1096" t="s">
        <v>26</v>
      </c>
      <c r="D1096" s="1">
        <v>45373</v>
      </c>
      <c r="E1096" s="1">
        <v>45374</v>
      </c>
      <c r="F1096" t="s">
        <v>18</v>
      </c>
      <c r="G1096" t="s">
        <v>23</v>
      </c>
      <c r="H1096">
        <v>1</v>
      </c>
      <c r="I1096" t="s">
        <v>15</v>
      </c>
      <c r="J1096">
        <v>0</v>
      </c>
      <c r="K1096" t="s">
        <v>16</v>
      </c>
      <c r="L1096" t="s">
        <v>22</v>
      </c>
    </row>
    <row r="1097" spans="1:12" x14ac:dyDescent="0.25">
      <c r="A1097">
        <v>1096</v>
      </c>
      <c r="B1097">
        <v>61</v>
      </c>
      <c r="C1097" t="s">
        <v>12</v>
      </c>
      <c r="D1097" s="1">
        <v>45513</v>
      </c>
      <c r="E1097" s="1">
        <v>45522</v>
      </c>
      <c r="F1097" t="s">
        <v>31</v>
      </c>
      <c r="G1097" t="s">
        <v>19</v>
      </c>
      <c r="H1097">
        <v>9</v>
      </c>
      <c r="I1097" t="s">
        <v>20</v>
      </c>
      <c r="J1097">
        <v>0</v>
      </c>
      <c r="K1097" t="s">
        <v>24</v>
      </c>
      <c r="L1097" t="s">
        <v>25</v>
      </c>
    </row>
    <row r="1098" spans="1:12" x14ac:dyDescent="0.25">
      <c r="A1098">
        <v>1097</v>
      </c>
      <c r="B1098">
        <v>75</v>
      </c>
      <c r="C1098" t="s">
        <v>26</v>
      </c>
      <c r="D1098" s="1">
        <v>45325</v>
      </c>
      <c r="E1098" s="1">
        <v>45330</v>
      </c>
      <c r="F1098" t="s">
        <v>13</v>
      </c>
      <c r="G1098" t="s">
        <v>23</v>
      </c>
      <c r="H1098">
        <v>5</v>
      </c>
      <c r="I1098" t="s">
        <v>15</v>
      </c>
      <c r="J1098">
        <v>3</v>
      </c>
      <c r="K1098" t="s">
        <v>16</v>
      </c>
      <c r="L1098" t="s">
        <v>29</v>
      </c>
    </row>
    <row r="1099" spans="1:12" x14ac:dyDescent="0.25">
      <c r="A1099">
        <v>1098</v>
      </c>
      <c r="B1099">
        <v>53</v>
      </c>
      <c r="C1099" t="s">
        <v>12</v>
      </c>
      <c r="D1099" s="1">
        <v>45334</v>
      </c>
      <c r="E1099" s="1">
        <v>45340</v>
      </c>
      <c r="F1099" t="s">
        <v>31</v>
      </c>
      <c r="G1099" t="s">
        <v>14</v>
      </c>
      <c r="H1099">
        <v>6</v>
      </c>
      <c r="I1099" t="s">
        <v>20</v>
      </c>
      <c r="J1099">
        <v>4</v>
      </c>
      <c r="K1099" t="s">
        <v>16</v>
      </c>
      <c r="L1099" t="s">
        <v>29</v>
      </c>
    </row>
    <row r="1100" spans="1:12" x14ac:dyDescent="0.25">
      <c r="A1100">
        <v>1099</v>
      </c>
      <c r="B1100">
        <v>60</v>
      </c>
      <c r="C1100" t="s">
        <v>12</v>
      </c>
      <c r="D1100" s="1">
        <v>45391</v>
      </c>
      <c r="E1100" s="1">
        <v>45397</v>
      </c>
      <c r="F1100" t="s">
        <v>31</v>
      </c>
      <c r="G1100" t="s">
        <v>19</v>
      </c>
      <c r="H1100">
        <v>6</v>
      </c>
      <c r="I1100" t="s">
        <v>20</v>
      </c>
      <c r="J1100">
        <v>1</v>
      </c>
      <c r="K1100" t="s">
        <v>21</v>
      </c>
      <c r="L1100" t="s">
        <v>29</v>
      </c>
    </row>
    <row r="1101" spans="1:12" x14ac:dyDescent="0.25">
      <c r="A1101">
        <v>1100</v>
      </c>
      <c r="B1101">
        <v>22</v>
      </c>
      <c r="C1101" t="s">
        <v>12</v>
      </c>
      <c r="D1101" s="1">
        <v>45607</v>
      </c>
      <c r="E1101" s="1">
        <v>45614</v>
      </c>
      <c r="F1101" t="s">
        <v>27</v>
      </c>
      <c r="G1101" t="s">
        <v>19</v>
      </c>
      <c r="H1101">
        <v>7</v>
      </c>
      <c r="I1101" t="s">
        <v>15</v>
      </c>
      <c r="J1101">
        <v>1</v>
      </c>
      <c r="K1101" t="s">
        <v>21</v>
      </c>
      <c r="L1101" t="s">
        <v>29</v>
      </c>
    </row>
    <row r="1102" spans="1:12" x14ac:dyDescent="0.25">
      <c r="A1102">
        <v>1101</v>
      </c>
      <c r="B1102">
        <v>20</v>
      </c>
      <c r="C1102" t="s">
        <v>12</v>
      </c>
      <c r="D1102" s="1">
        <v>45499</v>
      </c>
      <c r="E1102" s="1">
        <v>45502</v>
      </c>
      <c r="F1102" t="s">
        <v>13</v>
      </c>
      <c r="G1102" t="s">
        <v>14</v>
      </c>
      <c r="H1102">
        <v>3</v>
      </c>
      <c r="I1102" t="s">
        <v>20</v>
      </c>
      <c r="J1102">
        <v>4</v>
      </c>
      <c r="K1102" t="s">
        <v>21</v>
      </c>
      <c r="L1102" t="s">
        <v>29</v>
      </c>
    </row>
    <row r="1103" spans="1:12" x14ac:dyDescent="0.25">
      <c r="A1103">
        <v>1102</v>
      </c>
      <c r="B1103">
        <v>76</v>
      </c>
      <c r="C1103" t="s">
        <v>26</v>
      </c>
      <c r="D1103" s="1">
        <v>45345</v>
      </c>
      <c r="E1103" s="1">
        <v>45356</v>
      </c>
      <c r="F1103" t="s">
        <v>27</v>
      </c>
      <c r="G1103" t="s">
        <v>19</v>
      </c>
      <c r="H1103">
        <v>11</v>
      </c>
      <c r="I1103" t="s">
        <v>15</v>
      </c>
      <c r="J1103">
        <v>0</v>
      </c>
      <c r="K1103" t="s">
        <v>16</v>
      </c>
      <c r="L1103" t="s">
        <v>17</v>
      </c>
    </row>
    <row r="1104" spans="1:12" x14ac:dyDescent="0.25">
      <c r="A1104">
        <v>1103</v>
      </c>
      <c r="B1104">
        <v>21</v>
      </c>
      <c r="C1104" t="s">
        <v>12</v>
      </c>
      <c r="D1104" s="1">
        <v>45532</v>
      </c>
      <c r="E1104" s="1">
        <v>45541</v>
      </c>
      <c r="F1104" t="s">
        <v>13</v>
      </c>
      <c r="G1104" t="s">
        <v>23</v>
      </c>
      <c r="H1104">
        <v>9</v>
      </c>
      <c r="I1104" t="s">
        <v>15</v>
      </c>
      <c r="J1104">
        <v>0</v>
      </c>
      <c r="K1104" t="s">
        <v>16</v>
      </c>
      <c r="L1104" t="s">
        <v>17</v>
      </c>
    </row>
    <row r="1105" spans="1:12" x14ac:dyDescent="0.25">
      <c r="A1105">
        <v>1104</v>
      </c>
      <c r="B1105">
        <v>40</v>
      </c>
      <c r="C1105" t="s">
        <v>26</v>
      </c>
      <c r="D1105" s="1">
        <v>45652</v>
      </c>
      <c r="E1105" s="1">
        <v>45661</v>
      </c>
      <c r="F1105" t="s">
        <v>28</v>
      </c>
      <c r="G1105" t="s">
        <v>14</v>
      </c>
      <c r="H1105">
        <v>9</v>
      </c>
      <c r="I1105" t="s">
        <v>15</v>
      </c>
      <c r="J1105">
        <v>0</v>
      </c>
      <c r="K1105" t="s">
        <v>16</v>
      </c>
      <c r="L1105" t="s">
        <v>29</v>
      </c>
    </row>
    <row r="1106" spans="1:12" x14ac:dyDescent="0.25">
      <c r="A1106">
        <v>1105</v>
      </c>
      <c r="B1106">
        <v>44</v>
      </c>
      <c r="C1106" t="s">
        <v>12</v>
      </c>
      <c r="D1106" s="1">
        <v>45500</v>
      </c>
      <c r="E1106" s="1">
        <v>45501</v>
      </c>
      <c r="F1106" t="s">
        <v>18</v>
      </c>
      <c r="G1106" t="s">
        <v>14</v>
      </c>
      <c r="H1106">
        <v>1</v>
      </c>
      <c r="I1106" t="s">
        <v>20</v>
      </c>
      <c r="J1106">
        <v>1</v>
      </c>
      <c r="K1106" t="s">
        <v>21</v>
      </c>
      <c r="L1106" t="s">
        <v>30</v>
      </c>
    </row>
    <row r="1107" spans="1:12" x14ac:dyDescent="0.25">
      <c r="A1107">
        <v>1106</v>
      </c>
      <c r="B1107">
        <v>71</v>
      </c>
      <c r="C1107" t="s">
        <v>12</v>
      </c>
      <c r="D1107" s="1">
        <v>45444</v>
      </c>
      <c r="E1107" s="1">
        <v>45451</v>
      </c>
      <c r="F1107" t="s">
        <v>31</v>
      </c>
      <c r="G1107" t="s">
        <v>19</v>
      </c>
      <c r="H1107">
        <v>7</v>
      </c>
      <c r="I1107" t="s">
        <v>15</v>
      </c>
      <c r="J1107">
        <v>2</v>
      </c>
      <c r="K1107" t="s">
        <v>21</v>
      </c>
      <c r="L1107" t="s">
        <v>25</v>
      </c>
    </row>
    <row r="1108" spans="1:12" x14ac:dyDescent="0.25">
      <c r="A1108">
        <v>1107</v>
      </c>
      <c r="B1108">
        <v>67</v>
      </c>
      <c r="C1108" t="s">
        <v>26</v>
      </c>
      <c r="D1108" s="1">
        <v>45550</v>
      </c>
      <c r="E1108" s="1">
        <v>45557</v>
      </c>
      <c r="F1108" t="s">
        <v>31</v>
      </c>
      <c r="G1108" t="s">
        <v>23</v>
      </c>
      <c r="H1108">
        <v>7</v>
      </c>
      <c r="I1108" t="s">
        <v>15</v>
      </c>
      <c r="J1108">
        <v>2</v>
      </c>
      <c r="K1108" t="s">
        <v>16</v>
      </c>
      <c r="L1108" t="s">
        <v>22</v>
      </c>
    </row>
    <row r="1109" spans="1:12" x14ac:dyDescent="0.25">
      <c r="A1109">
        <v>1108</v>
      </c>
      <c r="B1109">
        <v>34</v>
      </c>
      <c r="C1109" t="s">
        <v>26</v>
      </c>
      <c r="D1109" s="1">
        <v>45425</v>
      </c>
      <c r="E1109" s="1">
        <v>45434</v>
      </c>
      <c r="F1109" t="s">
        <v>13</v>
      </c>
      <c r="G1109" t="s">
        <v>23</v>
      </c>
      <c r="H1109">
        <v>9</v>
      </c>
      <c r="I1109" t="s">
        <v>15</v>
      </c>
      <c r="J1109">
        <v>4</v>
      </c>
      <c r="K1109" t="s">
        <v>16</v>
      </c>
      <c r="L1109" t="s">
        <v>25</v>
      </c>
    </row>
    <row r="1110" spans="1:12" x14ac:dyDescent="0.25">
      <c r="A1110">
        <v>1109</v>
      </c>
      <c r="B1110">
        <v>64</v>
      </c>
      <c r="C1110" t="s">
        <v>12</v>
      </c>
      <c r="D1110" s="1">
        <v>45571</v>
      </c>
      <c r="E1110" s="1">
        <v>45573</v>
      </c>
      <c r="F1110" t="s">
        <v>18</v>
      </c>
      <c r="G1110" t="s">
        <v>23</v>
      </c>
      <c r="H1110">
        <v>2</v>
      </c>
      <c r="I1110" t="s">
        <v>15</v>
      </c>
      <c r="J1110">
        <v>0</v>
      </c>
      <c r="K1110" t="s">
        <v>24</v>
      </c>
      <c r="L1110" t="s">
        <v>30</v>
      </c>
    </row>
    <row r="1111" spans="1:12" x14ac:dyDescent="0.25">
      <c r="A1111">
        <v>1110</v>
      </c>
      <c r="B1111">
        <v>90</v>
      </c>
      <c r="C1111" t="s">
        <v>26</v>
      </c>
      <c r="D1111" s="1">
        <v>45630</v>
      </c>
      <c r="E1111" s="1">
        <v>45642</v>
      </c>
      <c r="F1111" t="s">
        <v>28</v>
      </c>
      <c r="G1111" t="s">
        <v>14</v>
      </c>
      <c r="H1111">
        <v>12</v>
      </c>
      <c r="I1111" t="s">
        <v>20</v>
      </c>
      <c r="J1111">
        <v>4</v>
      </c>
      <c r="K1111" t="s">
        <v>21</v>
      </c>
      <c r="L1111" t="s">
        <v>17</v>
      </c>
    </row>
    <row r="1112" spans="1:12" x14ac:dyDescent="0.25">
      <c r="A1112">
        <v>1111</v>
      </c>
      <c r="B1112">
        <v>41</v>
      </c>
      <c r="C1112" t="s">
        <v>12</v>
      </c>
      <c r="D1112" s="1">
        <v>45297</v>
      </c>
      <c r="E1112" s="1">
        <v>45312</v>
      </c>
      <c r="F1112" t="s">
        <v>28</v>
      </c>
      <c r="G1112" t="s">
        <v>19</v>
      </c>
      <c r="H1112">
        <v>15</v>
      </c>
      <c r="I1112" t="s">
        <v>15</v>
      </c>
      <c r="J1112">
        <v>3</v>
      </c>
      <c r="K1112" t="s">
        <v>24</v>
      </c>
      <c r="L1112" t="s">
        <v>29</v>
      </c>
    </row>
    <row r="1113" spans="1:12" x14ac:dyDescent="0.25">
      <c r="A1113">
        <v>1112</v>
      </c>
      <c r="B1113">
        <v>36</v>
      </c>
      <c r="C1113" t="s">
        <v>26</v>
      </c>
      <c r="D1113" s="1">
        <v>45495</v>
      </c>
      <c r="E1113" s="1">
        <v>45508</v>
      </c>
      <c r="F1113" t="s">
        <v>28</v>
      </c>
      <c r="G1113" t="s">
        <v>19</v>
      </c>
      <c r="H1113">
        <v>13</v>
      </c>
      <c r="I1113" t="s">
        <v>15</v>
      </c>
      <c r="J1113">
        <v>0</v>
      </c>
      <c r="K1113" t="s">
        <v>21</v>
      </c>
      <c r="L1113" t="s">
        <v>17</v>
      </c>
    </row>
    <row r="1114" spans="1:12" x14ac:dyDescent="0.25">
      <c r="A1114">
        <v>1113</v>
      </c>
      <c r="B1114">
        <v>52</v>
      </c>
      <c r="C1114" t="s">
        <v>12</v>
      </c>
      <c r="D1114" s="1">
        <v>45437</v>
      </c>
      <c r="E1114" s="1">
        <v>45440</v>
      </c>
      <c r="F1114" t="s">
        <v>13</v>
      </c>
      <c r="G1114" t="s">
        <v>23</v>
      </c>
      <c r="H1114">
        <v>3</v>
      </c>
      <c r="I1114" t="s">
        <v>20</v>
      </c>
      <c r="J1114">
        <v>2</v>
      </c>
      <c r="K1114" t="s">
        <v>21</v>
      </c>
      <c r="L1114" t="s">
        <v>25</v>
      </c>
    </row>
    <row r="1115" spans="1:12" x14ac:dyDescent="0.25">
      <c r="A1115">
        <v>1114</v>
      </c>
      <c r="B1115">
        <v>64</v>
      </c>
      <c r="C1115" t="s">
        <v>12</v>
      </c>
      <c r="D1115" s="1">
        <v>45647</v>
      </c>
      <c r="E1115" s="1">
        <v>45648</v>
      </c>
      <c r="F1115" t="s">
        <v>18</v>
      </c>
      <c r="G1115" t="s">
        <v>23</v>
      </c>
      <c r="H1115">
        <v>1</v>
      </c>
      <c r="I1115" t="s">
        <v>15</v>
      </c>
      <c r="J1115">
        <v>1</v>
      </c>
      <c r="K1115" t="s">
        <v>24</v>
      </c>
      <c r="L1115" t="s">
        <v>25</v>
      </c>
    </row>
    <row r="1116" spans="1:12" x14ac:dyDescent="0.25">
      <c r="A1116">
        <v>1115</v>
      </c>
      <c r="B1116">
        <v>22</v>
      </c>
      <c r="C1116" t="s">
        <v>12</v>
      </c>
      <c r="D1116" s="1">
        <v>45516</v>
      </c>
      <c r="E1116" s="1">
        <v>45521</v>
      </c>
      <c r="F1116" t="s">
        <v>31</v>
      </c>
      <c r="G1116" t="s">
        <v>14</v>
      </c>
      <c r="H1116">
        <v>5</v>
      </c>
      <c r="I1116" t="s">
        <v>15</v>
      </c>
      <c r="J1116">
        <v>3</v>
      </c>
      <c r="K1116" t="s">
        <v>24</v>
      </c>
      <c r="L1116" t="s">
        <v>25</v>
      </c>
    </row>
    <row r="1117" spans="1:12" x14ac:dyDescent="0.25">
      <c r="A1117">
        <v>1116</v>
      </c>
      <c r="B1117">
        <v>81</v>
      </c>
      <c r="C1117" t="s">
        <v>12</v>
      </c>
      <c r="D1117" s="1">
        <v>45581</v>
      </c>
      <c r="E1117" s="1">
        <v>45588</v>
      </c>
      <c r="F1117" t="s">
        <v>13</v>
      </c>
      <c r="G1117" t="s">
        <v>23</v>
      </c>
      <c r="H1117">
        <v>7</v>
      </c>
      <c r="I1117" t="s">
        <v>15</v>
      </c>
      <c r="J1117">
        <v>2</v>
      </c>
      <c r="K1117" t="s">
        <v>16</v>
      </c>
      <c r="L1117" t="s">
        <v>22</v>
      </c>
    </row>
    <row r="1118" spans="1:12" x14ac:dyDescent="0.25">
      <c r="A1118">
        <v>1117</v>
      </c>
      <c r="B1118">
        <v>38</v>
      </c>
      <c r="C1118" t="s">
        <v>26</v>
      </c>
      <c r="D1118" s="1">
        <v>45474</v>
      </c>
      <c r="E1118" s="1">
        <v>45475</v>
      </c>
      <c r="F1118" t="s">
        <v>28</v>
      </c>
      <c r="G1118" t="s">
        <v>14</v>
      </c>
      <c r="H1118">
        <v>1</v>
      </c>
      <c r="I1118" t="s">
        <v>20</v>
      </c>
      <c r="J1118">
        <v>0</v>
      </c>
      <c r="K1118" t="s">
        <v>24</v>
      </c>
      <c r="L1118" t="s">
        <v>29</v>
      </c>
    </row>
    <row r="1119" spans="1:12" x14ac:dyDescent="0.25">
      <c r="A1119">
        <v>1118</v>
      </c>
      <c r="B1119">
        <v>87</v>
      </c>
      <c r="C1119" t="s">
        <v>26</v>
      </c>
      <c r="D1119" s="1">
        <v>45336</v>
      </c>
      <c r="E1119" s="1">
        <v>45338</v>
      </c>
      <c r="F1119" t="s">
        <v>28</v>
      </c>
      <c r="G1119" t="s">
        <v>19</v>
      </c>
      <c r="H1119">
        <v>2</v>
      </c>
      <c r="I1119" t="s">
        <v>20</v>
      </c>
      <c r="J1119">
        <v>1</v>
      </c>
      <c r="K1119" t="s">
        <v>21</v>
      </c>
      <c r="L1119" t="s">
        <v>25</v>
      </c>
    </row>
    <row r="1120" spans="1:12" x14ac:dyDescent="0.25">
      <c r="A1120">
        <v>1119</v>
      </c>
      <c r="B1120">
        <v>89</v>
      </c>
      <c r="C1120" t="s">
        <v>26</v>
      </c>
      <c r="D1120" s="1">
        <v>45650</v>
      </c>
      <c r="E1120" s="1">
        <v>45664</v>
      </c>
      <c r="F1120" t="s">
        <v>18</v>
      </c>
      <c r="G1120" t="s">
        <v>19</v>
      </c>
      <c r="H1120">
        <v>14</v>
      </c>
      <c r="I1120" t="s">
        <v>20</v>
      </c>
      <c r="J1120">
        <v>4</v>
      </c>
      <c r="K1120" t="s">
        <v>16</v>
      </c>
      <c r="L1120" t="s">
        <v>22</v>
      </c>
    </row>
    <row r="1121" spans="1:12" x14ac:dyDescent="0.25">
      <c r="A1121">
        <v>1120</v>
      </c>
      <c r="B1121">
        <v>54</v>
      </c>
      <c r="C1121" t="s">
        <v>12</v>
      </c>
      <c r="D1121" s="1">
        <v>45474</v>
      </c>
      <c r="E1121" s="1">
        <v>45475</v>
      </c>
      <c r="F1121" t="s">
        <v>27</v>
      </c>
      <c r="G1121" t="s">
        <v>14</v>
      </c>
      <c r="H1121">
        <v>1</v>
      </c>
      <c r="I1121" t="s">
        <v>20</v>
      </c>
      <c r="J1121">
        <v>0</v>
      </c>
      <c r="K1121" t="s">
        <v>16</v>
      </c>
      <c r="L1121" t="s">
        <v>25</v>
      </c>
    </row>
    <row r="1122" spans="1:12" x14ac:dyDescent="0.25">
      <c r="A1122">
        <v>1121</v>
      </c>
      <c r="B1122">
        <v>62</v>
      </c>
      <c r="C1122" t="s">
        <v>26</v>
      </c>
      <c r="D1122" s="1">
        <v>45543</v>
      </c>
      <c r="E1122" s="1">
        <v>45551</v>
      </c>
      <c r="F1122" t="s">
        <v>31</v>
      </c>
      <c r="G1122" t="s">
        <v>14</v>
      </c>
      <c r="H1122">
        <v>8</v>
      </c>
      <c r="I1122" t="s">
        <v>15</v>
      </c>
      <c r="J1122">
        <v>1</v>
      </c>
      <c r="K1122" t="s">
        <v>16</v>
      </c>
      <c r="L1122" t="s">
        <v>25</v>
      </c>
    </row>
    <row r="1123" spans="1:12" x14ac:dyDescent="0.25">
      <c r="A1123">
        <v>1122</v>
      </c>
      <c r="B1123">
        <v>41</v>
      </c>
      <c r="C1123" t="s">
        <v>26</v>
      </c>
      <c r="D1123" s="1">
        <v>45412</v>
      </c>
      <c r="E1123" s="1">
        <v>45414</v>
      </c>
      <c r="F1123" t="s">
        <v>28</v>
      </c>
      <c r="G1123" t="s">
        <v>23</v>
      </c>
      <c r="H1123">
        <v>2</v>
      </c>
      <c r="I1123" t="s">
        <v>15</v>
      </c>
      <c r="J1123">
        <v>4</v>
      </c>
      <c r="K1123" t="s">
        <v>24</v>
      </c>
      <c r="L1123" t="s">
        <v>29</v>
      </c>
    </row>
    <row r="1124" spans="1:12" x14ac:dyDescent="0.25">
      <c r="A1124">
        <v>1123</v>
      </c>
      <c r="B1124">
        <v>89</v>
      </c>
      <c r="C1124" t="s">
        <v>12</v>
      </c>
      <c r="D1124" s="1">
        <v>45496</v>
      </c>
      <c r="E1124" s="1">
        <v>45510</v>
      </c>
      <c r="F1124" t="s">
        <v>28</v>
      </c>
      <c r="G1124" t="s">
        <v>23</v>
      </c>
      <c r="H1124">
        <v>14</v>
      </c>
      <c r="I1124" t="s">
        <v>15</v>
      </c>
      <c r="J1124">
        <v>0</v>
      </c>
      <c r="K1124" t="s">
        <v>21</v>
      </c>
      <c r="L1124" t="s">
        <v>30</v>
      </c>
    </row>
    <row r="1125" spans="1:12" x14ac:dyDescent="0.25">
      <c r="A1125">
        <v>1124</v>
      </c>
      <c r="B1125">
        <v>66</v>
      </c>
      <c r="C1125" t="s">
        <v>12</v>
      </c>
      <c r="D1125" s="1">
        <v>45556</v>
      </c>
      <c r="E1125" s="1">
        <v>45563</v>
      </c>
      <c r="F1125" t="s">
        <v>18</v>
      </c>
      <c r="G1125" t="s">
        <v>14</v>
      </c>
      <c r="H1125">
        <v>7</v>
      </c>
      <c r="I1125" t="s">
        <v>15</v>
      </c>
      <c r="J1125">
        <v>4</v>
      </c>
      <c r="K1125" t="s">
        <v>21</v>
      </c>
      <c r="L1125" t="s">
        <v>30</v>
      </c>
    </row>
    <row r="1126" spans="1:12" x14ac:dyDescent="0.25">
      <c r="A1126">
        <v>1125</v>
      </c>
      <c r="B1126">
        <v>66</v>
      </c>
      <c r="C1126" t="s">
        <v>26</v>
      </c>
      <c r="D1126" s="1">
        <v>45436</v>
      </c>
      <c r="E1126" s="1">
        <v>45438</v>
      </c>
      <c r="F1126" t="s">
        <v>13</v>
      </c>
      <c r="G1126" t="s">
        <v>19</v>
      </c>
      <c r="H1126">
        <v>2</v>
      </c>
      <c r="I1126" t="s">
        <v>15</v>
      </c>
      <c r="J1126">
        <v>2</v>
      </c>
      <c r="K1126" t="s">
        <v>16</v>
      </c>
      <c r="L1126" t="s">
        <v>29</v>
      </c>
    </row>
    <row r="1127" spans="1:12" x14ac:dyDescent="0.25">
      <c r="A1127">
        <v>1126</v>
      </c>
      <c r="B1127">
        <v>28</v>
      </c>
      <c r="C1127" t="s">
        <v>12</v>
      </c>
      <c r="D1127" s="1">
        <v>45482</v>
      </c>
      <c r="E1127" s="1">
        <v>45487</v>
      </c>
      <c r="F1127" t="s">
        <v>28</v>
      </c>
      <c r="G1127" t="s">
        <v>23</v>
      </c>
      <c r="H1127">
        <v>5</v>
      </c>
      <c r="I1127" t="s">
        <v>15</v>
      </c>
      <c r="J1127">
        <v>4</v>
      </c>
      <c r="K1127" t="s">
        <v>16</v>
      </c>
      <c r="L1127" t="s">
        <v>30</v>
      </c>
    </row>
    <row r="1128" spans="1:12" x14ac:dyDescent="0.25">
      <c r="A1128">
        <v>1127</v>
      </c>
      <c r="B1128">
        <v>35</v>
      </c>
      <c r="C1128" t="s">
        <v>12</v>
      </c>
      <c r="D1128" s="1">
        <v>45615</v>
      </c>
      <c r="E1128" s="1">
        <v>45630</v>
      </c>
      <c r="F1128" t="s">
        <v>18</v>
      </c>
      <c r="G1128" t="s">
        <v>14</v>
      </c>
      <c r="H1128">
        <v>15</v>
      </c>
      <c r="I1128" t="s">
        <v>20</v>
      </c>
      <c r="J1128">
        <v>2</v>
      </c>
      <c r="K1128" t="s">
        <v>16</v>
      </c>
      <c r="L1128" t="s">
        <v>17</v>
      </c>
    </row>
    <row r="1129" spans="1:12" x14ac:dyDescent="0.25">
      <c r="A1129">
        <v>1128</v>
      </c>
      <c r="B1129">
        <v>57</v>
      </c>
      <c r="C1129" t="s">
        <v>12</v>
      </c>
      <c r="D1129" s="1">
        <v>45330</v>
      </c>
      <c r="E1129" s="1">
        <v>45338</v>
      </c>
      <c r="F1129" t="s">
        <v>27</v>
      </c>
      <c r="G1129" t="s">
        <v>19</v>
      </c>
      <c r="H1129">
        <v>8</v>
      </c>
      <c r="I1129" t="s">
        <v>15</v>
      </c>
      <c r="J1129">
        <v>2</v>
      </c>
      <c r="K1129" t="s">
        <v>21</v>
      </c>
      <c r="L1129" t="s">
        <v>22</v>
      </c>
    </row>
    <row r="1130" spans="1:12" x14ac:dyDescent="0.25">
      <c r="A1130">
        <v>1129</v>
      </c>
      <c r="B1130">
        <v>39</v>
      </c>
      <c r="C1130" t="s">
        <v>12</v>
      </c>
      <c r="D1130" s="1">
        <v>45409</v>
      </c>
      <c r="E1130" s="1">
        <v>45410</v>
      </c>
      <c r="F1130" t="s">
        <v>31</v>
      </c>
      <c r="G1130" t="s">
        <v>14</v>
      </c>
      <c r="H1130">
        <v>1</v>
      </c>
      <c r="I1130" t="s">
        <v>15</v>
      </c>
      <c r="J1130">
        <v>0</v>
      </c>
      <c r="K1130" t="s">
        <v>21</v>
      </c>
      <c r="L1130" t="s">
        <v>30</v>
      </c>
    </row>
    <row r="1131" spans="1:12" x14ac:dyDescent="0.25">
      <c r="A1131">
        <v>1130</v>
      </c>
      <c r="B1131">
        <v>52</v>
      </c>
      <c r="C1131" t="s">
        <v>12</v>
      </c>
      <c r="D1131" s="1">
        <v>45357</v>
      </c>
      <c r="E1131" s="1">
        <v>45371</v>
      </c>
      <c r="F1131" t="s">
        <v>28</v>
      </c>
      <c r="G1131" t="s">
        <v>23</v>
      </c>
      <c r="H1131">
        <v>14</v>
      </c>
      <c r="I1131" t="s">
        <v>15</v>
      </c>
      <c r="J1131">
        <v>0</v>
      </c>
      <c r="K1131" t="s">
        <v>21</v>
      </c>
      <c r="L1131" t="s">
        <v>22</v>
      </c>
    </row>
    <row r="1132" spans="1:12" x14ac:dyDescent="0.25">
      <c r="A1132">
        <v>1131</v>
      </c>
      <c r="B1132">
        <v>25</v>
      </c>
      <c r="C1132" t="s">
        <v>12</v>
      </c>
      <c r="D1132" s="1">
        <v>45353</v>
      </c>
      <c r="E1132" s="1">
        <v>45368</v>
      </c>
      <c r="F1132" t="s">
        <v>18</v>
      </c>
      <c r="G1132" t="s">
        <v>14</v>
      </c>
      <c r="H1132">
        <v>15</v>
      </c>
      <c r="I1132" t="s">
        <v>15</v>
      </c>
      <c r="J1132">
        <v>2</v>
      </c>
      <c r="K1132" t="s">
        <v>16</v>
      </c>
      <c r="L1132" t="s">
        <v>30</v>
      </c>
    </row>
    <row r="1133" spans="1:12" x14ac:dyDescent="0.25">
      <c r="A1133">
        <v>1132</v>
      </c>
      <c r="B1133">
        <v>56</v>
      </c>
      <c r="C1133" t="s">
        <v>26</v>
      </c>
      <c r="D1133" s="1">
        <v>45405</v>
      </c>
      <c r="E1133" s="1">
        <v>45411</v>
      </c>
      <c r="F1133" t="s">
        <v>28</v>
      </c>
      <c r="G1133" t="s">
        <v>19</v>
      </c>
      <c r="H1133">
        <v>6</v>
      </c>
      <c r="I1133" t="s">
        <v>20</v>
      </c>
      <c r="J1133">
        <v>1</v>
      </c>
      <c r="K1133" t="s">
        <v>24</v>
      </c>
      <c r="L1133" t="s">
        <v>22</v>
      </c>
    </row>
    <row r="1134" spans="1:12" x14ac:dyDescent="0.25">
      <c r="A1134">
        <v>1133</v>
      </c>
      <c r="B1134">
        <v>21</v>
      </c>
      <c r="C1134" t="s">
        <v>26</v>
      </c>
      <c r="D1134" s="1">
        <v>45539</v>
      </c>
      <c r="E1134" s="1">
        <v>45550</v>
      </c>
      <c r="F1134" t="s">
        <v>28</v>
      </c>
      <c r="G1134" t="s">
        <v>14</v>
      </c>
      <c r="H1134">
        <v>11</v>
      </c>
      <c r="I1134" t="s">
        <v>15</v>
      </c>
      <c r="J1134">
        <v>2</v>
      </c>
      <c r="K1134" t="s">
        <v>21</v>
      </c>
      <c r="L1134" t="s">
        <v>25</v>
      </c>
    </row>
    <row r="1135" spans="1:12" x14ac:dyDescent="0.25">
      <c r="A1135">
        <v>1134</v>
      </c>
      <c r="B1135">
        <v>50</v>
      </c>
      <c r="C1135" t="s">
        <v>26</v>
      </c>
      <c r="D1135" s="1">
        <v>45550</v>
      </c>
      <c r="E1135" s="1">
        <v>45559</v>
      </c>
      <c r="F1135" t="s">
        <v>28</v>
      </c>
      <c r="G1135" t="s">
        <v>14</v>
      </c>
      <c r="H1135">
        <v>9</v>
      </c>
      <c r="I1135" t="s">
        <v>15</v>
      </c>
      <c r="J1135">
        <v>0</v>
      </c>
      <c r="K1135" t="s">
        <v>21</v>
      </c>
      <c r="L1135" t="s">
        <v>17</v>
      </c>
    </row>
    <row r="1136" spans="1:12" x14ac:dyDescent="0.25">
      <c r="A1136">
        <v>1135</v>
      </c>
      <c r="B1136">
        <v>86</v>
      </c>
      <c r="C1136" t="s">
        <v>26</v>
      </c>
      <c r="D1136" s="1">
        <v>45575</v>
      </c>
      <c r="E1136" s="1">
        <v>45579</v>
      </c>
      <c r="F1136" t="s">
        <v>13</v>
      </c>
      <c r="G1136" t="s">
        <v>19</v>
      </c>
      <c r="H1136">
        <v>4</v>
      </c>
      <c r="I1136" t="s">
        <v>15</v>
      </c>
      <c r="J1136">
        <v>3</v>
      </c>
      <c r="K1136" t="s">
        <v>24</v>
      </c>
      <c r="L1136" t="s">
        <v>29</v>
      </c>
    </row>
    <row r="1137" spans="1:12" x14ac:dyDescent="0.25">
      <c r="A1137">
        <v>1136</v>
      </c>
      <c r="B1137">
        <v>46</v>
      </c>
      <c r="C1137" t="s">
        <v>12</v>
      </c>
      <c r="D1137" s="1">
        <v>45296</v>
      </c>
      <c r="E1137" s="1">
        <v>45305</v>
      </c>
      <c r="F1137" t="s">
        <v>13</v>
      </c>
      <c r="G1137" t="s">
        <v>14</v>
      </c>
      <c r="H1137">
        <v>9</v>
      </c>
      <c r="I1137" t="s">
        <v>20</v>
      </c>
      <c r="J1137">
        <v>1</v>
      </c>
      <c r="K1137" t="s">
        <v>16</v>
      </c>
      <c r="L1137" t="s">
        <v>22</v>
      </c>
    </row>
    <row r="1138" spans="1:12" x14ac:dyDescent="0.25">
      <c r="A1138">
        <v>1137</v>
      </c>
      <c r="B1138">
        <v>48</v>
      </c>
      <c r="C1138" t="s">
        <v>26</v>
      </c>
      <c r="D1138" s="1">
        <v>45355</v>
      </c>
      <c r="E1138" s="1">
        <v>45359</v>
      </c>
      <c r="F1138" t="s">
        <v>13</v>
      </c>
      <c r="G1138" t="s">
        <v>19</v>
      </c>
      <c r="H1138">
        <v>4</v>
      </c>
      <c r="I1138" t="s">
        <v>15</v>
      </c>
      <c r="J1138">
        <v>1</v>
      </c>
      <c r="K1138" t="s">
        <v>21</v>
      </c>
      <c r="L1138" t="s">
        <v>22</v>
      </c>
    </row>
    <row r="1139" spans="1:12" x14ac:dyDescent="0.25">
      <c r="A1139">
        <v>1138</v>
      </c>
      <c r="B1139">
        <v>75</v>
      </c>
      <c r="C1139" t="s">
        <v>26</v>
      </c>
      <c r="D1139" s="1">
        <v>45296</v>
      </c>
      <c r="E1139" s="1">
        <v>45302</v>
      </c>
      <c r="F1139" t="s">
        <v>27</v>
      </c>
      <c r="G1139" t="s">
        <v>19</v>
      </c>
      <c r="H1139">
        <v>6</v>
      </c>
      <c r="I1139" t="s">
        <v>15</v>
      </c>
      <c r="J1139">
        <v>3</v>
      </c>
      <c r="K1139" t="s">
        <v>24</v>
      </c>
      <c r="L1139" t="s">
        <v>25</v>
      </c>
    </row>
    <row r="1140" spans="1:12" x14ac:dyDescent="0.25">
      <c r="A1140">
        <v>1139</v>
      </c>
      <c r="B1140">
        <v>56</v>
      </c>
      <c r="C1140" t="s">
        <v>26</v>
      </c>
      <c r="D1140" s="1">
        <v>45310</v>
      </c>
      <c r="E1140" s="1">
        <v>45321</v>
      </c>
      <c r="F1140" t="s">
        <v>18</v>
      </c>
      <c r="G1140" t="s">
        <v>14</v>
      </c>
      <c r="H1140">
        <v>11</v>
      </c>
      <c r="I1140" t="s">
        <v>15</v>
      </c>
      <c r="J1140">
        <v>4</v>
      </c>
      <c r="K1140" t="s">
        <v>21</v>
      </c>
      <c r="L1140" t="s">
        <v>17</v>
      </c>
    </row>
    <row r="1141" spans="1:12" x14ac:dyDescent="0.25">
      <c r="A1141">
        <v>1140</v>
      </c>
      <c r="B1141">
        <v>65</v>
      </c>
      <c r="C1141" t="s">
        <v>26</v>
      </c>
      <c r="D1141" s="1">
        <v>45603</v>
      </c>
      <c r="E1141" s="1">
        <v>45608</v>
      </c>
      <c r="F1141" t="s">
        <v>31</v>
      </c>
      <c r="G1141" t="s">
        <v>19</v>
      </c>
      <c r="H1141">
        <v>5</v>
      </c>
      <c r="I1141" t="s">
        <v>20</v>
      </c>
      <c r="J1141">
        <v>4</v>
      </c>
      <c r="K1141" t="s">
        <v>16</v>
      </c>
      <c r="L1141" t="s">
        <v>25</v>
      </c>
    </row>
    <row r="1142" spans="1:12" x14ac:dyDescent="0.25">
      <c r="A1142">
        <v>1141</v>
      </c>
      <c r="B1142">
        <v>68</v>
      </c>
      <c r="C1142" t="s">
        <v>26</v>
      </c>
      <c r="D1142" s="1">
        <v>45640</v>
      </c>
      <c r="E1142" s="1">
        <v>45643</v>
      </c>
      <c r="F1142" t="s">
        <v>28</v>
      </c>
      <c r="G1142" t="s">
        <v>23</v>
      </c>
      <c r="H1142">
        <v>3</v>
      </c>
      <c r="I1142" t="s">
        <v>20</v>
      </c>
      <c r="J1142">
        <v>0</v>
      </c>
      <c r="K1142" t="s">
        <v>24</v>
      </c>
      <c r="L1142" t="s">
        <v>25</v>
      </c>
    </row>
    <row r="1143" spans="1:12" x14ac:dyDescent="0.25">
      <c r="A1143">
        <v>1142</v>
      </c>
      <c r="B1143">
        <v>23</v>
      </c>
      <c r="C1143" t="s">
        <v>26</v>
      </c>
      <c r="D1143" s="1">
        <v>45537</v>
      </c>
      <c r="E1143" s="1">
        <v>45543</v>
      </c>
      <c r="F1143" t="s">
        <v>31</v>
      </c>
      <c r="G1143" t="s">
        <v>19</v>
      </c>
      <c r="H1143">
        <v>6</v>
      </c>
      <c r="I1143" t="s">
        <v>20</v>
      </c>
      <c r="J1143">
        <v>4</v>
      </c>
      <c r="K1143" t="s">
        <v>21</v>
      </c>
      <c r="L1143" t="s">
        <v>22</v>
      </c>
    </row>
    <row r="1144" spans="1:12" x14ac:dyDescent="0.25">
      <c r="A1144">
        <v>1143</v>
      </c>
      <c r="B1144">
        <v>43</v>
      </c>
      <c r="C1144" t="s">
        <v>12</v>
      </c>
      <c r="D1144" s="1">
        <v>45379</v>
      </c>
      <c r="E1144" s="1">
        <v>45384</v>
      </c>
      <c r="F1144" t="s">
        <v>27</v>
      </c>
      <c r="G1144" t="s">
        <v>23</v>
      </c>
      <c r="H1144">
        <v>5</v>
      </c>
      <c r="I1144" t="s">
        <v>15</v>
      </c>
      <c r="J1144">
        <v>3</v>
      </c>
      <c r="K1144" t="s">
        <v>24</v>
      </c>
      <c r="L1144" t="s">
        <v>17</v>
      </c>
    </row>
    <row r="1145" spans="1:12" x14ac:dyDescent="0.25">
      <c r="A1145">
        <v>1144</v>
      </c>
      <c r="B1145">
        <v>66</v>
      </c>
      <c r="C1145" t="s">
        <v>26</v>
      </c>
      <c r="D1145" s="1">
        <v>45459</v>
      </c>
      <c r="E1145" s="1">
        <v>45466</v>
      </c>
      <c r="F1145" t="s">
        <v>28</v>
      </c>
      <c r="G1145" t="s">
        <v>23</v>
      </c>
      <c r="H1145">
        <v>7</v>
      </c>
      <c r="I1145" t="s">
        <v>15</v>
      </c>
      <c r="J1145">
        <v>4</v>
      </c>
      <c r="K1145" t="s">
        <v>21</v>
      </c>
      <c r="L1145" t="s">
        <v>29</v>
      </c>
    </row>
    <row r="1146" spans="1:12" x14ac:dyDescent="0.25">
      <c r="A1146">
        <v>1145</v>
      </c>
      <c r="B1146">
        <v>47</v>
      </c>
      <c r="C1146" t="s">
        <v>26</v>
      </c>
      <c r="D1146" s="1">
        <v>45325</v>
      </c>
      <c r="E1146" s="1">
        <v>45337</v>
      </c>
      <c r="F1146" t="s">
        <v>18</v>
      </c>
      <c r="G1146" t="s">
        <v>14</v>
      </c>
      <c r="H1146">
        <v>12</v>
      </c>
      <c r="I1146" t="s">
        <v>15</v>
      </c>
      <c r="J1146">
        <v>3</v>
      </c>
      <c r="K1146" t="s">
        <v>24</v>
      </c>
      <c r="L1146" t="s">
        <v>25</v>
      </c>
    </row>
    <row r="1147" spans="1:12" x14ac:dyDescent="0.25">
      <c r="A1147">
        <v>1146</v>
      </c>
      <c r="B1147">
        <v>82</v>
      </c>
      <c r="C1147" t="s">
        <v>26</v>
      </c>
      <c r="D1147" s="1">
        <v>45454</v>
      </c>
      <c r="E1147" s="1">
        <v>45468</v>
      </c>
      <c r="F1147" t="s">
        <v>18</v>
      </c>
      <c r="G1147" t="s">
        <v>23</v>
      </c>
      <c r="H1147">
        <v>14</v>
      </c>
      <c r="I1147" t="s">
        <v>20</v>
      </c>
      <c r="J1147">
        <v>0</v>
      </c>
      <c r="K1147" t="s">
        <v>16</v>
      </c>
      <c r="L1147" t="s">
        <v>29</v>
      </c>
    </row>
    <row r="1148" spans="1:12" x14ac:dyDescent="0.25">
      <c r="A1148">
        <v>1147</v>
      </c>
      <c r="B1148">
        <v>29</v>
      </c>
      <c r="C1148" t="s">
        <v>12</v>
      </c>
      <c r="D1148" s="1">
        <v>45381</v>
      </c>
      <c r="E1148" s="1">
        <v>45387</v>
      </c>
      <c r="F1148" t="s">
        <v>18</v>
      </c>
      <c r="G1148" t="s">
        <v>23</v>
      </c>
      <c r="H1148">
        <v>6</v>
      </c>
      <c r="I1148" t="s">
        <v>20</v>
      </c>
      <c r="J1148">
        <v>2</v>
      </c>
      <c r="K1148" t="s">
        <v>24</v>
      </c>
      <c r="L1148" t="s">
        <v>30</v>
      </c>
    </row>
    <row r="1149" spans="1:12" x14ac:dyDescent="0.25">
      <c r="A1149">
        <v>1148</v>
      </c>
      <c r="B1149">
        <v>33</v>
      </c>
      <c r="C1149" t="s">
        <v>12</v>
      </c>
      <c r="D1149" s="1">
        <v>45502</v>
      </c>
      <c r="E1149" s="1">
        <v>45503</v>
      </c>
      <c r="F1149" t="s">
        <v>27</v>
      </c>
      <c r="G1149" t="s">
        <v>14</v>
      </c>
      <c r="H1149">
        <v>1</v>
      </c>
      <c r="I1149" t="s">
        <v>15</v>
      </c>
      <c r="J1149">
        <v>3</v>
      </c>
      <c r="K1149" t="s">
        <v>16</v>
      </c>
      <c r="L1149" t="s">
        <v>17</v>
      </c>
    </row>
    <row r="1150" spans="1:12" x14ac:dyDescent="0.25">
      <c r="A1150">
        <v>1149</v>
      </c>
      <c r="B1150">
        <v>28</v>
      </c>
      <c r="C1150" t="s">
        <v>26</v>
      </c>
      <c r="D1150" s="1">
        <v>45648</v>
      </c>
      <c r="E1150" s="1">
        <v>45652</v>
      </c>
      <c r="F1150" t="s">
        <v>31</v>
      </c>
      <c r="G1150" t="s">
        <v>14</v>
      </c>
      <c r="H1150">
        <v>4</v>
      </c>
      <c r="I1150" t="s">
        <v>15</v>
      </c>
      <c r="J1150">
        <v>0</v>
      </c>
      <c r="K1150" t="s">
        <v>21</v>
      </c>
      <c r="L1150" t="s">
        <v>30</v>
      </c>
    </row>
    <row r="1151" spans="1:12" x14ac:dyDescent="0.25">
      <c r="A1151">
        <v>1150</v>
      </c>
      <c r="B1151">
        <v>75</v>
      </c>
      <c r="C1151" t="s">
        <v>26</v>
      </c>
      <c r="D1151" s="1">
        <v>45419</v>
      </c>
      <c r="E1151" s="1">
        <v>45426</v>
      </c>
      <c r="F1151" t="s">
        <v>27</v>
      </c>
      <c r="G1151" t="s">
        <v>14</v>
      </c>
      <c r="H1151">
        <v>7</v>
      </c>
      <c r="I1151" t="s">
        <v>15</v>
      </c>
      <c r="J1151">
        <v>3</v>
      </c>
      <c r="K1151" t="s">
        <v>16</v>
      </c>
      <c r="L1151" t="s">
        <v>30</v>
      </c>
    </row>
    <row r="1152" spans="1:12" x14ac:dyDescent="0.25">
      <c r="A1152">
        <v>1151</v>
      </c>
      <c r="B1152">
        <v>57</v>
      </c>
      <c r="C1152" t="s">
        <v>12</v>
      </c>
      <c r="D1152" s="1">
        <v>45504</v>
      </c>
      <c r="E1152" s="1">
        <v>45511</v>
      </c>
      <c r="F1152" t="s">
        <v>13</v>
      </c>
      <c r="G1152" t="s">
        <v>19</v>
      </c>
      <c r="H1152">
        <v>7</v>
      </c>
      <c r="I1152" t="s">
        <v>20</v>
      </c>
      <c r="J1152">
        <v>2</v>
      </c>
      <c r="K1152" t="s">
        <v>21</v>
      </c>
      <c r="L1152" t="s">
        <v>29</v>
      </c>
    </row>
    <row r="1153" spans="1:12" x14ac:dyDescent="0.25">
      <c r="A1153">
        <v>1152</v>
      </c>
      <c r="B1153">
        <v>55</v>
      </c>
      <c r="C1153" t="s">
        <v>12</v>
      </c>
      <c r="D1153" s="1">
        <v>45487</v>
      </c>
      <c r="E1153" s="1">
        <v>45502</v>
      </c>
      <c r="F1153" t="s">
        <v>31</v>
      </c>
      <c r="G1153" t="s">
        <v>14</v>
      </c>
      <c r="H1153">
        <v>15</v>
      </c>
      <c r="I1153" t="s">
        <v>15</v>
      </c>
      <c r="J1153">
        <v>0</v>
      </c>
      <c r="K1153" t="s">
        <v>21</v>
      </c>
      <c r="L1153" t="s">
        <v>25</v>
      </c>
    </row>
    <row r="1154" spans="1:12" x14ac:dyDescent="0.25">
      <c r="A1154">
        <v>1153</v>
      </c>
      <c r="B1154">
        <v>31</v>
      </c>
      <c r="C1154" t="s">
        <v>12</v>
      </c>
      <c r="D1154" s="1">
        <v>45479</v>
      </c>
      <c r="E1154" s="1">
        <v>45483</v>
      </c>
      <c r="F1154" t="s">
        <v>28</v>
      </c>
      <c r="G1154" t="s">
        <v>23</v>
      </c>
      <c r="H1154">
        <v>4</v>
      </c>
      <c r="I1154" t="s">
        <v>15</v>
      </c>
      <c r="J1154">
        <v>1</v>
      </c>
      <c r="K1154" t="s">
        <v>16</v>
      </c>
      <c r="L1154" t="s">
        <v>22</v>
      </c>
    </row>
    <row r="1155" spans="1:12" x14ac:dyDescent="0.25">
      <c r="A1155">
        <v>1154</v>
      </c>
      <c r="B1155">
        <v>90</v>
      </c>
      <c r="C1155" t="s">
        <v>12</v>
      </c>
      <c r="D1155" s="1">
        <v>45409</v>
      </c>
      <c r="E1155" s="1">
        <v>45414</v>
      </c>
      <c r="F1155" t="s">
        <v>27</v>
      </c>
      <c r="G1155" t="s">
        <v>23</v>
      </c>
      <c r="H1155">
        <v>5</v>
      </c>
      <c r="I1155" t="s">
        <v>20</v>
      </c>
      <c r="J1155">
        <v>1</v>
      </c>
      <c r="K1155" t="s">
        <v>24</v>
      </c>
      <c r="L1155" t="s">
        <v>22</v>
      </c>
    </row>
    <row r="1156" spans="1:12" x14ac:dyDescent="0.25">
      <c r="A1156">
        <v>1155</v>
      </c>
      <c r="B1156">
        <v>20</v>
      </c>
      <c r="C1156" t="s">
        <v>12</v>
      </c>
      <c r="D1156" s="1">
        <v>45586</v>
      </c>
      <c r="E1156" s="1">
        <v>45600</v>
      </c>
      <c r="F1156" t="s">
        <v>31</v>
      </c>
      <c r="G1156" t="s">
        <v>23</v>
      </c>
      <c r="H1156">
        <v>14</v>
      </c>
      <c r="I1156" t="s">
        <v>15</v>
      </c>
      <c r="J1156">
        <v>2</v>
      </c>
      <c r="K1156" t="s">
        <v>16</v>
      </c>
      <c r="L1156" t="s">
        <v>29</v>
      </c>
    </row>
    <row r="1157" spans="1:12" x14ac:dyDescent="0.25">
      <c r="A1157">
        <v>1156</v>
      </c>
      <c r="B1157">
        <v>22</v>
      </c>
      <c r="C1157" t="s">
        <v>26</v>
      </c>
      <c r="D1157" s="1">
        <v>45625</v>
      </c>
      <c r="E1157" s="1">
        <v>45640</v>
      </c>
      <c r="F1157" t="s">
        <v>27</v>
      </c>
      <c r="G1157" t="s">
        <v>14</v>
      </c>
      <c r="H1157">
        <v>15</v>
      </c>
      <c r="I1157" t="s">
        <v>15</v>
      </c>
      <c r="J1157">
        <v>2</v>
      </c>
      <c r="K1157" t="s">
        <v>21</v>
      </c>
      <c r="L1157" t="s">
        <v>17</v>
      </c>
    </row>
    <row r="1158" spans="1:12" x14ac:dyDescent="0.25">
      <c r="A1158">
        <v>1157</v>
      </c>
      <c r="B1158">
        <v>76</v>
      </c>
      <c r="C1158" t="s">
        <v>12</v>
      </c>
      <c r="D1158" s="1">
        <v>45578</v>
      </c>
      <c r="E1158" s="1">
        <v>45581</v>
      </c>
      <c r="F1158" t="s">
        <v>27</v>
      </c>
      <c r="G1158" t="s">
        <v>23</v>
      </c>
      <c r="H1158">
        <v>3</v>
      </c>
      <c r="I1158" t="s">
        <v>20</v>
      </c>
      <c r="J1158">
        <v>0</v>
      </c>
      <c r="K1158" t="s">
        <v>24</v>
      </c>
      <c r="L1158" t="s">
        <v>17</v>
      </c>
    </row>
    <row r="1159" spans="1:12" x14ac:dyDescent="0.25">
      <c r="A1159">
        <v>1158</v>
      </c>
      <c r="B1159">
        <v>68</v>
      </c>
      <c r="C1159" t="s">
        <v>12</v>
      </c>
      <c r="D1159" s="1">
        <v>45487</v>
      </c>
      <c r="E1159" s="1">
        <v>45494</v>
      </c>
      <c r="F1159" t="s">
        <v>31</v>
      </c>
      <c r="G1159" t="s">
        <v>19</v>
      </c>
      <c r="H1159">
        <v>7</v>
      </c>
      <c r="I1159" t="s">
        <v>20</v>
      </c>
      <c r="J1159">
        <v>0</v>
      </c>
      <c r="K1159" t="s">
        <v>21</v>
      </c>
      <c r="L1159" t="s">
        <v>17</v>
      </c>
    </row>
    <row r="1160" spans="1:12" x14ac:dyDescent="0.25">
      <c r="A1160">
        <v>1159</v>
      </c>
      <c r="B1160">
        <v>54</v>
      </c>
      <c r="C1160" t="s">
        <v>12</v>
      </c>
      <c r="D1160" s="1">
        <v>45467</v>
      </c>
      <c r="E1160" s="1">
        <v>45482</v>
      </c>
      <c r="F1160" t="s">
        <v>13</v>
      </c>
      <c r="G1160" t="s">
        <v>19</v>
      </c>
      <c r="H1160">
        <v>15</v>
      </c>
      <c r="I1160" t="s">
        <v>15</v>
      </c>
      <c r="J1160">
        <v>4</v>
      </c>
      <c r="K1160" t="s">
        <v>24</v>
      </c>
      <c r="L1160" t="s">
        <v>25</v>
      </c>
    </row>
    <row r="1161" spans="1:12" x14ac:dyDescent="0.25">
      <c r="A1161">
        <v>1160</v>
      </c>
      <c r="B1161">
        <v>74</v>
      </c>
      <c r="C1161" t="s">
        <v>12</v>
      </c>
      <c r="D1161" s="1">
        <v>45320</v>
      </c>
      <c r="E1161" s="1">
        <v>45334</v>
      </c>
      <c r="F1161" t="s">
        <v>31</v>
      </c>
      <c r="G1161" t="s">
        <v>14</v>
      </c>
      <c r="H1161">
        <v>14</v>
      </c>
      <c r="I1161" t="s">
        <v>15</v>
      </c>
      <c r="J1161">
        <v>4</v>
      </c>
      <c r="K1161" t="s">
        <v>24</v>
      </c>
      <c r="L1161" t="s">
        <v>25</v>
      </c>
    </row>
    <row r="1162" spans="1:12" x14ac:dyDescent="0.25">
      <c r="A1162">
        <v>1161</v>
      </c>
      <c r="B1162">
        <v>73</v>
      </c>
      <c r="C1162" t="s">
        <v>26</v>
      </c>
      <c r="D1162" s="1">
        <v>45535</v>
      </c>
      <c r="E1162" s="1">
        <v>45547</v>
      </c>
      <c r="F1162" t="s">
        <v>18</v>
      </c>
      <c r="G1162" t="s">
        <v>14</v>
      </c>
      <c r="H1162">
        <v>12</v>
      </c>
      <c r="I1162" t="s">
        <v>15</v>
      </c>
      <c r="J1162">
        <v>4</v>
      </c>
      <c r="K1162" t="s">
        <v>21</v>
      </c>
      <c r="L1162" t="s">
        <v>22</v>
      </c>
    </row>
    <row r="1163" spans="1:12" x14ac:dyDescent="0.25">
      <c r="A1163">
        <v>1162</v>
      </c>
      <c r="B1163">
        <v>42</v>
      </c>
      <c r="C1163" t="s">
        <v>26</v>
      </c>
      <c r="D1163" s="1">
        <v>45471</v>
      </c>
      <c r="E1163" s="1">
        <v>45473</v>
      </c>
      <c r="F1163" t="s">
        <v>18</v>
      </c>
      <c r="G1163" t="s">
        <v>19</v>
      </c>
      <c r="H1163">
        <v>2</v>
      </c>
      <c r="I1163" t="s">
        <v>15</v>
      </c>
      <c r="J1163">
        <v>4</v>
      </c>
      <c r="K1163" t="s">
        <v>24</v>
      </c>
      <c r="L1163" t="s">
        <v>22</v>
      </c>
    </row>
    <row r="1164" spans="1:12" x14ac:dyDescent="0.25">
      <c r="A1164">
        <v>1163</v>
      </c>
      <c r="B1164">
        <v>46</v>
      </c>
      <c r="C1164" t="s">
        <v>26</v>
      </c>
      <c r="D1164" s="1">
        <v>45478</v>
      </c>
      <c r="E1164" s="1">
        <v>45493</v>
      </c>
      <c r="F1164" t="s">
        <v>27</v>
      </c>
      <c r="G1164" t="s">
        <v>19</v>
      </c>
      <c r="H1164">
        <v>15</v>
      </c>
      <c r="I1164" t="s">
        <v>15</v>
      </c>
      <c r="J1164">
        <v>2</v>
      </c>
      <c r="K1164" t="s">
        <v>16</v>
      </c>
      <c r="L1164" t="s">
        <v>17</v>
      </c>
    </row>
    <row r="1165" spans="1:12" x14ac:dyDescent="0.25">
      <c r="A1165">
        <v>1164</v>
      </c>
      <c r="B1165">
        <v>70</v>
      </c>
      <c r="C1165" t="s">
        <v>26</v>
      </c>
      <c r="D1165" s="1">
        <v>45619</v>
      </c>
      <c r="E1165" s="1">
        <v>45627</v>
      </c>
      <c r="F1165" t="s">
        <v>31</v>
      </c>
      <c r="G1165" t="s">
        <v>14</v>
      </c>
      <c r="H1165">
        <v>8</v>
      </c>
      <c r="I1165" t="s">
        <v>15</v>
      </c>
      <c r="J1165">
        <v>0</v>
      </c>
      <c r="K1165" t="s">
        <v>21</v>
      </c>
      <c r="L1165" t="s">
        <v>29</v>
      </c>
    </row>
    <row r="1166" spans="1:12" x14ac:dyDescent="0.25">
      <c r="A1166">
        <v>1165</v>
      </c>
      <c r="B1166">
        <v>27</v>
      </c>
      <c r="C1166" t="s">
        <v>12</v>
      </c>
      <c r="D1166" s="1">
        <v>45509</v>
      </c>
      <c r="E1166" s="1">
        <v>45523</v>
      </c>
      <c r="F1166" t="s">
        <v>27</v>
      </c>
      <c r="G1166" t="s">
        <v>19</v>
      </c>
      <c r="H1166">
        <v>14</v>
      </c>
      <c r="I1166" t="s">
        <v>15</v>
      </c>
      <c r="J1166">
        <v>0</v>
      </c>
      <c r="K1166" t="s">
        <v>24</v>
      </c>
      <c r="L1166" t="s">
        <v>22</v>
      </c>
    </row>
    <row r="1167" spans="1:12" x14ac:dyDescent="0.25">
      <c r="A1167">
        <v>1166</v>
      </c>
      <c r="B1167">
        <v>29</v>
      </c>
      <c r="C1167" t="s">
        <v>26</v>
      </c>
      <c r="D1167" s="1">
        <v>45489</v>
      </c>
      <c r="E1167" s="1">
        <v>45502</v>
      </c>
      <c r="F1167" t="s">
        <v>13</v>
      </c>
      <c r="G1167" t="s">
        <v>19</v>
      </c>
      <c r="H1167">
        <v>13</v>
      </c>
      <c r="I1167" t="s">
        <v>15</v>
      </c>
      <c r="J1167">
        <v>0</v>
      </c>
      <c r="K1167" t="s">
        <v>24</v>
      </c>
      <c r="L1167" t="s">
        <v>22</v>
      </c>
    </row>
    <row r="1168" spans="1:12" x14ac:dyDescent="0.25">
      <c r="A1168">
        <v>1167</v>
      </c>
      <c r="B1168">
        <v>88</v>
      </c>
      <c r="C1168" t="s">
        <v>26</v>
      </c>
      <c r="D1168" s="1">
        <v>45337</v>
      </c>
      <c r="E1168" s="1">
        <v>45340</v>
      </c>
      <c r="F1168" t="s">
        <v>31</v>
      </c>
      <c r="G1168" t="s">
        <v>14</v>
      </c>
      <c r="H1168">
        <v>3</v>
      </c>
      <c r="I1168" t="s">
        <v>15</v>
      </c>
      <c r="J1168">
        <v>4</v>
      </c>
      <c r="K1168" t="s">
        <v>16</v>
      </c>
      <c r="L1168" t="s">
        <v>30</v>
      </c>
    </row>
    <row r="1169" spans="1:12" x14ac:dyDescent="0.25">
      <c r="A1169">
        <v>1168</v>
      </c>
      <c r="B1169">
        <v>27</v>
      </c>
      <c r="C1169" t="s">
        <v>26</v>
      </c>
      <c r="D1169" s="1">
        <v>45305</v>
      </c>
      <c r="E1169" s="1">
        <v>45317</v>
      </c>
      <c r="F1169" t="s">
        <v>13</v>
      </c>
      <c r="G1169" t="s">
        <v>19</v>
      </c>
      <c r="H1169">
        <v>12</v>
      </c>
      <c r="I1169" t="s">
        <v>15</v>
      </c>
      <c r="J1169">
        <v>4</v>
      </c>
      <c r="K1169" t="s">
        <v>21</v>
      </c>
      <c r="L1169" t="s">
        <v>30</v>
      </c>
    </row>
    <row r="1170" spans="1:12" x14ac:dyDescent="0.25">
      <c r="A1170">
        <v>1169</v>
      </c>
      <c r="B1170">
        <v>56</v>
      </c>
      <c r="C1170" t="s">
        <v>26</v>
      </c>
      <c r="D1170" s="1">
        <v>45460</v>
      </c>
      <c r="E1170" s="1">
        <v>45468</v>
      </c>
      <c r="F1170" t="s">
        <v>27</v>
      </c>
      <c r="G1170" t="s">
        <v>14</v>
      </c>
      <c r="H1170">
        <v>8</v>
      </c>
      <c r="I1170" t="s">
        <v>15</v>
      </c>
      <c r="J1170">
        <v>1</v>
      </c>
      <c r="K1170" t="s">
        <v>24</v>
      </c>
      <c r="L1170" t="s">
        <v>25</v>
      </c>
    </row>
    <row r="1171" spans="1:12" x14ac:dyDescent="0.25">
      <c r="A1171">
        <v>1170</v>
      </c>
      <c r="B1171">
        <v>57</v>
      </c>
      <c r="C1171" t="s">
        <v>12</v>
      </c>
      <c r="D1171" s="1">
        <v>45590</v>
      </c>
      <c r="E1171" s="1">
        <v>45596</v>
      </c>
      <c r="F1171" t="s">
        <v>28</v>
      </c>
      <c r="G1171" t="s">
        <v>23</v>
      </c>
      <c r="H1171">
        <v>6</v>
      </c>
      <c r="I1171" t="s">
        <v>20</v>
      </c>
      <c r="J1171">
        <v>4</v>
      </c>
      <c r="K1171" t="s">
        <v>21</v>
      </c>
      <c r="L1171" t="s">
        <v>25</v>
      </c>
    </row>
    <row r="1172" spans="1:12" x14ac:dyDescent="0.25">
      <c r="A1172">
        <v>1171</v>
      </c>
      <c r="B1172">
        <v>23</v>
      </c>
      <c r="C1172" t="s">
        <v>26</v>
      </c>
      <c r="D1172" s="1">
        <v>45637</v>
      </c>
      <c r="E1172" s="1">
        <v>45651</v>
      </c>
      <c r="F1172" t="s">
        <v>13</v>
      </c>
      <c r="G1172" t="s">
        <v>23</v>
      </c>
      <c r="H1172">
        <v>14</v>
      </c>
      <c r="I1172" t="s">
        <v>15</v>
      </c>
      <c r="J1172">
        <v>2</v>
      </c>
      <c r="K1172" t="s">
        <v>16</v>
      </c>
      <c r="L1172" t="s">
        <v>17</v>
      </c>
    </row>
    <row r="1173" spans="1:12" x14ac:dyDescent="0.25">
      <c r="A1173">
        <v>1172</v>
      </c>
      <c r="B1173">
        <v>46</v>
      </c>
      <c r="C1173" t="s">
        <v>26</v>
      </c>
      <c r="D1173" s="1">
        <v>45653</v>
      </c>
      <c r="E1173" s="1">
        <v>45661</v>
      </c>
      <c r="F1173" t="s">
        <v>13</v>
      </c>
      <c r="G1173" t="s">
        <v>14</v>
      </c>
      <c r="H1173">
        <v>8</v>
      </c>
      <c r="I1173" t="s">
        <v>15</v>
      </c>
      <c r="J1173">
        <v>1</v>
      </c>
      <c r="K1173" t="s">
        <v>24</v>
      </c>
      <c r="L1173" t="s">
        <v>25</v>
      </c>
    </row>
    <row r="1174" spans="1:12" x14ac:dyDescent="0.25">
      <c r="A1174">
        <v>1173</v>
      </c>
      <c r="B1174">
        <v>33</v>
      </c>
      <c r="C1174" t="s">
        <v>12</v>
      </c>
      <c r="D1174" s="1">
        <v>45432</v>
      </c>
      <c r="E1174" s="1">
        <v>45435</v>
      </c>
      <c r="F1174" t="s">
        <v>18</v>
      </c>
      <c r="G1174" t="s">
        <v>19</v>
      </c>
      <c r="H1174">
        <v>3</v>
      </c>
      <c r="I1174" t="s">
        <v>15</v>
      </c>
      <c r="J1174">
        <v>0</v>
      </c>
      <c r="K1174" t="s">
        <v>24</v>
      </c>
      <c r="L1174" t="s">
        <v>25</v>
      </c>
    </row>
    <row r="1175" spans="1:12" x14ac:dyDescent="0.25">
      <c r="A1175">
        <v>1174</v>
      </c>
      <c r="B1175">
        <v>84</v>
      </c>
      <c r="C1175" t="s">
        <v>26</v>
      </c>
      <c r="D1175" s="1">
        <v>45489</v>
      </c>
      <c r="E1175" s="1">
        <v>45493</v>
      </c>
      <c r="F1175" t="s">
        <v>27</v>
      </c>
      <c r="G1175" t="s">
        <v>14</v>
      </c>
      <c r="H1175">
        <v>4</v>
      </c>
      <c r="I1175" t="s">
        <v>15</v>
      </c>
      <c r="J1175">
        <v>4</v>
      </c>
      <c r="K1175" t="s">
        <v>16</v>
      </c>
      <c r="L1175" t="s">
        <v>25</v>
      </c>
    </row>
    <row r="1176" spans="1:12" x14ac:dyDescent="0.25">
      <c r="A1176">
        <v>1175</v>
      </c>
      <c r="B1176">
        <v>41</v>
      </c>
      <c r="C1176" t="s">
        <v>12</v>
      </c>
      <c r="D1176" s="1">
        <v>45633</v>
      </c>
      <c r="E1176" s="1">
        <v>45634</v>
      </c>
      <c r="F1176" t="s">
        <v>13</v>
      </c>
      <c r="G1176" t="s">
        <v>23</v>
      </c>
      <c r="H1176">
        <v>1</v>
      </c>
      <c r="I1176" t="s">
        <v>15</v>
      </c>
      <c r="J1176">
        <v>2</v>
      </c>
      <c r="K1176" t="s">
        <v>24</v>
      </c>
      <c r="L1176" t="s">
        <v>25</v>
      </c>
    </row>
    <row r="1177" spans="1:12" x14ac:dyDescent="0.25">
      <c r="A1177">
        <v>1176</v>
      </c>
      <c r="B1177">
        <v>67</v>
      </c>
      <c r="C1177" t="s">
        <v>26</v>
      </c>
      <c r="D1177" s="1">
        <v>45344</v>
      </c>
      <c r="E1177" s="1">
        <v>45349</v>
      </c>
      <c r="F1177" t="s">
        <v>27</v>
      </c>
      <c r="G1177" t="s">
        <v>14</v>
      </c>
      <c r="H1177">
        <v>5</v>
      </c>
      <c r="I1177" t="s">
        <v>15</v>
      </c>
      <c r="J1177">
        <v>0</v>
      </c>
      <c r="K1177" t="s">
        <v>16</v>
      </c>
      <c r="L1177" t="s">
        <v>17</v>
      </c>
    </row>
    <row r="1178" spans="1:12" x14ac:dyDescent="0.25">
      <c r="A1178">
        <v>1177</v>
      </c>
      <c r="B1178">
        <v>43</v>
      </c>
      <c r="C1178" t="s">
        <v>12</v>
      </c>
      <c r="D1178" s="1">
        <v>45311</v>
      </c>
      <c r="E1178" s="1">
        <v>45313</v>
      </c>
      <c r="F1178" t="s">
        <v>13</v>
      </c>
      <c r="G1178" t="s">
        <v>19</v>
      </c>
      <c r="H1178">
        <v>2</v>
      </c>
      <c r="I1178" t="s">
        <v>20</v>
      </c>
      <c r="J1178">
        <v>0</v>
      </c>
      <c r="K1178" t="s">
        <v>16</v>
      </c>
      <c r="L1178" t="s">
        <v>25</v>
      </c>
    </row>
    <row r="1179" spans="1:12" x14ac:dyDescent="0.25">
      <c r="A1179">
        <v>1178</v>
      </c>
      <c r="B1179">
        <v>60</v>
      </c>
      <c r="C1179" t="s">
        <v>26</v>
      </c>
      <c r="D1179" s="1">
        <v>45456</v>
      </c>
      <c r="E1179" s="1">
        <v>45463</v>
      </c>
      <c r="F1179" t="s">
        <v>18</v>
      </c>
      <c r="G1179" t="s">
        <v>14</v>
      </c>
      <c r="H1179">
        <v>7</v>
      </c>
      <c r="I1179" t="s">
        <v>15</v>
      </c>
      <c r="J1179">
        <v>1</v>
      </c>
      <c r="K1179" t="s">
        <v>24</v>
      </c>
      <c r="L1179" t="s">
        <v>25</v>
      </c>
    </row>
    <row r="1180" spans="1:12" x14ac:dyDescent="0.25">
      <c r="A1180">
        <v>1179</v>
      </c>
      <c r="B1180">
        <v>70</v>
      </c>
      <c r="C1180" t="s">
        <v>12</v>
      </c>
      <c r="D1180" s="1">
        <v>45630</v>
      </c>
      <c r="E1180" s="1">
        <v>45640</v>
      </c>
      <c r="F1180" t="s">
        <v>31</v>
      </c>
      <c r="G1180" t="s">
        <v>19</v>
      </c>
      <c r="H1180">
        <v>10</v>
      </c>
      <c r="I1180" t="s">
        <v>15</v>
      </c>
      <c r="J1180">
        <v>1</v>
      </c>
      <c r="K1180" t="s">
        <v>16</v>
      </c>
      <c r="L1180" t="s">
        <v>30</v>
      </c>
    </row>
    <row r="1181" spans="1:12" x14ac:dyDescent="0.25">
      <c r="A1181">
        <v>1180</v>
      </c>
      <c r="B1181">
        <v>33</v>
      </c>
      <c r="C1181" t="s">
        <v>12</v>
      </c>
      <c r="D1181" s="1">
        <v>45307</v>
      </c>
      <c r="E1181" s="1">
        <v>45319</v>
      </c>
      <c r="F1181" t="s">
        <v>13</v>
      </c>
      <c r="G1181" t="s">
        <v>23</v>
      </c>
      <c r="H1181">
        <v>12</v>
      </c>
      <c r="I1181" t="s">
        <v>20</v>
      </c>
      <c r="J1181">
        <v>2</v>
      </c>
      <c r="K1181" t="s">
        <v>21</v>
      </c>
      <c r="L1181" t="s">
        <v>17</v>
      </c>
    </row>
    <row r="1182" spans="1:12" x14ac:dyDescent="0.25">
      <c r="A1182">
        <v>1181</v>
      </c>
      <c r="B1182">
        <v>64</v>
      </c>
      <c r="C1182" t="s">
        <v>12</v>
      </c>
      <c r="D1182" s="1">
        <v>45543</v>
      </c>
      <c r="E1182" s="1">
        <v>45557</v>
      </c>
      <c r="F1182" t="s">
        <v>27</v>
      </c>
      <c r="G1182" t="s">
        <v>19</v>
      </c>
      <c r="H1182">
        <v>14</v>
      </c>
      <c r="I1182" t="s">
        <v>20</v>
      </c>
      <c r="J1182">
        <v>3</v>
      </c>
      <c r="K1182" t="s">
        <v>21</v>
      </c>
      <c r="L1182" t="s">
        <v>29</v>
      </c>
    </row>
    <row r="1183" spans="1:12" x14ac:dyDescent="0.25">
      <c r="A1183">
        <v>1182</v>
      </c>
      <c r="B1183">
        <v>63</v>
      </c>
      <c r="C1183" t="s">
        <v>12</v>
      </c>
      <c r="D1183" s="1">
        <v>45330</v>
      </c>
      <c r="E1183" s="1">
        <v>45333</v>
      </c>
      <c r="F1183" t="s">
        <v>27</v>
      </c>
      <c r="G1183" t="s">
        <v>14</v>
      </c>
      <c r="H1183">
        <v>3</v>
      </c>
      <c r="I1183" t="s">
        <v>20</v>
      </c>
      <c r="J1183">
        <v>1</v>
      </c>
      <c r="K1183" t="s">
        <v>16</v>
      </c>
      <c r="L1183" t="s">
        <v>30</v>
      </c>
    </row>
    <row r="1184" spans="1:12" x14ac:dyDescent="0.25">
      <c r="A1184">
        <v>1183</v>
      </c>
      <c r="B1184">
        <v>48</v>
      </c>
      <c r="C1184" t="s">
        <v>26</v>
      </c>
      <c r="D1184" s="1">
        <v>45390</v>
      </c>
      <c r="E1184" s="1">
        <v>45396</v>
      </c>
      <c r="F1184" t="s">
        <v>13</v>
      </c>
      <c r="G1184" t="s">
        <v>19</v>
      </c>
      <c r="H1184">
        <v>6</v>
      </c>
      <c r="I1184" t="s">
        <v>15</v>
      </c>
      <c r="J1184">
        <v>3</v>
      </c>
      <c r="K1184" t="s">
        <v>24</v>
      </c>
      <c r="L1184" t="s">
        <v>29</v>
      </c>
    </row>
    <row r="1185" spans="1:12" x14ac:dyDescent="0.25">
      <c r="A1185">
        <v>1184</v>
      </c>
      <c r="B1185">
        <v>70</v>
      </c>
      <c r="C1185" t="s">
        <v>26</v>
      </c>
      <c r="D1185" s="1">
        <v>45295</v>
      </c>
      <c r="E1185" s="1">
        <v>45300</v>
      </c>
      <c r="F1185" t="s">
        <v>13</v>
      </c>
      <c r="G1185" t="s">
        <v>19</v>
      </c>
      <c r="H1185">
        <v>5</v>
      </c>
      <c r="I1185" t="s">
        <v>20</v>
      </c>
      <c r="J1185">
        <v>2</v>
      </c>
      <c r="K1185" t="s">
        <v>21</v>
      </c>
      <c r="L1185" t="s">
        <v>29</v>
      </c>
    </row>
    <row r="1186" spans="1:12" x14ac:dyDescent="0.25">
      <c r="A1186">
        <v>1185</v>
      </c>
      <c r="B1186">
        <v>24</v>
      </c>
      <c r="C1186" t="s">
        <v>26</v>
      </c>
      <c r="D1186" s="1">
        <v>45392</v>
      </c>
      <c r="E1186" s="1">
        <v>45405</v>
      </c>
      <c r="F1186" t="s">
        <v>28</v>
      </c>
      <c r="G1186" t="s">
        <v>19</v>
      </c>
      <c r="H1186">
        <v>13</v>
      </c>
      <c r="I1186" t="s">
        <v>20</v>
      </c>
      <c r="J1186">
        <v>0</v>
      </c>
      <c r="K1186" t="s">
        <v>21</v>
      </c>
      <c r="L1186" t="s">
        <v>30</v>
      </c>
    </row>
    <row r="1187" spans="1:12" x14ac:dyDescent="0.25">
      <c r="A1187">
        <v>1186</v>
      </c>
      <c r="B1187">
        <v>66</v>
      </c>
      <c r="C1187" t="s">
        <v>12</v>
      </c>
      <c r="D1187" s="1">
        <v>45525</v>
      </c>
      <c r="E1187" s="1">
        <v>45540</v>
      </c>
      <c r="F1187" t="s">
        <v>18</v>
      </c>
      <c r="G1187" t="s">
        <v>23</v>
      </c>
      <c r="H1187">
        <v>15</v>
      </c>
      <c r="I1187" t="s">
        <v>15</v>
      </c>
      <c r="J1187">
        <v>2</v>
      </c>
      <c r="K1187" t="s">
        <v>24</v>
      </c>
      <c r="L1187" t="s">
        <v>29</v>
      </c>
    </row>
    <row r="1188" spans="1:12" x14ac:dyDescent="0.25">
      <c r="A1188">
        <v>1187</v>
      </c>
      <c r="B1188">
        <v>20</v>
      </c>
      <c r="C1188" t="s">
        <v>26</v>
      </c>
      <c r="D1188" s="1">
        <v>45629</v>
      </c>
      <c r="E1188" s="1">
        <v>45641</v>
      </c>
      <c r="F1188" t="s">
        <v>31</v>
      </c>
      <c r="G1188" t="s">
        <v>19</v>
      </c>
      <c r="H1188">
        <v>12</v>
      </c>
      <c r="I1188" t="s">
        <v>20</v>
      </c>
      <c r="J1188">
        <v>3</v>
      </c>
      <c r="K1188" t="s">
        <v>21</v>
      </c>
      <c r="L1188" t="s">
        <v>30</v>
      </c>
    </row>
    <row r="1189" spans="1:12" x14ac:dyDescent="0.25">
      <c r="A1189">
        <v>1188</v>
      </c>
      <c r="B1189">
        <v>25</v>
      </c>
      <c r="C1189" t="s">
        <v>12</v>
      </c>
      <c r="D1189" s="1">
        <v>45586</v>
      </c>
      <c r="E1189" s="1">
        <v>45587</v>
      </c>
      <c r="F1189" t="s">
        <v>27</v>
      </c>
      <c r="G1189" t="s">
        <v>14</v>
      </c>
      <c r="H1189">
        <v>1</v>
      </c>
      <c r="I1189" t="s">
        <v>15</v>
      </c>
      <c r="J1189">
        <v>1</v>
      </c>
      <c r="K1189" t="s">
        <v>21</v>
      </c>
      <c r="L1189" t="s">
        <v>25</v>
      </c>
    </row>
    <row r="1190" spans="1:12" x14ac:dyDescent="0.25">
      <c r="A1190">
        <v>1189</v>
      </c>
      <c r="B1190">
        <v>75</v>
      </c>
      <c r="C1190" t="s">
        <v>12</v>
      </c>
      <c r="D1190" s="1">
        <v>45645</v>
      </c>
      <c r="E1190" s="1">
        <v>45651</v>
      </c>
      <c r="F1190" t="s">
        <v>18</v>
      </c>
      <c r="G1190" t="s">
        <v>19</v>
      </c>
      <c r="H1190">
        <v>6</v>
      </c>
      <c r="I1190" t="s">
        <v>15</v>
      </c>
      <c r="J1190">
        <v>0</v>
      </c>
      <c r="K1190" t="s">
        <v>16</v>
      </c>
      <c r="L1190" t="s">
        <v>17</v>
      </c>
    </row>
    <row r="1191" spans="1:12" x14ac:dyDescent="0.25">
      <c r="A1191">
        <v>1190</v>
      </c>
      <c r="B1191">
        <v>89</v>
      </c>
      <c r="C1191" t="s">
        <v>26</v>
      </c>
      <c r="D1191" s="1">
        <v>45647</v>
      </c>
      <c r="E1191" s="1">
        <v>45655</v>
      </c>
      <c r="F1191" t="s">
        <v>31</v>
      </c>
      <c r="G1191" t="s">
        <v>23</v>
      </c>
      <c r="H1191">
        <v>8</v>
      </c>
      <c r="I1191" t="s">
        <v>15</v>
      </c>
      <c r="J1191">
        <v>2</v>
      </c>
      <c r="K1191" t="s">
        <v>16</v>
      </c>
      <c r="L1191" t="s">
        <v>29</v>
      </c>
    </row>
    <row r="1192" spans="1:12" x14ac:dyDescent="0.25">
      <c r="A1192">
        <v>1191</v>
      </c>
      <c r="B1192">
        <v>90</v>
      </c>
      <c r="C1192" t="s">
        <v>12</v>
      </c>
      <c r="D1192" s="1">
        <v>45414</v>
      </c>
      <c r="E1192" s="1">
        <v>45425</v>
      </c>
      <c r="F1192" t="s">
        <v>28</v>
      </c>
      <c r="G1192" t="s">
        <v>14</v>
      </c>
      <c r="H1192">
        <v>11</v>
      </c>
      <c r="I1192" t="s">
        <v>20</v>
      </c>
      <c r="J1192">
        <v>3</v>
      </c>
      <c r="K1192" t="s">
        <v>16</v>
      </c>
      <c r="L1192" t="s">
        <v>25</v>
      </c>
    </row>
    <row r="1193" spans="1:12" x14ac:dyDescent="0.25">
      <c r="A1193">
        <v>1192</v>
      </c>
      <c r="B1193">
        <v>71</v>
      </c>
      <c r="C1193" t="s">
        <v>26</v>
      </c>
      <c r="D1193" s="1">
        <v>45335</v>
      </c>
      <c r="E1193" s="1">
        <v>45344</v>
      </c>
      <c r="F1193" t="s">
        <v>27</v>
      </c>
      <c r="G1193" t="s">
        <v>23</v>
      </c>
      <c r="H1193">
        <v>9</v>
      </c>
      <c r="I1193" t="s">
        <v>20</v>
      </c>
      <c r="J1193">
        <v>4</v>
      </c>
      <c r="K1193" t="s">
        <v>24</v>
      </c>
      <c r="L1193" t="s">
        <v>25</v>
      </c>
    </row>
    <row r="1194" spans="1:12" x14ac:dyDescent="0.25">
      <c r="A1194">
        <v>1193</v>
      </c>
      <c r="B1194">
        <v>81</v>
      </c>
      <c r="C1194" t="s">
        <v>12</v>
      </c>
      <c r="D1194" s="1">
        <v>45359</v>
      </c>
      <c r="E1194" s="1">
        <v>45362</v>
      </c>
      <c r="F1194" t="s">
        <v>18</v>
      </c>
      <c r="G1194" t="s">
        <v>23</v>
      </c>
      <c r="H1194">
        <v>3</v>
      </c>
      <c r="I1194" t="s">
        <v>15</v>
      </c>
      <c r="J1194">
        <v>0</v>
      </c>
      <c r="K1194" t="s">
        <v>16</v>
      </c>
      <c r="L1194" t="s">
        <v>30</v>
      </c>
    </row>
    <row r="1195" spans="1:12" x14ac:dyDescent="0.25">
      <c r="A1195">
        <v>1194</v>
      </c>
      <c r="B1195">
        <v>75</v>
      </c>
      <c r="C1195" t="s">
        <v>26</v>
      </c>
      <c r="D1195" s="1">
        <v>45489</v>
      </c>
      <c r="E1195" s="1">
        <v>45499</v>
      </c>
      <c r="F1195" t="s">
        <v>31</v>
      </c>
      <c r="G1195" t="s">
        <v>14</v>
      </c>
      <c r="H1195">
        <v>10</v>
      </c>
      <c r="I1195" t="s">
        <v>15</v>
      </c>
      <c r="J1195">
        <v>1</v>
      </c>
      <c r="K1195" t="s">
        <v>24</v>
      </c>
      <c r="L1195" t="s">
        <v>29</v>
      </c>
    </row>
    <row r="1196" spans="1:12" x14ac:dyDescent="0.25">
      <c r="A1196">
        <v>1195</v>
      </c>
      <c r="B1196">
        <v>38</v>
      </c>
      <c r="C1196" t="s">
        <v>26</v>
      </c>
      <c r="D1196" s="1">
        <v>45548</v>
      </c>
      <c r="E1196" s="1">
        <v>45557</v>
      </c>
      <c r="F1196" t="s">
        <v>18</v>
      </c>
      <c r="G1196" t="s">
        <v>14</v>
      </c>
      <c r="H1196">
        <v>9</v>
      </c>
      <c r="I1196" t="s">
        <v>20</v>
      </c>
      <c r="J1196">
        <v>2</v>
      </c>
      <c r="K1196" t="s">
        <v>21</v>
      </c>
      <c r="L1196" t="s">
        <v>29</v>
      </c>
    </row>
    <row r="1197" spans="1:12" x14ac:dyDescent="0.25">
      <c r="A1197">
        <v>1196</v>
      </c>
      <c r="B1197">
        <v>68</v>
      </c>
      <c r="C1197" t="s">
        <v>12</v>
      </c>
      <c r="D1197" s="1">
        <v>45295</v>
      </c>
      <c r="E1197" s="1">
        <v>45299</v>
      </c>
      <c r="F1197" t="s">
        <v>28</v>
      </c>
      <c r="G1197" t="s">
        <v>19</v>
      </c>
      <c r="H1197">
        <v>4</v>
      </c>
      <c r="I1197" t="s">
        <v>15</v>
      </c>
      <c r="J1197">
        <v>2</v>
      </c>
      <c r="K1197" t="s">
        <v>21</v>
      </c>
      <c r="L1197" t="s">
        <v>22</v>
      </c>
    </row>
    <row r="1198" spans="1:12" x14ac:dyDescent="0.25">
      <c r="A1198">
        <v>1197</v>
      </c>
      <c r="B1198">
        <v>50</v>
      </c>
      <c r="C1198" t="s">
        <v>12</v>
      </c>
      <c r="D1198" s="1">
        <v>45477</v>
      </c>
      <c r="E1198" s="1">
        <v>45491</v>
      </c>
      <c r="F1198" t="s">
        <v>28</v>
      </c>
      <c r="G1198" t="s">
        <v>19</v>
      </c>
      <c r="H1198">
        <v>14</v>
      </c>
      <c r="I1198" t="s">
        <v>20</v>
      </c>
      <c r="J1198">
        <v>3</v>
      </c>
      <c r="K1198" t="s">
        <v>21</v>
      </c>
      <c r="L1198" t="s">
        <v>29</v>
      </c>
    </row>
    <row r="1199" spans="1:12" x14ac:dyDescent="0.25">
      <c r="A1199">
        <v>1198</v>
      </c>
      <c r="B1199">
        <v>70</v>
      </c>
      <c r="C1199" t="s">
        <v>12</v>
      </c>
      <c r="D1199" s="1">
        <v>45598</v>
      </c>
      <c r="E1199" s="1">
        <v>45610</v>
      </c>
      <c r="F1199" t="s">
        <v>13</v>
      </c>
      <c r="G1199" t="s">
        <v>14</v>
      </c>
      <c r="H1199">
        <v>12</v>
      </c>
      <c r="I1199" t="s">
        <v>15</v>
      </c>
      <c r="J1199">
        <v>3</v>
      </c>
      <c r="K1199" t="s">
        <v>16</v>
      </c>
      <c r="L1199" t="s">
        <v>25</v>
      </c>
    </row>
    <row r="1200" spans="1:12" x14ac:dyDescent="0.25">
      <c r="A1200">
        <v>1199</v>
      </c>
      <c r="B1200">
        <v>69</v>
      </c>
      <c r="C1200" t="s">
        <v>26</v>
      </c>
      <c r="D1200" s="1">
        <v>45412</v>
      </c>
      <c r="E1200" s="1">
        <v>45422</v>
      </c>
      <c r="F1200" t="s">
        <v>31</v>
      </c>
      <c r="G1200" t="s">
        <v>14</v>
      </c>
      <c r="H1200">
        <v>10</v>
      </c>
      <c r="I1200" t="s">
        <v>15</v>
      </c>
      <c r="J1200">
        <v>2</v>
      </c>
      <c r="K1200" t="s">
        <v>21</v>
      </c>
      <c r="L1200" t="s">
        <v>30</v>
      </c>
    </row>
    <row r="1201" spans="1:12" x14ac:dyDescent="0.25">
      <c r="A1201">
        <v>1200</v>
      </c>
      <c r="B1201">
        <v>46</v>
      </c>
      <c r="C1201" t="s">
        <v>26</v>
      </c>
      <c r="D1201" s="1">
        <v>45396</v>
      </c>
      <c r="E1201" s="1">
        <v>45403</v>
      </c>
      <c r="F1201" t="s">
        <v>18</v>
      </c>
      <c r="G1201" t="s">
        <v>23</v>
      </c>
      <c r="H1201">
        <v>7</v>
      </c>
      <c r="I1201" t="s">
        <v>15</v>
      </c>
      <c r="J1201">
        <v>3</v>
      </c>
      <c r="K1201" t="s">
        <v>21</v>
      </c>
      <c r="L1201" t="s">
        <v>25</v>
      </c>
    </row>
    <row r="1202" spans="1:12" x14ac:dyDescent="0.25">
      <c r="A1202">
        <v>1201</v>
      </c>
      <c r="B1202">
        <v>86</v>
      </c>
      <c r="C1202" t="s">
        <v>12</v>
      </c>
      <c r="D1202" s="1">
        <v>45300</v>
      </c>
      <c r="E1202" s="1">
        <v>45310</v>
      </c>
      <c r="F1202" t="s">
        <v>31</v>
      </c>
      <c r="G1202" t="s">
        <v>14</v>
      </c>
      <c r="H1202">
        <v>10</v>
      </c>
      <c r="I1202" t="s">
        <v>15</v>
      </c>
      <c r="J1202">
        <v>0</v>
      </c>
      <c r="K1202" t="s">
        <v>16</v>
      </c>
      <c r="L1202" t="s">
        <v>22</v>
      </c>
    </row>
    <row r="1203" spans="1:12" x14ac:dyDescent="0.25">
      <c r="A1203">
        <v>1202</v>
      </c>
      <c r="B1203">
        <v>42</v>
      </c>
      <c r="C1203" t="s">
        <v>12</v>
      </c>
      <c r="D1203" s="1">
        <v>45455</v>
      </c>
      <c r="E1203" s="1">
        <v>45457</v>
      </c>
      <c r="F1203" t="s">
        <v>31</v>
      </c>
      <c r="G1203" t="s">
        <v>14</v>
      </c>
      <c r="H1203">
        <v>2</v>
      </c>
      <c r="I1203" t="s">
        <v>15</v>
      </c>
      <c r="J1203">
        <v>3</v>
      </c>
      <c r="K1203" t="s">
        <v>24</v>
      </c>
      <c r="L1203" t="s">
        <v>30</v>
      </c>
    </row>
    <row r="1204" spans="1:12" x14ac:dyDescent="0.25">
      <c r="A1204">
        <v>1203</v>
      </c>
      <c r="B1204">
        <v>32</v>
      </c>
      <c r="C1204" t="s">
        <v>26</v>
      </c>
      <c r="D1204" s="1">
        <v>45507</v>
      </c>
      <c r="E1204" s="1">
        <v>45508</v>
      </c>
      <c r="F1204" t="s">
        <v>18</v>
      </c>
      <c r="G1204" t="s">
        <v>14</v>
      </c>
      <c r="H1204">
        <v>1</v>
      </c>
      <c r="I1204" t="s">
        <v>15</v>
      </c>
      <c r="J1204">
        <v>0</v>
      </c>
      <c r="K1204" t="s">
        <v>24</v>
      </c>
      <c r="L1204" t="s">
        <v>22</v>
      </c>
    </row>
    <row r="1205" spans="1:12" x14ac:dyDescent="0.25">
      <c r="A1205">
        <v>1204</v>
      </c>
      <c r="B1205">
        <v>53</v>
      </c>
      <c r="C1205" t="s">
        <v>26</v>
      </c>
      <c r="D1205" s="1">
        <v>45619</v>
      </c>
      <c r="E1205" s="1">
        <v>45633</v>
      </c>
      <c r="F1205" t="s">
        <v>28</v>
      </c>
      <c r="G1205" t="s">
        <v>14</v>
      </c>
      <c r="H1205">
        <v>14</v>
      </c>
      <c r="I1205" t="s">
        <v>20</v>
      </c>
      <c r="J1205">
        <v>1</v>
      </c>
      <c r="K1205" t="s">
        <v>24</v>
      </c>
      <c r="L1205" t="s">
        <v>17</v>
      </c>
    </row>
    <row r="1206" spans="1:12" x14ac:dyDescent="0.25">
      <c r="A1206">
        <v>1205</v>
      </c>
      <c r="B1206">
        <v>45</v>
      </c>
      <c r="C1206" t="s">
        <v>26</v>
      </c>
      <c r="D1206" s="1">
        <v>45524</v>
      </c>
      <c r="E1206" s="1">
        <v>45534</v>
      </c>
      <c r="F1206" t="s">
        <v>13</v>
      </c>
      <c r="G1206" t="s">
        <v>19</v>
      </c>
      <c r="H1206">
        <v>10</v>
      </c>
      <c r="I1206" t="s">
        <v>20</v>
      </c>
      <c r="J1206">
        <v>3</v>
      </c>
      <c r="K1206" t="s">
        <v>16</v>
      </c>
      <c r="L1206" t="s">
        <v>22</v>
      </c>
    </row>
    <row r="1207" spans="1:12" x14ac:dyDescent="0.25">
      <c r="A1207">
        <v>1206</v>
      </c>
      <c r="B1207">
        <v>63</v>
      </c>
      <c r="C1207" t="s">
        <v>12</v>
      </c>
      <c r="D1207" s="1">
        <v>45523</v>
      </c>
      <c r="E1207" s="1">
        <v>45530</v>
      </c>
      <c r="F1207" t="s">
        <v>28</v>
      </c>
      <c r="G1207" t="s">
        <v>19</v>
      </c>
      <c r="H1207">
        <v>7</v>
      </c>
      <c r="I1207" t="s">
        <v>20</v>
      </c>
      <c r="J1207">
        <v>2</v>
      </c>
      <c r="K1207" t="s">
        <v>24</v>
      </c>
      <c r="L1207" t="s">
        <v>25</v>
      </c>
    </row>
    <row r="1208" spans="1:12" x14ac:dyDescent="0.25">
      <c r="A1208">
        <v>1207</v>
      </c>
      <c r="B1208">
        <v>69</v>
      </c>
      <c r="C1208" t="s">
        <v>26</v>
      </c>
      <c r="D1208" s="1">
        <v>45445</v>
      </c>
      <c r="E1208" s="1">
        <v>45459</v>
      </c>
      <c r="F1208" t="s">
        <v>31</v>
      </c>
      <c r="G1208" t="s">
        <v>23</v>
      </c>
      <c r="H1208">
        <v>14</v>
      </c>
      <c r="I1208" t="s">
        <v>15</v>
      </c>
      <c r="J1208">
        <v>3</v>
      </c>
      <c r="K1208" t="s">
        <v>24</v>
      </c>
      <c r="L1208" t="s">
        <v>30</v>
      </c>
    </row>
    <row r="1209" spans="1:12" x14ac:dyDescent="0.25">
      <c r="A1209">
        <v>1208</v>
      </c>
      <c r="B1209">
        <v>70</v>
      </c>
      <c r="C1209" t="s">
        <v>12</v>
      </c>
      <c r="D1209" s="1">
        <v>45515</v>
      </c>
      <c r="E1209" s="1">
        <v>45528</v>
      </c>
      <c r="F1209" t="s">
        <v>18</v>
      </c>
      <c r="G1209" t="s">
        <v>23</v>
      </c>
      <c r="H1209">
        <v>13</v>
      </c>
      <c r="I1209" t="s">
        <v>20</v>
      </c>
      <c r="J1209">
        <v>4</v>
      </c>
      <c r="K1209" t="s">
        <v>24</v>
      </c>
      <c r="L1209" t="s">
        <v>29</v>
      </c>
    </row>
    <row r="1210" spans="1:12" x14ac:dyDescent="0.25">
      <c r="A1210">
        <v>1209</v>
      </c>
      <c r="B1210">
        <v>79</v>
      </c>
      <c r="C1210" t="s">
        <v>26</v>
      </c>
      <c r="D1210" s="1">
        <v>45436</v>
      </c>
      <c r="E1210" s="1">
        <v>45442</v>
      </c>
      <c r="F1210" t="s">
        <v>28</v>
      </c>
      <c r="G1210" t="s">
        <v>19</v>
      </c>
      <c r="H1210">
        <v>6</v>
      </c>
      <c r="I1210" t="s">
        <v>15</v>
      </c>
      <c r="J1210">
        <v>3</v>
      </c>
      <c r="K1210" t="s">
        <v>24</v>
      </c>
      <c r="L1210" t="s">
        <v>25</v>
      </c>
    </row>
    <row r="1211" spans="1:12" x14ac:dyDescent="0.25">
      <c r="A1211">
        <v>1210</v>
      </c>
      <c r="B1211">
        <v>52</v>
      </c>
      <c r="C1211" t="s">
        <v>12</v>
      </c>
      <c r="D1211" s="1">
        <v>45559</v>
      </c>
      <c r="E1211" s="1">
        <v>45565</v>
      </c>
      <c r="F1211" t="s">
        <v>28</v>
      </c>
      <c r="G1211" t="s">
        <v>23</v>
      </c>
      <c r="H1211">
        <v>6</v>
      </c>
      <c r="I1211" t="s">
        <v>15</v>
      </c>
      <c r="J1211">
        <v>3</v>
      </c>
      <c r="K1211" t="s">
        <v>24</v>
      </c>
      <c r="L1211" t="s">
        <v>22</v>
      </c>
    </row>
    <row r="1212" spans="1:12" x14ac:dyDescent="0.25">
      <c r="A1212">
        <v>1211</v>
      </c>
      <c r="B1212">
        <v>54</v>
      </c>
      <c r="C1212" t="s">
        <v>26</v>
      </c>
      <c r="D1212" s="1">
        <v>45414</v>
      </c>
      <c r="E1212" s="1">
        <v>45426</v>
      </c>
      <c r="F1212" t="s">
        <v>28</v>
      </c>
      <c r="G1212" t="s">
        <v>23</v>
      </c>
      <c r="H1212">
        <v>12</v>
      </c>
      <c r="I1212" t="s">
        <v>20</v>
      </c>
      <c r="J1212">
        <v>1</v>
      </c>
      <c r="K1212" t="s">
        <v>24</v>
      </c>
      <c r="L1212" t="s">
        <v>29</v>
      </c>
    </row>
    <row r="1213" spans="1:12" x14ac:dyDescent="0.25">
      <c r="A1213">
        <v>1212</v>
      </c>
      <c r="B1213">
        <v>52</v>
      </c>
      <c r="C1213" t="s">
        <v>26</v>
      </c>
      <c r="D1213" s="1">
        <v>45546</v>
      </c>
      <c r="E1213" s="1">
        <v>45556</v>
      </c>
      <c r="F1213" t="s">
        <v>18</v>
      </c>
      <c r="G1213" t="s">
        <v>19</v>
      </c>
      <c r="H1213">
        <v>10</v>
      </c>
      <c r="I1213" t="s">
        <v>15</v>
      </c>
      <c r="J1213">
        <v>0</v>
      </c>
      <c r="K1213" t="s">
        <v>24</v>
      </c>
      <c r="L1213" t="s">
        <v>29</v>
      </c>
    </row>
    <row r="1214" spans="1:12" x14ac:dyDescent="0.25">
      <c r="A1214">
        <v>1213</v>
      </c>
      <c r="B1214">
        <v>48</v>
      </c>
      <c r="C1214" t="s">
        <v>26</v>
      </c>
      <c r="D1214" s="1">
        <v>45354</v>
      </c>
      <c r="E1214" s="1">
        <v>45364</v>
      </c>
      <c r="F1214" t="s">
        <v>13</v>
      </c>
      <c r="G1214" t="s">
        <v>14</v>
      </c>
      <c r="H1214">
        <v>10</v>
      </c>
      <c r="I1214" t="s">
        <v>15</v>
      </c>
      <c r="J1214">
        <v>1</v>
      </c>
      <c r="K1214" t="s">
        <v>21</v>
      </c>
      <c r="L1214" t="s">
        <v>22</v>
      </c>
    </row>
    <row r="1215" spans="1:12" x14ac:dyDescent="0.25">
      <c r="A1215">
        <v>1214</v>
      </c>
      <c r="B1215">
        <v>90</v>
      </c>
      <c r="C1215" t="s">
        <v>12</v>
      </c>
      <c r="D1215" s="1">
        <v>45570</v>
      </c>
      <c r="E1215" s="1">
        <v>45576</v>
      </c>
      <c r="F1215" t="s">
        <v>31</v>
      </c>
      <c r="G1215" t="s">
        <v>14</v>
      </c>
      <c r="H1215">
        <v>6</v>
      </c>
      <c r="I1215" t="s">
        <v>20</v>
      </c>
      <c r="J1215">
        <v>3</v>
      </c>
      <c r="K1215" t="s">
        <v>16</v>
      </c>
      <c r="L1215" t="s">
        <v>29</v>
      </c>
    </row>
    <row r="1216" spans="1:12" x14ac:dyDescent="0.25">
      <c r="A1216">
        <v>1215</v>
      </c>
      <c r="B1216">
        <v>60</v>
      </c>
      <c r="C1216" t="s">
        <v>12</v>
      </c>
      <c r="D1216" s="1">
        <v>45614</v>
      </c>
      <c r="E1216" s="1">
        <v>45616</v>
      </c>
      <c r="F1216" t="s">
        <v>28</v>
      </c>
      <c r="G1216" t="s">
        <v>14</v>
      </c>
      <c r="H1216">
        <v>2</v>
      </c>
      <c r="I1216" t="s">
        <v>15</v>
      </c>
      <c r="J1216">
        <v>4</v>
      </c>
      <c r="K1216" t="s">
        <v>21</v>
      </c>
      <c r="L1216" t="s">
        <v>25</v>
      </c>
    </row>
    <row r="1217" spans="1:12" x14ac:dyDescent="0.25">
      <c r="A1217">
        <v>1216</v>
      </c>
      <c r="B1217">
        <v>66</v>
      </c>
      <c r="C1217" t="s">
        <v>26</v>
      </c>
      <c r="D1217" s="1">
        <v>45516</v>
      </c>
      <c r="E1217" s="1">
        <v>45520</v>
      </c>
      <c r="F1217" t="s">
        <v>18</v>
      </c>
      <c r="G1217" t="s">
        <v>14</v>
      </c>
      <c r="H1217">
        <v>4</v>
      </c>
      <c r="I1217" t="s">
        <v>15</v>
      </c>
      <c r="J1217">
        <v>1</v>
      </c>
      <c r="K1217" t="s">
        <v>16</v>
      </c>
      <c r="L1217" t="s">
        <v>17</v>
      </c>
    </row>
    <row r="1218" spans="1:12" x14ac:dyDescent="0.25">
      <c r="A1218">
        <v>1217</v>
      </c>
      <c r="B1218">
        <v>61</v>
      </c>
      <c r="C1218" t="s">
        <v>12</v>
      </c>
      <c r="D1218" s="1">
        <v>45437</v>
      </c>
      <c r="E1218" s="1">
        <v>45444</v>
      </c>
      <c r="F1218" t="s">
        <v>13</v>
      </c>
      <c r="G1218" t="s">
        <v>23</v>
      </c>
      <c r="H1218">
        <v>7</v>
      </c>
      <c r="I1218" t="s">
        <v>15</v>
      </c>
      <c r="J1218">
        <v>1</v>
      </c>
      <c r="K1218" t="s">
        <v>24</v>
      </c>
      <c r="L1218" t="s">
        <v>29</v>
      </c>
    </row>
    <row r="1219" spans="1:12" x14ac:dyDescent="0.25">
      <c r="A1219">
        <v>1218</v>
      </c>
      <c r="B1219">
        <v>32</v>
      </c>
      <c r="C1219" t="s">
        <v>26</v>
      </c>
      <c r="D1219" s="1">
        <v>45395</v>
      </c>
      <c r="E1219" s="1">
        <v>45407</v>
      </c>
      <c r="F1219" t="s">
        <v>27</v>
      </c>
      <c r="G1219" t="s">
        <v>19</v>
      </c>
      <c r="H1219">
        <v>12</v>
      </c>
      <c r="I1219" t="s">
        <v>15</v>
      </c>
      <c r="J1219">
        <v>1</v>
      </c>
      <c r="K1219" t="s">
        <v>16</v>
      </c>
      <c r="L1219" t="s">
        <v>17</v>
      </c>
    </row>
    <row r="1220" spans="1:12" x14ac:dyDescent="0.25">
      <c r="A1220">
        <v>1219</v>
      </c>
      <c r="B1220">
        <v>56</v>
      </c>
      <c r="C1220" t="s">
        <v>12</v>
      </c>
      <c r="D1220" s="1">
        <v>45579</v>
      </c>
      <c r="E1220" s="1">
        <v>45590</v>
      </c>
      <c r="F1220" t="s">
        <v>18</v>
      </c>
      <c r="G1220" t="s">
        <v>19</v>
      </c>
      <c r="H1220">
        <v>11</v>
      </c>
      <c r="I1220" t="s">
        <v>15</v>
      </c>
      <c r="J1220">
        <v>3</v>
      </c>
      <c r="K1220" t="s">
        <v>24</v>
      </c>
      <c r="L1220" t="s">
        <v>25</v>
      </c>
    </row>
    <row r="1221" spans="1:12" x14ac:dyDescent="0.25">
      <c r="A1221">
        <v>1220</v>
      </c>
      <c r="B1221">
        <v>76</v>
      </c>
      <c r="C1221" t="s">
        <v>12</v>
      </c>
      <c r="D1221" s="1">
        <v>45561</v>
      </c>
      <c r="E1221" s="1">
        <v>45570</v>
      </c>
      <c r="F1221" t="s">
        <v>31</v>
      </c>
      <c r="G1221" t="s">
        <v>23</v>
      </c>
      <c r="H1221">
        <v>9</v>
      </c>
      <c r="I1221" t="s">
        <v>15</v>
      </c>
      <c r="J1221">
        <v>3</v>
      </c>
      <c r="K1221" t="s">
        <v>24</v>
      </c>
      <c r="L1221" t="s">
        <v>30</v>
      </c>
    </row>
    <row r="1222" spans="1:12" x14ac:dyDescent="0.25">
      <c r="A1222">
        <v>1221</v>
      </c>
      <c r="B1222">
        <v>51</v>
      </c>
      <c r="C1222" t="s">
        <v>26</v>
      </c>
      <c r="D1222" s="1">
        <v>45583</v>
      </c>
      <c r="E1222" s="1">
        <v>45586</v>
      </c>
      <c r="F1222" t="s">
        <v>13</v>
      </c>
      <c r="G1222" t="s">
        <v>14</v>
      </c>
      <c r="H1222">
        <v>3</v>
      </c>
      <c r="I1222" t="s">
        <v>15</v>
      </c>
      <c r="J1222">
        <v>1</v>
      </c>
      <c r="K1222" t="s">
        <v>24</v>
      </c>
      <c r="L1222" t="s">
        <v>30</v>
      </c>
    </row>
    <row r="1223" spans="1:12" x14ac:dyDescent="0.25">
      <c r="A1223">
        <v>1222</v>
      </c>
      <c r="B1223">
        <v>84</v>
      </c>
      <c r="C1223" t="s">
        <v>12</v>
      </c>
      <c r="D1223" s="1">
        <v>45398</v>
      </c>
      <c r="E1223" s="1">
        <v>45404</v>
      </c>
      <c r="F1223" t="s">
        <v>13</v>
      </c>
      <c r="G1223" t="s">
        <v>19</v>
      </c>
      <c r="H1223">
        <v>6</v>
      </c>
      <c r="I1223" t="s">
        <v>15</v>
      </c>
      <c r="J1223">
        <v>2</v>
      </c>
      <c r="K1223" t="s">
        <v>24</v>
      </c>
      <c r="L1223" t="s">
        <v>30</v>
      </c>
    </row>
    <row r="1224" spans="1:12" x14ac:dyDescent="0.25">
      <c r="A1224">
        <v>1223</v>
      </c>
      <c r="B1224">
        <v>76</v>
      </c>
      <c r="C1224" t="s">
        <v>26</v>
      </c>
      <c r="D1224" s="1">
        <v>45532</v>
      </c>
      <c r="E1224" s="1">
        <v>45540</v>
      </c>
      <c r="F1224" t="s">
        <v>18</v>
      </c>
      <c r="G1224" t="s">
        <v>23</v>
      </c>
      <c r="H1224">
        <v>8</v>
      </c>
      <c r="I1224" t="s">
        <v>15</v>
      </c>
      <c r="J1224">
        <v>4</v>
      </c>
      <c r="K1224" t="s">
        <v>24</v>
      </c>
      <c r="L1224" t="s">
        <v>30</v>
      </c>
    </row>
    <row r="1225" spans="1:12" x14ac:dyDescent="0.25">
      <c r="A1225">
        <v>1224</v>
      </c>
      <c r="B1225">
        <v>48</v>
      </c>
      <c r="C1225" t="s">
        <v>26</v>
      </c>
      <c r="D1225" s="1">
        <v>45303</v>
      </c>
      <c r="E1225" s="1">
        <v>45308</v>
      </c>
      <c r="F1225" t="s">
        <v>27</v>
      </c>
      <c r="G1225" t="s">
        <v>23</v>
      </c>
      <c r="H1225">
        <v>5</v>
      </c>
      <c r="I1225" t="s">
        <v>15</v>
      </c>
      <c r="J1225">
        <v>1</v>
      </c>
      <c r="K1225" t="s">
        <v>21</v>
      </c>
      <c r="L1225" t="s">
        <v>25</v>
      </c>
    </row>
    <row r="1226" spans="1:12" x14ac:dyDescent="0.25">
      <c r="A1226">
        <v>1225</v>
      </c>
      <c r="B1226">
        <v>88</v>
      </c>
      <c r="C1226" t="s">
        <v>12</v>
      </c>
      <c r="D1226" s="1">
        <v>45294</v>
      </c>
      <c r="E1226" s="1">
        <v>45298</v>
      </c>
      <c r="F1226" t="s">
        <v>18</v>
      </c>
      <c r="G1226" t="s">
        <v>19</v>
      </c>
      <c r="H1226">
        <v>4</v>
      </c>
      <c r="I1226" t="s">
        <v>15</v>
      </c>
      <c r="J1226">
        <v>1</v>
      </c>
      <c r="K1226" t="s">
        <v>16</v>
      </c>
      <c r="L1226" t="s">
        <v>22</v>
      </c>
    </row>
    <row r="1227" spans="1:12" x14ac:dyDescent="0.25">
      <c r="A1227">
        <v>1226</v>
      </c>
      <c r="B1227">
        <v>75</v>
      </c>
      <c r="C1227" t="s">
        <v>26</v>
      </c>
      <c r="D1227" s="1">
        <v>45626</v>
      </c>
      <c r="E1227" s="1">
        <v>45634</v>
      </c>
      <c r="F1227" t="s">
        <v>13</v>
      </c>
      <c r="G1227" t="s">
        <v>19</v>
      </c>
      <c r="H1227">
        <v>8</v>
      </c>
      <c r="I1227" t="s">
        <v>15</v>
      </c>
      <c r="J1227">
        <v>0</v>
      </c>
      <c r="K1227" t="s">
        <v>21</v>
      </c>
      <c r="L1227" t="s">
        <v>29</v>
      </c>
    </row>
    <row r="1228" spans="1:12" x14ac:dyDescent="0.25">
      <c r="A1228">
        <v>1227</v>
      </c>
      <c r="B1228">
        <v>69</v>
      </c>
      <c r="C1228" t="s">
        <v>12</v>
      </c>
      <c r="D1228" s="1">
        <v>45535</v>
      </c>
      <c r="E1228" s="1">
        <v>45540</v>
      </c>
      <c r="F1228" t="s">
        <v>28</v>
      </c>
      <c r="G1228" t="s">
        <v>23</v>
      </c>
      <c r="H1228">
        <v>5</v>
      </c>
      <c r="I1228" t="s">
        <v>15</v>
      </c>
      <c r="J1228">
        <v>3</v>
      </c>
      <c r="K1228" t="s">
        <v>24</v>
      </c>
      <c r="L1228" t="s">
        <v>17</v>
      </c>
    </row>
    <row r="1229" spans="1:12" x14ac:dyDescent="0.25">
      <c r="A1229">
        <v>1228</v>
      </c>
      <c r="B1229">
        <v>90</v>
      </c>
      <c r="C1229" t="s">
        <v>26</v>
      </c>
      <c r="D1229" s="1">
        <v>45334</v>
      </c>
      <c r="E1229" s="1">
        <v>45340</v>
      </c>
      <c r="F1229" t="s">
        <v>13</v>
      </c>
      <c r="G1229" t="s">
        <v>14</v>
      </c>
      <c r="H1229">
        <v>6</v>
      </c>
      <c r="I1229" t="s">
        <v>20</v>
      </c>
      <c r="J1229">
        <v>3</v>
      </c>
      <c r="K1229" t="s">
        <v>16</v>
      </c>
      <c r="L1229" t="s">
        <v>17</v>
      </c>
    </row>
    <row r="1230" spans="1:12" x14ac:dyDescent="0.25">
      <c r="A1230">
        <v>1229</v>
      </c>
      <c r="B1230">
        <v>25</v>
      </c>
      <c r="C1230" t="s">
        <v>12</v>
      </c>
      <c r="D1230" s="1">
        <v>45439</v>
      </c>
      <c r="E1230" s="1">
        <v>45442</v>
      </c>
      <c r="F1230" t="s">
        <v>18</v>
      </c>
      <c r="G1230" t="s">
        <v>14</v>
      </c>
      <c r="H1230">
        <v>3</v>
      </c>
      <c r="I1230" t="s">
        <v>15</v>
      </c>
      <c r="J1230">
        <v>1</v>
      </c>
      <c r="K1230" t="s">
        <v>16</v>
      </c>
      <c r="L1230" t="s">
        <v>29</v>
      </c>
    </row>
    <row r="1231" spans="1:12" x14ac:dyDescent="0.25">
      <c r="A1231">
        <v>1230</v>
      </c>
      <c r="B1231">
        <v>90</v>
      </c>
      <c r="C1231" t="s">
        <v>26</v>
      </c>
      <c r="D1231" s="1">
        <v>45505</v>
      </c>
      <c r="E1231" s="1">
        <v>45512</v>
      </c>
      <c r="F1231" t="s">
        <v>13</v>
      </c>
      <c r="G1231" t="s">
        <v>23</v>
      </c>
      <c r="H1231">
        <v>7</v>
      </c>
      <c r="I1231" t="s">
        <v>20</v>
      </c>
      <c r="J1231">
        <v>4</v>
      </c>
      <c r="K1231" t="s">
        <v>24</v>
      </c>
      <c r="L1231" t="s">
        <v>29</v>
      </c>
    </row>
    <row r="1232" spans="1:12" x14ac:dyDescent="0.25">
      <c r="A1232">
        <v>1231</v>
      </c>
      <c r="B1232">
        <v>20</v>
      </c>
      <c r="C1232" t="s">
        <v>12</v>
      </c>
      <c r="D1232" s="1">
        <v>45607</v>
      </c>
      <c r="E1232" s="1">
        <v>45612</v>
      </c>
      <c r="F1232" t="s">
        <v>31</v>
      </c>
      <c r="G1232" t="s">
        <v>14</v>
      </c>
      <c r="H1232">
        <v>5</v>
      </c>
      <c r="I1232" t="s">
        <v>20</v>
      </c>
      <c r="J1232">
        <v>0</v>
      </c>
      <c r="K1232" t="s">
        <v>24</v>
      </c>
      <c r="L1232" t="s">
        <v>30</v>
      </c>
    </row>
    <row r="1233" spans="1:12" x14ac:dyDescent="0.25">
      <c r="A1233">
        <v>1232</v>
      </c>
      <c r="B1233">
        <v>82</v>
      </c>
      <c r="C1233" t="s">
        <v>12</v>
      </c>
      <c r="D1233" s="1">
        <v>45483</v>
      </c>
      <c r="E1233" s="1">
        <v>45498</v>
      </c>
      <c r="F1233" t="s">
        <v>31</v>
      </c>
      <c r="G1233" t="s">
        <v>23</v>
      </c>
      <c r="H1233">
        <v>15</v>
      </c>
      <c r="I1233" t="s">
        <v>15</v>
      </c>
      <c r="J1233">
        <v>4</v>
      </c>
      <c r="K1233" t="s">
        <v>24</v>
      </c>
      <c r="L1233" t="s">
        <v>22</v>
      </c>
    </row>
    <row r="1234" spans="1:12" x14ac:dyDescent="0.25">
      <c r="A1234">
        <v>1233</v>
      </c>
      <c r="B1234">
        <v>56</v>
      </c>
      <c r="C1234" t="s">
        <v>12</v>
      </c>
      <c r="D1234" s="1">
        <v>45455</v>
      </c>
      <c r="E1234" s="1">
        <v>45463</v>
      </c>
      <c r="F1234" t="s">
        <v>28</v>
      </c>
      <c r="G1234" t="s">
        <v>19</v>
      </c>
      <c r="H1234">
        <v>8</v>
      </c>
      <c r="I1234" t="s">
        <v>15</v>
      </c>
      <c r="J1234">
        <v>2</v>
      </c>
      <c r="K1234" t="s">
        <v>24</v>
      </c>
      <c r="L1234" t="s">
        <v>25</v>
      </c>
    </row>
    <row r="1235" spans="1:12" x14ac:dyDescent="0.25">
      <c r="A1235">
        <v>1234</v>
      </c>
      <c r="B1235">
        <v>24</v>
      </c>
      <c r="C1235" t="s">
        <v>12</v>
      </c>
      <c r="D1235" s="1">
        <v>45379</v>
      </c>
      <c r="E1235" s="1">
        <v>45389</v>
      </c>
      <c r="F1235" t="s">
        <v>18</v>
      </c>
      <c r="G1235" t="s">
        <v>23</v>
      </c>
      <c r="H1235">
        <v>10</v>
      </c>
      <c r="I1235" t="s">
        <v>15</v>
      </c>
      <c r="J1235">
        <v>2</v>
      </c>
      <c r="K1235" t="s">
        <v>16</v>
      </c>
      <c r="L1235" t="s">
        <v>22</v>
      </c>
    </row>
    <row r="1236" spans="1:12" x14ac:dyDescent="0.25">
      <c r="A1236">
        <v>1235</v>
      </c>
      <c r="B1236">
        <v>35</v>
      </c>
      <c r="C1236" t="s">
        <v>26</v>
      </c>
      <c r="D1236" s="1">
        <v>45483</v>
      </c>
      <c r="E1236" s="1">
        <v>45498</v>
      </c>
      <c r="F1236" t="s">
        <v>31</v>
      </c>
      <c r="G1236" t="s">
        <v>19</v>
      </c>
      <c r="H1236">
        <v>15</v>
      </c>
      <c r="I1236" t="s">
        <v>15</v>
      </c>
      <c r="J1236">
        <v>1</v>
      </c>
      <c r="K1236" t="s">
        <v>16</v>
      </c>
      <c r="L1236" t="s">
        <v>22</v>
      </c>
    </row>
    <row r="1237" spans="1:12" x14ac:dyDescent="0.25">
      <c r="A1237">
        <v>1236</v>
      </c>
      <c r="B1237">
        <v>28</v>
      </c>
      <c r="C1237" t="s">
        <v>26</v>
      </c>
      <c r="D1237" s="1">
        <v>45456</v>
      </c>
      <c r="E1237" s="1">
        <v>45459</v>
      </c>
      <c r="F1237" t="s">
        <v>18</v>
      </c>
      <c r="G1237" t="s">
        <v>23</v>
      </c>
      <c r="H1237">
        <v>3</v>
      </c>
      <c r="I1237" t="s">
        <v>15</v>
      </c>
      <c r="J1237">
        <v>3</v>
      </c>
      <c r="K1237" t="s">
        <v>21</v>
      </c>
      <c r="L1237" t="s">
        <v>30</v>
      </c>
    </row>
    <row r="1238" spans="1:12" x14ac:dyDescent="0.25">
      <c r="A1238">
        <v>1237</v>
      </c>
      <c r="B1238">
        <v>80</v>
      </c>
      <c r="C1238" t="s">
        <v>12</v>
      </c>
      <c r="D1238" s="1">
        <v>45317</v>
      </c>
      <c r="E1238" s="1">
        <v>45324</v>
      </c>
      <c r="F1238" t="s">
        <v>28</v>
      </c>
      <c r="G1238" t="s">
        <v>19</v>
      </c>
      <c r="H1238">
        <v>7</v>
      </c>
      <c r="I1238" t="s">
        <v>20</v>
      </c>
      <c r="J1238">
        <v>3</v>
      </c>
      <c r="K1238" t="s">
        <v>16</v>
      </c>
      <c r="L1238" t="s">
        <v>17</v>
      </c>
    </row>
    <row r="1239" spans="1:12" x14ac:dyDescent="0.25">
      <c r="A1239">
        <v>1238</v>
      </c>
      <c r="B1239">
        <v>88</v>
      </c>
      <c r="C1239" t="s">
        <v>26</v>
      </c>
      <c r="D1239" s="1">
        <v>45320</v>
      </c>
      <c r="E1239" s="1">
        <v>45323</v>
      </c>
      <c r="F1239" t="s">
        <v>13</v>
      </c>
      <c r="G1239" t="s">
        <v>19</v>
      </c>
      <c r="H1239">
        <v>3</v>
      </c>
      <c r="I1239" t="s">
        <v>15</v>
      </c>
      <c r="J1239">
        <v>2</v>
      </c>
      <c r="K1239" t="s">
        <v>21</v>
      </c>
      <c r="L1239" t="s">
        <v>17</v>
      </c>
    </row>
    <row r="1240" spans="1:12" x14ac:dyDescent="0.25">
      <c r="A1240">
        <v>1239</v>
      </c>
      <c r="B1240">
        <v>90</v>
      </c>
      <c r="C1240" t="s">
        <v>12</v>
      </c>
      <c r="D1240" s="1">
        <v>45646</v>
      </c>
      <c r="E1240" s="1">
        <v>45654</v>
      </c>
      <c r="F1240" t="s">
        <v>18</v>
      </c>
      <c r="G1240" t="s">
        <v>14</v>
      </c>
      <c r="H1240">
        <v>8</v>
      </c>
      <c r="I1240" t="s">
        <v>15</v>
      </c>
      <c r="J1240">
        <v>2</v>
      </c>
      <c r="K1240" t="s">
        <v>16</v>
      </c>
      <c r="L1240" t="s">
        <v>17</v>
      </c>
    </row>
    <row r="1241" spans="1:12" x14ac:dyDescent="0.25">
      <c r="A1241">
        <v>1240</v>
      </c>
      <c r="B1241">
        <v>21</v>
      </c>
      <c r="C1241" t="s">
        <v>12</v>
      </c>
      <c r="D1241" s="1">
        <v>45321</v>
      </c>
      <c r="E1241" s="1">
        <v>45334</v>
      </c>
      <c r="F1241" t="s">
        <v>31</v>
      </c>
      <c r="G1241" t="s">
        <v>14</v>
      </c>
      <c r="H1241">
        <v>13</v>
      </c>
      <c r="I1241" t="s">
        <v>15</v>
      </c>
      <c r="J1241">
        <v>2</v>
      </c>
      <c r="K1241" t="s">
        <v>24</v>
      </c>
      <c r="L1241" t="s">
        <v>29</v>
      </c>
    </row>
    <row r="1242" spans="1:12" x14ac:dyDescent="0.25">
      <c r="A1242">
        <v>1241</v>
      </c>
      <c r="B1242">
        <v>66</v>
      </c>
      <c r="C1242" t="s">
        <v>26</v>
      </c>
      <c r="D1242" s="1">
        <v>45653</v>
      </c>
      <c r="E1242" s="1">
        <v>45664</v>
      </c>
      <c r="F1242" t="s">
        <v>28</v>
      </c>
      <c r="G1242" t="s">
        <v>23</v>
      </c>
      <c r="H1242">
        <v>11</v>
      </c>
      <c r="I1242" t="s">
        <v>20</v>
      </c>
      <c r="J1242">
        <v>1</v>
      </c>
      <c r="K1242" t="s">
        <v>21</v>
      </c>
      <c r="L1242" t="s">
        <v>29</v>
      </c>
    </row>
    <row r="1243" spans="1:12" x14ac:dyDescent="0.25">
      <c r="A1243">
        <v>1242</v>
      </c>
      <c r="B1243">
        <v>65</v>
      </c>
      <c r="C1243" t="s">
        <v>12</v>
      </c>
      <c r="D1243" s="1">
        <v>45398</v>
      </c>
      <c r="E1243" s="1">
        <v>45406</v>
      </c>
      <c r="F1243" t="s">
        <v>28</v>
      </c>
      <c r="G1243" t="s">
        <v>14</v>
      </c>
      <c r="H1243">
        <v>8</v>
      </c>
      <c r="I1243" t="s">
        <v>15</v>
      </c>
      <c r="J1243">
        <v>1</v>
      </c>
      <c r="K1243" t="s">
        <v>16</v>
      </c>
      <c r="L1243" t="s">
        <v>30</v>
      </c>
    </row>
    <row r="1244" spans="1:12" x14ac:dyDescent="0.25">
      <c r="A1244">
        <v>1243</v>
      </c>
      <c r="B1244">
        <v>85</v>
      </c>
      <c r="C1244" t="s">
        <v>26</v>
      </c>
      <c r="D1244" s="1">
        <v>45576</v>
      </c>
      <c r="E1244" s="1">
        <v>45588</v>
      </c>
      <c r="F1244" t="s">
        <v>18</v>
      </c>
      <c r="G1244" t="s">
        <v>23</v>
      </c>
      <c r="H1244">
        <v>12</v>
      </c>
      <c r="I1244" t="s">
        <v>15</v>
      </c>
      <c r="J1244">
        <v>4</v>
      </c>
      <c r="K1244" t="s">
        <v>21</v>
      </c>
      <c r="L1244" t="s">
        <v>30</v>
      </c>
    </row>
    <row r="1245" spans="1:12" x14ac:dyDescent="0.25">
      <c r="A1245">
        <v>1244</v>
      </c>
      <c r="B1245">
        <v>80</v>
      </c>
      <c r="C1245" t="s">
        <v>26</v>
      </c>
      <c r="D1245" s="1">
        <v>45344</v>
      </c>
      <c r="E1245" s="1">
        <v>45353</v>
      </c>
      <c r="F1245" t="s">
        <v>31</v>
      </c>
      <c r="G1245" t="s">
        <v>23</v>
      </c>
      <c r="H1245">
        <v>9</v>
      </c>
      <c r="I1245" t="s">
        <v>15</v>
      </c>
      <c r="J1245">
        <v>3</v>
      </c>
      <c r="K1245" t="s">
        <v>16</v>
      </c>
      <c r="L1245" t="s">
        <v>17</v>
      </c>
    </row>
    <row r="1246" spans="1:12" x14ac:dyDescent="0.25">
      <c r="A1246">
        <v>1245</v>
      </c>
      <c r="B1246">
        <v>69</v>
      </c>
      <c r="C1246" t="s">
        <v>26</v>
      </c>
      <c r="D1246" s="1">
        <v>45534</v>
      </c>
      <c r="E1246" s="1">
        <v>45538</v>
      </c>
      <c r="F1246" t="s">
        <v>27</v>
      </c>
      <c r="G1246" t="s">
        <v>19</v>
      </c>
      <c r="H1246">
        <v>4</v>
      </c>
      <c r="I1246" t="s">
        <v>15</v>
      </c>
      <c r="J1246">
        <v>0</v>
      </c>
      <c r="K1246" t="s">
        <v>24</v>
      </c>
      <c r="L1246" t="s">
        <v>30</v>
      </c>
    </row>
    <row r="1247" spans="1:12" x14ac:dyDescent="0.25">
      <c r="A1247">
        <v>1246</v>
      </c>
      <c r="B1247">
        <v>88</v>
      </c>
      <c r="C1247" t="s">
        <v>12</v>
      </c>
      <c r="D1247" s="1">
        <v>45536</v>
      </c>
      <c r="E1247" s="1">
        <v>45548</v>
      </c>
      <c r="F1247" t="s">
        <v>18</v>
      </c>
      <c r="G1247" t="s">
        <v>14</v>
      </c>
      <c r="H1247">
        <v>12</v>
      </c>
      <c r="I1247" t="s">
        <v>20</v>
      </c>
      <c r="J1247">
        <v>4</v>
      </c>
      <c r="K1247" t="s">
        <v>21</v>
      </c>
      <c r="L1247" t="s">
        <v>30</v>
      </c>
    </row>
    <row r="1248" spans="1:12" x14ac:dyDescent="0.25">
      <c r="A1248">
        <v>1247</v>
      </c>
      <c r="B1248">
        <v>52</v>
      </c>
      <c r="C1248" t="s">
        <v>26</v>
      </c>
      <c r="D1248" s="1">
        <v>45501</v>
      </c>
      <c r="E1248" s="1">
        <v>45503</v>
      </c>
      <c r="F1248" t="s">
        <v>18</v>
      </c>
      <c r="G1248" t="s">
        <v>23</v>
      </c>
      <c r="H1248">
        <v>2</v>
      </c>
      <c r="I1248" t="s">
        <v>15</v>
      </c>
      <c r="J1248">
        <v>4</v>
      </c>
      <c r="K1248" t="s">
        <v>16</v>
      </c>
      <c r="L1248" t="s">
        <v>29</v>
      </c>
    </row>
    <row r="1249" spans="1:12" x14ac:dyDescent="0.25">
      <c r="A1249">
        <v>1248</v>
      </c>
      <c r="B1249">
        <v>57</v>
      </c>
      <c r="C1249" t="s">
        <v>26</v>
      </c>
      <c r="D1249" s="1">
        <v>45352</v>
      </c>
      <c r="E1249" s="1">
        <v>45364</v>
      </c>
      <c r="F1249" t="s">
        <v>28</v>
      </c>
      <c r="G1249" t="s">
        <v>19</v>
      </c>
      <c r="H1249">
        <v>12</v>
      </c>
      <c r="I1249" t="s">
        <v>15</v>
      </c>
      <c r="J1249">
        <v>0</v>
      </c>
      <c r="K1249" t="s">
        <v>16</v>
      </c>
      <c r="L1249" t="s">
        <v>17</v>
      </c>
    </row>
    <row r="1250" spans="1:12" x14ac:dyDescent="0.25">
      <c r="A1250">
        <v>1249</v>
      </c>
      <c r="B1250">
        <v>76</v>
      </c>
      <c r="C1250" t="s">
        <v>26</v>
      </c>
      <c r="D1250" s="1">
        <v>45556</v>
      </c>
      <c r="E1250" s="1">
        <v>45559</v>
      </c>
      <c r="F1250" t="s">
        <v>28</v>
      </c>
      <c r="G1250" t="s">
        <v>23</v>
      </c>
      <c r="H1250">
        <v>3</v>
      </c>
      <c r="I1250" t="s">
        <v>20</v>
      </c>
      <c r="J1250">
        <v>0</v>
      </c>
      <c r="K1250" t="s">
        <v>21</v>
      </c>
      <c r="L1250" t="s">
        <v>29</v>
      </c>
    </row>
    <row r="1251" spans="1:12" x14ac:dyDescent="0.25">
      <c r="A1251">
        <v>1250</v>
      </c>
      <c r="B1251">
        <v>77</v>
      </c>
      <c r="C1251" t="s">
        <v>26</v>
      </c>
      <c r="D1251" s="1">
        <v>45392</v>
      </c>
      <c r="E1251" s="1">
        <v>45402</v>
      </c>
      <c r="F1251" t="s">
        <v>27</v>
      </c>
      <c r="G1251" t="s">
        <v>14</v>
      </c>
      <c r="H1251">
        <v>10</v>
      </c>
      <c r="I1251" t="s">
        <v>15</v>
      </c>
      <c r="J1251">
        <v>3</v>
      </c>
      <c r="K1251" t="s">
        <v>24</v>
      </c>
      <c r="L1251" t="s">
        <v>25</v>
      </c>
    </row>
    <row r="1252" spans="1:12" x14ac:dyDescent="0.25">
      <c r="A1252">
        <v>1251</v>
      </c>
      <c r="B1252">
        <v>40</v>
      </c>
      <c r="C1252" t="s">
        <v>26</v>
      </c>
      <c r="D1252" s="1">
        <v>45471</v>
      </c>
      <c r="E1252" s="1">
        <v>45479</v>
      </c>
      <c r="F1252" t="s">
        <v>13</v>
      </c>
      <c r="G1252" t="s">
        <v>14</v>
      </c>
      <c r="H1252">
        <v>8</v>
      </c>
      <c r="I1252" t="s">
        <v>20</v>
      </c>
      <c r="J1252">
        <v>1</v>
      </c>
      <c r="K1252" t="s">
        <v>21</v>
      </c>
      <c r="L1252" t="s">
        <v>29</v>
      </c>
    </row>
    <row r="1253" spans="1:12" x14ac:dyDescent="0.25">
      <c r="A1253">
        <v>1252</v>
      </c>
      <c r="B1253">
        <v>70</v>
      </c>
      <c r="C1253" t="s">
        <v>12</v>
      </c>
      <c r="D1253" s="1">
        <v>45324</v>
      </c>
      <c r="E1253" s="1">
        <v>45331</v>
      </c>
      <c r="F1253" t="s">
        <v>28</v>
      </c>
      <c r="G1253" t="s">
        <v>23</v>
      </c>
      <c r="H1253">
        <v>7</v>
      </c>
      <c r="I1253" t="s">
        <v>15</v>
      </c>
      <c r="J1253">
        <v>3</v>
      </c>
      <c r="K1253" t="s">
        <v>21</v>
      </c>
      <c r="L1253" t="s">
        <v>30</v>
      </c>
    </row>
    <row r="1254" spans="1:12" x14ac:dyDescent="0.25">
      <c r="A1254">
        <v>1253</v>
      </c>
      <c r="B1254">
        <v>58</v>
      </c>
      <c r="C1254" t="s">
        <v>26</v>
      </c>
      <c r="D1254" s="1">
        <v>45322</v>
      </c>
      <c r="E1254" s="1">
        <v>45335</v>
      </c>
      <c r="F1254" t="s">
        <v>27</v>
      </c>
      <c r="G1254" t="s">
        <v>23</v>
      </c>
      <c r="H1254">
        <v>13</v>
      </c>
      <c r="I1254" t="s">
        <v>15</v>
      </c>
      <c r="J1254">
        <v>4</v>
      </c>
      <c r="K1254" t="s">
        <v>21</v>
      </c>
      <c r="L1254" t="s">
        <v>22</v>
      </c>
    </row>
    <row r="1255" spans="1:12" x14ac:dyDescent="0.25">
      <c r="A1255">
        <v>1254</v>
      </c>
      <c r="B1255">
        <v>44</v>
      </c>
      <c r="C1255" t="s">
        <v>12</v>
      </c>
      <c r="D1255" s="1">
        <v>45448</v>
      </c>
      <c r="E1255" s="1">
        <v>45455</v>
      </c>
      <c r="F1255" t="s">
        <v>13</v>
      </c>
      <c r="G1255" t="s">
        <v>14</v>
      </c>
      <c r="H1255">
        <v>7</v>
      </c>
      <c r="I1255" t="s">
        <v>15</v>
      </c>
      <c r="J1255">
        <v>2</v>
      </c>
      <c r="K1255" t="s">
        <v>24</v>
      </c>
      <c r="L1255" t="s">
        <v>30</v>
      </c>
    </row>
    <row r="1256" spans="1:12" x14ac:dyDescent="0.25">
      <c r="A1256">
        <v>1255</v>
      </c>
      <c r="B1256">
        <v>83</v>
      </c>
      <c r="C1256" t="s">
        <v>26</v>
      </c>
      <c r="D1256" s="1">
        <v>45322</v>
      </c>
      <c r="E1256" s="1">
        <v>45330</v>
      </c>
      <c r="F1256" t="s">
        <v>18</v>
      </c>
      <c r="G1256" t="s">
        <v>19</v>
      </c>
      <c r="H1256">
        <v>8</v>
      </c>
      <c r="I1256" t="s">
        <v>15</v>
      </c>
      <c r="J1256">
        <v>1</v>
      </c>
      <c r="K1256" t="s">
        <v>16</v>
      </c>
      <c r="L1256" t="s">
        <v>25</v>
      </c>
    </row>
    <row r="1257" spans="1:12" x14ac:dyDescent="0.25">
      <c r="A1257">
        <v>1256</v>
      </c>
      <c r="B1257">
        <v>28</v>
      </c>
      <c r="C1257" t="s">
        <v>12</v>
      </c>
      <c r="D1257" s="1">
        <v>45499</v>
      </c>
      <c r="E1257" s="1">
        <v>45505</v>
      </c>
      <c r="F1257" t="s">
        <v>27</v>
      </c>
      <c r="G1257" t="s">
        <v>23</v>
      </c>
      <c r="H1257">
        <v>6</v>
      </c>
      <c r="I1257" t="s">
        <v>20</v>
      </c>
      <c r="J1257">
        <v>1</v>
      </c>
      <c r="K1257" t="s">
        <v>16</v>
      </c>
      <c r="L1257" t="s">
        <v>22</v>
      </c>
    </row>
    <row r="1258" spans="1:12" x14ac:dyDescent="0.25">
      <c r="A1258">
        <v>1257</v>
      </c>
      <c r="B1258">
        <v>86</v>
      </c>
      <c r="C1258" t="s">
        <v>26</v>
      </c>
      <c r="D1258" s="1">
        <v>45585</v>
      </c>
      <c r="E1258" s="1">
        <v>45586</v>
      </c>
      <c r="F1258" t="s">
        <v>18</v>
      </c>
      <c r="G1258" t="s">
        <v>23</v>
      </c>
      <c r="H1258">
        <v>1</v>
      </c>
      <c r="I1258" t="s">
        <v>15</v>
      </c>
      <c r="J1258">
        <v>0</v>
      </c>
      <c r="K1258" t="s">
        <v>21</v>
      </c>
      <c r="L1258" t="s">
        <v>25</v>
      </c>
    </row>
    <row r="1259" spans="1:12" x14ac:dyDescent="0.25">
      <c r="A1259">
        <v>1258</v>
      </c>
      <c r="B1259">
        <v>81</v>
      </c>
      <c r="C1259" t="s">
        <v>26</v>
      </c>
      <c r="D1259" s="1">
        <v>45439</v>
      </c>
      <c r="E1259" s="1">
        <v>45452</v>
      </c>
      <c r="F1259" t="s">
        <v>31</v>
      </c>
      <c r="G1259" t="s">
        <v>23</v>
      </c>
      <c r="H1259">
        <v>13</v>
      </c>
      <c r="I1259" t="s">
        <v>15</v>
      </c>
      <c r="J1259">
        <v>1</v>
      </c>
      <c r="K1259" t="s">
        <v>16</v>
      </c>
      <c r="L1259" t="s">
        <v>30</v>
      </c>
    </row>
    <row r="1260" spans="1:12" x14ac:dyDescent="0.25">
      <c r="A1260">
        <v>1259</v>
      </c>
      <c r="B1260">
        <v>34</v>
      </c>
      <c r="C1260" t="s">
        <v>12</v>
      </c>
      <c r="D1260" s="1">
        <v>45568</v>
      </c>
      <c r="E1260" s="1">
        <v>45578</v>
      </c>
      <c r="F1260" t="s">
        <v>31</v>
      </c>
      <c r="G1260" t="s">
        <v>23</v>
      </c>
      <c r="H1260">
        <v>10</v>
      </c>
      <c r="I1260" t="s">
        <v>15</v>
      </c>
      <c r="J1260">
        <v>0</v>
      </c>
      <c r="K1260" t="s">
        <v>21</v>
      </c>
      <c r="L1260" t="s">
        <v>29</v>
      </c>
    </row>
    <row r="1261" spans="1:12" x14ac:dyDescent="0.25">
      <c r="A1261">
        <v>1260</v>
      </c>
      <c r="B1261">
        <v>78</v>
      </c>
      <c r="C1261" t="s">
        <v>26</v>
      </c>
      <c r="D1261" s="1">
        <v>45637</v>
      </c>
      <c r="E1261" s="1">
        <v>45648</v>
      </c>
      <c r="F1261" t="s">
        <v>28</v>
      </c>
      <c r="G1261" t="s">
        <v>23</v>
      </c>
      <c r="H1261">
        <v>11</v>
      </c>
      <c r="I1261" t="s">
        <v>15</v>
      </c>
      <c r="J1261">
        <v>0</v>
      </c>
      <c r="K1261" t="s">
        <v>21</v>
      </c>
      <c r="L1261" t="s">
        <v>25</v>
      </c>
    </row>
    <row r="1262" spans="1:12" x14ac:dyDescent="0.25">
      <c r="A1262">
        <v>1261</v>
      </c>
      <c r="B1262">
        <v>54</v>
      </c>
      <c r="C1262" t="s">
        <v>12</v>
      </c>
      <c r="D1262" s="1">
        <v>45561</v>
      </c>
      <c r="E1262" s="1">
        <v>45575</v>
      </c>
      <c r="F1262" t="s">
        <v>18</v>
      </c>
      <c r="G1262" t="s">
        <v>14</v>
      </c>
      <c r="H1262">
        <v>14</v>
      </c>
      <c r="I1262" t="s">
        <v>20</v>
      </c>
      <c r="J1262">
        <v>2</v>
      </c>
      <c r="K1262" t="s">
        <v>21</v>
      </c>
      <c r="L1262" t="s">
        <v>29</v>
      </c>
    </row>
    <row r="1263" spans="1:12" x14ac:dyDescent="0.25">
      <c r="A1263">
        <v>1262</v>
      </c>
      <c r="B1263">
        <v>46</v>
      </c>
      <c r="C1263" t="s">
        <v>26</v>
      </c>
      <c r="D1263" s="1">
        <v>45597</v>
      </c>
      <c r="E1263" s="1">
        <v>45611</v>
      </c>
      <c r="F1263" t="s">
        <v>13</v>
      </c>
      <c r="G1263" t="s">
        <v>23</v>
      </c>
      <c r="H1263">
        <v>14</v>
      </c>
      <c r="I1263" t="s">
        <v>15</v>
      </c>
      <c r="J1263">
        <v>4</v>
      </c>
      <c r="K1263" t="s">
        <v>16</v>
      </c>
      <c r="L1263" t="s">
        <v>25</v>
      </c>
    </row>
    <row r="1264" spans="1:12" x14ac:dyDescent="0.25">
      <c r="A1264">
        <v>1263</v>
      </c>
      <c r="B1264">
        <v>66</v>
      </c>
      <c r="C1264" t="s">
        <v>12</v>
      </c>
      <c r="D1264" s="1">
        <v>45342</v>
      </c>
      <c r="E1264" s="1">
        <v>45354</v>
      </c>
      <c r="F1264" t="s">
        <v>28</v>
      </c>
      <c r="G1264" t="s">
        <v>14</v>
      </c>
      <c r="H1264">
        <v>12</v>
      </c>
      <c r="I1264" t="s">
        <v>20</v>
      </c>
      <c r="J1264">
        <v>3</v>
      </c>
      <c r="K1264" t="s">
        <v>24</v>
      </c>
      <c r="L1264" t="s">
        <v>25</v>
      </c>
    </row>
    <row r="1265" spans="1:12" x14ac:dyDescent="0.25">
      <c r="A1265">
        <v>1264</v>
      </c>
      <c r="B1265">
        <v>31</v>
      </c>
      <c r="C1265" t="s">
        <v>12</v>
      </c>
      <c r="D1265" s="1">
        <v>45601</v>
      </c>
      <c r="E1265" s="1">
        <v>45615</v>
      </c>
      <c r="F1265" t="s">
        <v>13</v>
      </c>
      <c r="G1265" t="s">
        <v>19</v>
      </c>
      <c r="H1265">
        <v>14</v>
      </c>
      <c r="I1265" t="s">
        <v>20</v>
      </c>
      <c r="J1265">
        <v>3</v>
      </c>
      <c r="K1265" t="s">
        <v>24</v>
      </c>
      <c r="L1265" t="s">
        <v>25</v>
      </c>
    </row>
    <row r="1266" spans="1:12" x14ac:dyDescent="0.25">
      <c r="A1266">
        <v>1265</v>
      </c>
      <c r="B1266">
        <v>68</v>
      </c>
      <c r="C1266" t="s">
        <v>12</v>
      </c>
      <c r="D1266" s="1">
        <v>45593</v>
      </c>
      <c r="E1266" s="1">
        <v>45603</v>
      </c>
      <c r="F1266" t="s">
        <v>13</v>
      </c>
      <c r="G1266" t="s">
        <v>19</v>
      </c>
      <c r="H1266">
        <v>10</v>
      </c>
      <c r="I1266" t="s">
        <v>15</v>
      </c>
      <c r="J1266">
        <v>4</v>
      </c>
      <c r="K1266" t="s">
        <v>16</v>
      </c>
      <c r="L1266" t="s">
        <v>30</v>
      </c>
    </row>
    <row r="1267" spans="1:12" x14ac:dyDescent="0.25">
      <c r="A1267">
        <v>1266</v>
      </c>
      <c r="B1267">
        <v>89</v>
      </c>
      <c r="C1267" t="s">
        <v>26</v>
      </c>
      <c r="D1267" s="1">
        <v>45504</v>
      </c>
      <c r="E1267" s="1">
        <v>45518</v>
      </c>
      <c r="F1267" t="s">
        <v>27</v>
      </c>
      <c r="G1267" t="s">
        <v>14</v>
      </c>
      <c r="H1267">
        <v>14</v>
      </c>
      <c r="I1267" t="s">
        <v>15</v>
      </c>
      <c r="J1267">
        <v>2</v>
      </c>
      <c r="K1267" t="s">
        <v>21</v>
      </c>
      <c r="L1267" t="s">
        <v>22</v>
      </c>
    </row>
    <row r="1268" spans="1:12" x14ac:dyDescent="0.25">
      <c r="A1268">
        <v>1267</v>
      </c>
      <c r="B1268">
        <v>23</v>
      </c>
      <c r="C1268" t="s">
        <v>12</v>
      </c>
      <c r="D1268" s="1">
        <v>45620</v>
      </c>
      <c r="E1268" s="1">
        <v>45625</v>
      </c>
      <c r="F1268" t="s">
        <v>28</v>
      </c>
      <c r="G1268" t="s">
        <v>19</v>
      </c>
      <c r="H1268">
        <v>5</v>
      </c>
      <c r="I1268" t="s">
        <v>15</v>
      </c>
      <c r="J1268">
        <v>1</v>
      </c>
      <c r="K1268" t="s">
        <v>16</v>
      </c>
      <c r="L1268" t="s">
        <v>17</v>
      </c>
    </row>
    <row r="1269" spans="1:12" x14ac:dyDescent="0.25">
      <c r="A1269">
        <v>1268</v>
      </c>
      <c r="B1269">
        <v>80</v>
      </c>
      <c r="C1269" t="s">
        <v>12</v>
      </c>
      <c r="D1269" s="1">
        <v>45589</v>
      </c>
      <c r="E1269" s="1">
        <v>45600</v>
      </c>
      <c r="F1269" t="s">
        <v>27</v>
      </c>
      <c r="G1269" t="s">
        <v>23</v>
      </c>
      <c r="H1269">
        <v>11</v>
      </c>
      <c r="I1269" t="s">
        <v>20</v>
      </c>
      <c r="J1269">
        <v>1</v>
      </c>
      <c r="K1269" t="s">
        <v>16</v>
      </c>
      <c r="L1269" t="s">
        <v>29</v>
      </c>
    </row>
    <row r="1270" spans="1:12" x14ac:dyDescent="0.25">
      <c r="A1270">
        <v>1269</v>
      </c>
      <c r="B1270">
        <v>90</v>
      </c>
      <c r="C1270" t="s">
        <v>12</v>
      </c>
      <c r="D1270" s="1">
        <v>45594</v>
      </c>
      <c r="E1270" s="1">
        <v>45603</v>
      </c>
      <c r="F1270" t="s">
        <v>18</v>
      </c>
      <c r="G1270" t="s">
        <v>23</v>
      </c>
      <c r="H1270">
        <v>9</v>
      </c>
      <c r="I1270" t="s">
        <v>15</v>
      </c>
      <c r="J1270">
        <v>4</v>
      </c>
      <c r="K1270" t="s">
        <v>24</v>
      </c>
      <c r="L1270" t="s">
        <v>25</v>
      </c>
    </row>
    <row r="1271" spans="1:12" x14ac:dyDescent="0.25">
      <c r="A1271">
        <v>1270</v>
      </c>
      <c r="B1271">
        <v>82</v>
      </c>
      <c r="C1271" t="s">
        <v>12</v>
      </c>
      <c r="D1271" s="1">
        <v>45386</v>
      </c>
      <c r="E1271" s="1">
        <v>45398</v>
      </c>
      <c r="F1271" t="s">
        <v>18</v>
      </c>
      <c r="G1271" t="s">
        <v>19</v>
      </c>
      <c r="H1271">
        <v>12</v>
      </c>
      <c r="I1271" t="s">
        <v>15</v>
      </c>
      <c r="J1271">
        <v>4</v>
      </c>
      <c r="K1271" t="s">
        <v>21</v>
      </c>
      <c r="L1271" t="s">
        <v>30</v>
      </c>
    </row>
    <row r="1272" spans="1:12" x14ac:dyDescent="0.25">
      <c r="A1272">
        <v>1271</v>
      </c>
      <c r="B1272">
        <v>60</v>
      </c>
      <c r="C1272" t="s">
        <v>12</v>
      </c>
      <c r="D1272" s="1">
        <v>45553</v>
      </c>
      <c r="E1272" s="1">
        <v>45562</v>
      </c>
      <c r="F1272" t="s">
        <v>18</v>
      </c>
      <c r="G1272" t="s">
        <v>23</v>
      </c>
      <c r="H1272">
        <v>9</v>
      </c>
      <c r="I1272" t="s">
        <v>20</v>
      </c>
      <c r="J1272">
        <v>1</v>
      </c>
      <c r="K1272" t="s">
        <v>21</v>
      </c>
      <c r="L1272" t="s">
        <v>17</v>
      </c>
    </row>
    <row r="1273" spans="1:12" x14ac:dyDescent="0.25">
      <c r="A1273">
        <v>1272</v>
      </c>
      <c r="B1273">
        <v>50</v>
      </c>
      <c r="C1273" t="s">
        <v>26</v>
      </c>
      <c r="D1273" s="1">
        <v>45446</v>
      </c>
      <c r="E1273" s="1">
        <v>45452</v>
      </c>
      <c r="F1273" t="s">
        <v>18</v>
      </c>
      <c r="G1273" t="s">
        <v>23</v>
      </c>
      <c r="H1273">
        <v>6</v>
      </c>
      <c r="I1273" t="s">
        <v>15</v>
      </c>
      <c r="J1273">
        <v>2</v>
      </c>
      <c r="K1273" t="s">
        <v>16</v>
      </c>
      <c r="L1273" t="s">
        <v>22</v>
      </c>
    </row>
    <row r="1274" spans="1:12" x14ac:dyDescent="0.25">
      <c r="A1274">
        <v>1273</v>
      </c>
      <c r="B1274">
        <v>50</v>
      </c>
      <c r="C1274" t="s">
        <v>12</v>
      </c>
      <c r="D1274" s="1">
        <v>45626</v>
      </c>
      <c r="E1274" s="1">
        <v>45632</v>
      </c>
      <c r="F1274" t="s">
        <v>28</v>
      </c>
      <c r="G1274" t="s">
        <v>19</v>
      </c>
      <c r="H1274">
        <v>6</v>
      </c>
      <c r="I1274" t="s">
        <v>15</v>
      </c>
      <c r="J1274">
        <v>0</v>
      </c>
      <c r="K1274" t="s">
        <v>16</v>
      </c>
      <c r="L1274" t="s">
        <v>22</v>
      </c>
    </row>
    <row r="1275" spans="1:12" x14ac:dyDescent="0.25">
      <c r="A1275">
        <v>1274</v>
      </c>
      <c r="B1275">
        <v>84</v>
      </c>
      <c r="C1275" t="s">
        <v>26</v>
      </c>
      <c r="D1275" s="1">
        <v>45362</v>
      </c>
      <c r="E1275" s="1">
        <v>45370</v>
      </c>
      <c r="F1275" t="s">
        <v>18</v>
      </c>
      <c r="G1275" t="s">
        <v>14</v>
      </c>
      <c r="H1275">
        <v>8</v>
      </c>
      <c r="I1275" t="s">
        <v>15</v>
      </c>
      <c r="J1275">
        <v>4</v>
      </c>
      <c r="K1275" t="s">
        <v>16</v>
      </c>
      <c r="L1275" t="s">
        <v>17</v>
      </c>
    </row>
    <row r="1276" spans="1:12" x14ac:dyDescent="0.25">
      <c r="A1276">
        <v>1275</v>
      </c>
      <c r="B1276">
        <v>21</v>
      </c>
      <c r="C1276" t="s">
        <v>26</v>
      </c>
      <c r="D1276" s="1">
        <v>45459</v>
      </c>
      <c r="E1276" s="1">
        <v>45474</v>
      </c>
      <c r="F1276" t="s">
        <v>31</v>
      </c>
      <c r="G1276" t="s">
        <v>23</v>
      </c>
      <c r="H1276">
        <v>15</v>
      </c>
      <c r="I1276" t="s">
        <v>15</v>
      </c>
      <c r="J1276">
        <v>1</v>
      </c>
      <c r="K1276" t="s">
        <v>24</v>
      </c>
      <c r="L1276" t="s">
        <v>22</v>
      </c>
    </row>
    <row r="1277" spans="1:12" x14ac:dyDescent="0.25">
      <c r="A1277">
        <v>1276</v>
      </c>
      <c r="B1277">
        <v>62</v>
      </c>
      <c r="C1277" t="s">
        <v>26</v>
      </c>
      <c r="D1277" s="1">
        <v>45523</v>
      </c>
      <c r="E1277" s="1">
        <v>45533</v>
      </c>
      <c r="F1277" t="s">
        <v>13</v>
      </c>
      <c r="G1277" t="s">
        <v>14</v>
      </c>
      <c r="H1277">
        <v>10</v>
      </c>
      <c r="I1277" t="s">
        <v>20</v>
      </c>
      <c r="J1277">
        <v>0</v>
      </c>
      <c r="K1277" t="s">
        <v>21</v>
      </c>
      <c r="L1277" t="s">
        <v>30</v>
      </c>
    </row>
    <row r="1278" spans="1:12" x14ac:dyDescent="0.25">
      <c r="A1278">
        <v>1277</v>
      </c>
      <c r="B1278">
        <v>76</v>
      </c>
      <c r="C1278" t="s">
        <v>26</v>
      </c>
      <c r="D1278" s="1">
        <v>45566</v>
      </c>
      <c r="E1278" s="1">
        <v>45579</v>
      </c>
      <c r="F1278" t="s">
        <v>28</v>
      </c>
      <c r="G1278" t="s">
        <v>14</v>
      </c>
      <c r="H1278">
        <v>13</v>
      </c>
      <c r="I1278" t="s">
        <v>15</v>
      </c>
      <c r="J1278">
        <v>3</v>
      </c>
      <c r="K1278" t="s">
        <v>24</v>
      </c>
      <c r="L1278" t="s">
        <v>22</v>
      </c>
    </row>
    <row r="1279" spans="1:12" x14ac:dyDescent="0.25">
      <c r="A1279">
        <v>1278</v>
      </c>
      <c r="B1279">
        <v>82</v>
      </c>
      <c r="C1279" t="s">
        <v>12</v>
      </c>
      <c r="D1279" s="1">
        <v>45409</v>
      </c>
      <c r="E1279" s="1">
        <v>45417</v>
      </c>
      <c r="F1279" t="s">
        <v>13</v>
      </c>
      <c r="G1279" t="s">
        <v>23</v>
      </c>
      <c r="H1279">
        <v>8</v>
      </c>
      <c r="I1279" t="s">
        <v>20</v>
      </c>
      <c r="J1279">
        <v>4</v>
      </c>
      <c r="K1279" t="s">
        <v>24</v>
      </c>
      <c r="L1279" t="s">
        <v>29</v>
      </c>
    </row>
    <row r="1280" spans="1:12" x14ac:dyDescent="0.25">
      <c r="A1280">
        <v>1279</v>
      </c>
      <c r="B1280">
        <v>41</v>
      </c>
      <c r="C1280" t="s">
        <v>26</v>
      </c>
      <c r="D1280" s="1">
        <v>45317</v>
      </c>
      <c r="E1280" s="1">
        <v>45324</v>
      </c>
      <c r="F1280" t="s">
        <v>31</v>
      </c>
      <c r="G1280" t="s">
        <v>23</v>
      </c>
      <c r="H1280">
        <v>7</v>
      </c>
      <c r="I1280" t="s">
        <v>15</v>
      </c>
      <c r="J1280">
        <v>2</v>
      </c>
      <c r="K1280" t="s">
        <v>21</v>
      </c>
      <c r="L1280" t="s">
        <v>30</v>
      </c>
    </row>
    <row r="1281" spans="1:12" x14ac:dyDescent="0.25">
      <c r="A1281">
        <v>1280</v>
      </c>
      <c r="B1281">
        <v>72</v>
      </c>
      <c r="C1281" t="s">
        <v>12</v>
      </c>
      <c r="D1281" s="1">
        <v>45454</v>
      </c>
      <c r="E1281" s="1">
        <v>45462</v>
      </c>
      <c r="F1281" t="s">
        <v>28</v>
      </c>
      <c r="G1281" t="s">
        <v>19</v>
      </c>
      <c r="H1281">
        <v>8</v>
      </c>
      <c r="I1281" t="s">
        <v>15</v>
      </c>
      <c r="J1281">
        <v>4</v>
      </c>
      <c r="K1281" t="s">
        <v>21</v>
      </c>
      <c r="L1281" t="s">
        <v>17</v>
      </c>
    </row>
    <row r="1282" spans="1:12" x14ac:dyDescent="0.25">
      <c r="A1282">
        <v>1281</v>
      </c>
      <c r="B1282">
        <v>43</v>
      </c>
      <c r="C1282" t="s">
        <v>26</v>
      </c>
      <c r="D1282" s="1">
        <v>45326</v>
      </c>
      <c r="E1282" s="1">
        <v>45333</v>
      </c>
      <c r="F1282" t="s">
        <v>18</v>
      </c>
      <c r="G1282" t="s">
        <v>19</v>
      </c>
      <c r="H1282">
        <v>7</v>
      </c>
      <c r="I1282" t="s">
        <v>15</v>
      </c>
      <c r="J1282">
        <v>4</v>
      </c>
      <c r="K1282" t="s">
        <v>21</v>
      </c>
      <c r="L1282" t="s">
        <v>22</v>
      </c>
    </row>
    <row r="1283" spans="1:12" x14ac:dyDescent="0.25">
      <c r="A1283">
        <v>1282</v>
      </c>
      <c r="B1283">
        <v>29</v>
      </c>
      <c r="C1283" t="s">
        <v>12</v>
      </c>
      <c r="D1283" s="1">
        <v>45380</v>
      </c>
      <c r="E1283" s="1">
        <v>45385</v>
      </c>
      <c r="F1283" t="s">
        <v>18</v>
      </c>
      <c r="G1283" t="s">
        <v>14</v>
      </c>
      <c r="H1283">
        <v>5</v>
      </c>
      <c r="I1283" t="s">
        <v>15</v>
      </c>
      <c r="J1283">
        <v>1</v>
      </c>
      <c r="K1283" t="s">
        <v>24</v>
      </c>
      <c r="L1283" t="s">
        <v>25</v>
      </c>
    </row>
    <row r="1284" spans="1:12" x14ac:dyDescent="0.25">
      <c r="A1284">
        <v>1283</v>
      </c>
      <c r="B1284">
        <v>39</v>
      </c>
      <c r="C1284" t="s">
        <v>26</v>
      </c>
      <c r="D1284" s="1">
        <v>45380</v>
      </c>
      <c r="E1284" s="1">
        <v>45382</v>
      </c>
      <c r="F1284" t="s">
        <v>31</v>
      </c>
      <c r="G1284" t="s">
        <v>19</v>
      </c>
      <c r="H1284">
        <v>2</v>
      </c>
      <c r="I1284" t="s">
        <v>20</v>
      </c>
      <c r="J1284">
        <v>1</v>
      </c>
      <c r="K1284" t="s">
        <v>21</v>
      </c>
      <c r="L1284" t="s">
        <v>17</v>
      </c>
    </row>
    <row r="1285" spans="1:12" x14ac:dyDescent="0.25">
      <c r="A1285">
        <v>1284</v>
      </c>
      <c r="B1285">
        <v>78</v>
      </c>
      <c r="C1285" t="s">
        <v>26</v>
      </c>
      <c r="D1285" s="1">
        <v>45351</v>
      </c>
      <c r="E1285" s="1">
        <v>45363</v>
      </c>
      <c r="F1285" t="s">
        <v>31</v>
      </c>
      <c r="G1285" t="s">
        <v>14</v>
      </c>
      <c r="H1285">
        <v>12</v>
      </c>
      <c r="I1285" t="s">
        <v>15</v>
      </c>
      <c r="J1285">
        <v>2</v>
      </c>
      <c r="K1285" t="s">
        <v>21</v>
      </c>
      <c r="L1285" t="s">
        <v>25</v>
      </c>
    </row>
    <row r="1286" spans="1:12" x14ac:dyDescent="0.25">
      <c r="A1286">
        <v>1285</v>
      </c>
      <c r="B1286">
        <v>59</v>
      </c>
      <c r="C1286" t="s">
        <v>26</v>
      </c>
      <c r="D1286" s="1">
        <v>45382</v>
      </c>
      <c r="E1286" s="1">
        <v>45391</v>
      </c>
      <c r="F1286" t="s">
        <v>13</v>
      </c>
      <c r="G1286" t="s">
        <v>14</v>
      </c>
      <c r="H1286">
        <v>9</v>
      </c>
      <c r="I1286" t="s">
        <v>20</v>
      </c>
      <c r="J1286">
        <v>1</v>
      </c>
      <c r="K1286" t="s">
        <v>21</v>
      </c>
      <c r="L1286" t="s">
        <v>29</v>
      </c>
    </row>
    <row r="1287" spans="1:12" x14ac:dyDescent="0.25">
      <c r="A1287">
        <v>1286</v>
      </c>
      <c r="B1287">
        <v>61</v>
      </c>
      <c r="C1287" t="s">
        <v>26</v>
      </c>
      <c r="D1287" s="1">
        <v>45617</v>
      </c>
      <c r="E1287" s="1">
        <v>45625</v>
      </c>
      <c r="F1287" t="s">
        <v>27</v>
      </c>
      <c r="G1287" t="s">
        <v>14</v>
      </c>
      <c r="H1287">
        <v>8</v>
      </c>
      <c r="I1287" t="s">
        <v>15</v>
      </c>
      <c r="J1287">
        <v>1</v>
      </c>
      <c r="K1287" t="s">
        <v>16</v>
      </c>
      <c r="L1287" t="s">
        <v>25</v>
      </c>
    </row>
    <row r="1288" spans="1:12" x14ac:dyDescent="0.25">
      <c r="A1288">
        <v>1287</v>
      </c>
      <c r="B1288">
        <v>43</v>
      </c>
      <c r="C1288" t="s">
        <v>26</v>
      </c>
      <c r="D1288" s="1">
        <v>45566</v>
      </c>
      <c r="E1288" s="1">
        <v>45576</v>
      </c>
      <c r="F1288" t="s">
        <v>13</v>
      </c>
      <c r="G1288" t="s">
        <v>14</v>
      </c>
      <c r="H1288">
        <v>10</v>
      </c>
      <c r="I1288" t="s">
        <v>20</v>
      </c>
      <c r="J1288">
        <v>4</v>
      </c>
      <c r="K1288" t="s">
        <v>16</v>
      </c>
      <c r="L1288" t="s">
        <v>29</v>
      </c>
    </row>
    <row r="1289" spans="1:12" x14ac:dyDescent="0.25">
      <c r="A1289">
        <v>1288</v>
      </c>
      <c r="B1289">
        <v>23</v>
      </c>
      <c r="C1289" t="s">
        <v>26</v>
      </c>
      <c r="D1289" s="1">
        <v>45330</v>
      </c>
      <c r="E1289" s="1">
        <v>45340</v>
      </c>
      <c r="F1289" t="s">
        <v>27</v>
      </c>
      <c r="G1289" t="s">
        <v>23</v>
      </c>
      <c r="H1289">
        <v>10</v>
      </c>
      <c r="I1289" t="s">
        <v>15</v>
      </c>
      <c r="J1289">
        <v>2</v>
      </c>
      <c r="K1289" t="s">
        <v>16</v>
      </c>
      <c r="L1289" t="s">
        <v>30</v>
      </c>
    </row>
    <row r="1290" spans="1:12" x14ac:dyDescent="0.25">
      <c r="A1290">
        <v>1289</v>
      </c>
      <c r="B1290">
        <v>65</v>
      </c>
      <c r="C1290" t="s">
        <v>26</v>
      </c>
      <c r="D1290" s="1">
        <v>45423</v>
      </c>
      <c r="E1290" s="1">
        <v>45438</v>
      </c>
      <c r="F1290" t="s">
        <v>27</v>
      </c>
      <c r="G1290" t="s">
        <v>14</v>
      </c>
      <c r="H1290">
        <v>15</v>
      </c>
      <c r="I1290" t="s">
        <v>15</v>
      </c>
      <c r="J1290">
        <v>1</v>
      </c>
      <c r="K1290" t="s">
        <v>24</v>
      </c>
      <c r="L1290" t="s">
        <v>25</v>
      </c>
    </row>
    <row r="1291" spans="1:12" x14ac:dyDescent="0.25">
      <c r="A1291">
        <v>1290</v>
      </c>
      <c r="B1291">
        <v>79</v>
      </c>
      <c r="C1291" t="s">
        <v>26</v>
      </c>
      <c r="D1291" s="1">
        <v>45650</v>
      </c>
      <c r="E1291" s="1">
        <v>45654</v>
      </c>
      <c r="F1291" t="s">
        <v>31</v>
      </c>
      <c r="G1291" t="s">
        <v>23</v>
      </c>
      <c r="H1291">
        <v>4</v>
      </c>
      <c r="I1291" t="s">
        <v>15</v>
      </c>
      <c r="J1291">
        <v>0</v>
      </c>
      <c r="K1291" t="s">
        <v>21</v>
      </c>
      <c r="L1291" t="s">
        <v>17</v>
      </c>
    </row>
    <row r="1292" spans="1:12" x14ac:dyDescent="0.25">
      <c r="A1292">
        <v>1291</v>
      </c>
      <c r="B1292">
        <v>89</v>
      </c>
      <c r="C1292" t="s">
        <v>12</v>
      </c>
      <c r="D1292" s="1">
        <v>45493</v>
      </c>
      <c r="E1292" s="1">
        <v>45506</v>
      </c>
      <c r="F1292" t="s">
        <v>13</v>
      </c>
      <c r="G1292" t="s">
        <v>23</v>
      </c>
      <c r="H1292">
        <v>13</v>
      </c>
      <c r="I1292" t="s">
        <v>15</v>
      </c>
      <c r="J1292">
        <v>1</v>
      </c>
      <c r="K1292" t="s">
        <v>21</v>
      </c>
      <c r="L1292" t="s">
        <v>30</v>
      </c>
    </row>
    <row r="1293" spans="1:12" x14ac:dyDescent="0.25">
      <c r="A1293">
        <v>1292</v>
      </c>
      <c r="B1293">
        <v>27</v>
      </c>
      <c r="C1293" t="s">
        <v>26</v>
      </c>
      <c r="D1293" s="1">
        <v>45585</v>
      </c>
      <c r="E1293" s="1">
        <v>45597</v>
      </c>
      <c r="F1293" t="s">
        <v>31</v>
      </c>
      <c r="G1293" t="s">
        <v>14</v>
      </c>
      <c r="H1293">
        <v>12</v>
      </c>
      <c r="I1293" t="s">
        <v>15</v>
      </c>
      <c r="J1293">
        <v>0</v>
      </c>
      <c r="K1293" t="s">
        <v>24</v>
      </c>
      <c r="L1293" t="s">
        <v>22</v>
      </c>
    </row>
    <row r="1294" spans="1:12" x14ac:dyDescent="0.25">
      <c r="A1294">
        <v>1293</v>
      </c>
      <c r="B1294">
        <v>50</v>
      </c>
      <c r="C1294" t="s">
        <v>12</v>
      </c>
      <c r="D1294" s="1">
        <v>45409</v>
      </c>
      <c r="E1294" s="1">
        <v>45412</v>
      </c>
      <c r="F1294" t="s">
        <v>31</v>
      </c>
      <c r="G1294" t="s">
        <v>14</v>
      </c>
      <c r="H1294">
        <v>3</v>
      </c>
      <c r="I1294" t="s">
        <v>15</v>
      </c>
      <c r="J1294">
        <v>4</v>
      </c>
      <c r="K1294" t="s">
        <v>24</v>
      </c>
      <c r="L1294" t="s">
        <v>30</v>
      </c>
    </row>
    <row r="1295" spans="1:12" x14ac:dyDescent="0.25">
      <c r="A1295">
        <v>1294</v>
      </c>
      <c r="B1295">
        <v>42</v>
      </c>
      <c r="C1295" t="s">
        <v>26</v>
      </c>
      <c r="D1295" s="1">
        <v>45523</v>
      </c>
      <c r="E1295" s="1">
        <v>45530</v>
      </c>
      <c r="F1295" t="s">
        <v>18</v>
      </c>
      <c r="G1295" t="s">
        <v>14</v>
      </c>
      <c r="H1295">
        <v>7</v>
      </c>
      <c r="I1295" t="s">
        <v>15</v>
      </c>
      <c r="J1295">
        <v>2</v>
      </c>
      <c r="K1295" t="s">
        <v>24</v>
      </c>
      <c r="L1295" t="s">
        <v>29</v>
      </c>
    </row>
    <row r="1296" spans="1:12" x14ac:dyDescent="0.25">
      <c r="A1296">
        <v>1295</v>
      </c>
      <c r="B1296">
        <v>47</v>
      </c>
      <c r="C1296" t="s">
        <v>12</v>
      </c>
      <c r="D1296" s="1">
        <v>45401</v>
      </c>
      <c r="E1296" s="1">
        <v>45416</v>
      </c>
      <c r="F1296" t="s">
        <v>31</v>
      </c>
      <c r="G1296" t="s">
        <v>19</v>
      </c>
      <c r="H1296">
        <v>15</v>
      </c>
      <c r="I1296" t="s">
        <v>15</v>
      </c>
      <c r="J1296">
        <v>2</v>
      </c>
      <c r="K1296" t="s">
        <v>16</v>
      </c>
      <c r="L1296" t="s">
        <v>22</v>
      </c>
    </row>
    <row r="1297" spans="1:12" x14ac:dyDescent="0.25">
      <c r="A1297">
        <v>1296</v>
      </c>
      <c r="B1297">
        <v>35</v>
      </c>
      <c r="C1297" t="s">
        <v>26</v>
      </c>
      <c r="D1297" s="1">
        <v>45293</v>
      </c>
      <c r="E1297" s="1">
        <v>45296</v>
      </c>
      <c r="F1297" t="s">
        <v>18</v>
      </c>
      <c r="G1297" t="s">
        <v>23</v>
      </c>
      <c r="H1297">
        <v>3</v>
      </c>
      <c r="I1297" t="s">
        <v>15</v>
      </c>
      <c r="J1297">
        <v>0</v>
      </c>
      <c r="K1297" t="s">
        <v>21</v>
      </c>
      <c r="L1297" t="s">
        <v>30</v>
      </c>
    </row>
    <row r="1298" spans="1:12" x14ac:dyDescent="0.25">
      <c r="A1298">
        <v>1297</v>
      </c>
      <c r="B1298">
        <v>88</v>
      </c>
      <c r="C1298" t="s">
        <v>12</v>
      </c>
      <c r="D1298" s="1">
        <v>45643</v>
      </c>
      <c r="E1298" s="1">
        <v>45657</v>
      </c>
      <c r="F1298" t="s">
        <v>28</v>
      </c>
      <c r="G1298" t="s">
        <v>14</v>
      </c>
      <c r="H1298">
        <v>14</v>
      </c>
      <c r="I1298" t="s">
        <v>20</v>
      </c>
      <c r="J1298">
        <v>4</v>
      </c>
      <c r="K1298" t="s">
        <v>21</v>
      </c>
      <c r="L1298" t="s">
        <v>17</v>
      </c>
    </row>
    <row r="1299" spans="1:12" x14ac:dyDescent="0.25">
      <c r="A1299">
        <v>1298</v>
      </c>
      <c r="B1299">
        <v>26</v>
      </c>
      <c r="C1299" t="s">
        <v>12</v>
      </c>
      <c r="D1299" s="1">
        <v>45564</v>
      </c>
      <c r="E1299" s="1">
        <v>45570</v>
      </c>
      <c r="F1299" t="s">
        <v>18</v>
      </c>
      <c r="G1299" t="s">
        <v>14</v>
      </c>
      <c r="H1299">
        <v>6</v>
      </c>
      <c r="I1299" t="s">
        <v>15</v>
      </c>
      <c r="J1299">
        <v>1</v>
      </c>
      <c r="K1299" t="s">
        <v>16</v>
      </c>
      <c r="L1299" t="s">
        <v>25</v>
      </c>
    </row>
    <row r="1300" spans="1:12" x14ac:dyDescent="0.25">
      <c r="A1300">
        <v>1299</v>
      </c>
      <c r="B1300">
        <v>53</v>
      </c>
      <c r="C1300" t="s">
        <v>26</v>
      </c>
      <c r="D1300" s="1">
        <v>45316</v>
      </c>
      <c r="E1300" s="1">
        <v>45317</v>
      </c>
      <c r="F1300" t="s">
        <v>18</v>
      </c>
      <c r="G1300" t="s">
        <v>19</v>
      </c>
      <c r="H1300">
        <v>1</v>
      </c>
      <c r="I1300" t="s">
        <v>15</v>
      </c>
      <c r="J1300">
        <v>0</v>
      </c>
      <c r="K1300" t="s">
        <v>16</v>
      </c>
      <c r="L1300" t="s">
        <v>29</v>
      </c>
    </row>
    <row r="1301" spans="1:12" x14ac:dyDescent="0.25">
      <c r="A1301">
        <v>1300</v>
      </c>
      <c r="B1301">
        <v>62</v>
      </c>
      <c r="C1301" t="s">
        <v>26</v>
      </c>
      <c r="D1301" s="1">
        <v>45626</v>
      </c>
      <c r="E1301" s="1">
        <v>45628</v>
      </c>
      <c r="F1301" t="s">
        <v>27</v>
      </c>
      <c r="G1301" t="s">
        <v>14</v>
      </c>
      <c r="H1301">
        <v>2</v>
      </c>
      <c r="I1301" t="s">
        <v>15</v>
      </c>
      <c r="J1301">
        <v>0</v>
      </c>
      <c r="K1301" t="s">
        <v>21</v>
      </c>
      <c r="L1301" t="s">
        <v>30</v>
      </c>
    </row>
    <row r="1302" spans="1:12" x14ac:dyDescent="0.25">
      <c r="A1302">
        <v>1301</v>
      </c>
      <c r="B1302">
        <v>70</v>
      </c>
      <c r="C1302" t="s">
        <v>12</v>
      </c>
      <c r="D1302" s="1">
        <v>45464</v>
      </c>
      <c r="E1302" s="1">
        <v>45465</v>
      </c>
      <c r="F1302" t="s">
        <v>28</v>
      </c>
      <c r="G1302" t="s">
        <v>23</v>
      </c>
      <c r="H1302">
        <v>1</v>
      </c>
      <c r="I1302" t="s">
        <v>20</v>
      </c>
      <c r="J1302">
        <v>0</v>
      </c>
      <c r="K1302" t="s">
        <v>24</v>
      </c>
      <c r="L1302" t="s">
        <v>22</v>
      </c>
    </row>
    <row r="1303" spans="1:12" x14ac:dyDescent="0.25">
      <c r="A1303">
        <v>1302</v>
      </c>
      <c r="B1303">
        <v>90</v>
      </c>
      <c r="C1303" t="s">
        <v>12</v>
      </c>
      <c r="D1303" s="1">
        <v>45376</v>
      </c>
      <c r="E1303" s="1">
        <v>45377</v>
      </c>
      <c r="F1303" t="s">
        <v>28</v>
      </c>
      <c r="G1303" t="s">
        <v>14</v>
      </c>
      <c r="H1303">
        <v>1</v>
      </c>
      <c r="I1303" t="s">
        <v>20</v>
      </c>
      <c r="J1303">
        <v>4</v>
      </c>
      <c r="K1303" t="s">
        <v>21</v>
      </c>
      <c r="L1303" t="s">
        <v>22</v>
      </c>
    </row>
    <row r="1304" spans="1:12" x14ac:dyDescent="0.25">
      <c r="A1304">
        <v>1303</v>
      </c>
      <c r="B1304">
        <v>37</v>
      </c>
      <c r="C1304" t="s">
        <v>12</v>
      </c>
      <c r="D1304" s="1">
        <v>45582</v>
      </c>
      <c r="E1304" s="1">
        <v>45597</v>
      </c>
      <c r="F1304" t="s">
        <v>13</v>
      </c>
      <c r="G1304" t="s">
        <v>19</v>
      </c>
      <c r="H1304">
        <v>15</v>
      </c>
      <c r="I1304" t="s">
        <v>20</v>
      </c>
      <c r="J1304">
        <v>1</v>
      </c>
      <c r="K1304" t="s">
        <v>24</v>
      </c>
      <c r="L1304" t="s">
        <v>22</v>
      </c>
    </row>
    <row r="1305" spans="1:12" x14ac:dyDescent="0.25">
      <c r="A1305">
        <v>1304</v>
      </c>
      <c r="B1305">
        <v>42</v>
      </c>
      <c r="C1305" t="s">
        <v>12</v>
      </c>
      <c r="D1305" s="1">
        <v>45311</v>
      </c>
      <c r="E1305" s="1">
        <v>45320</v>
      </c>
      <c r="F1305" t="s">
        <v>28</v>
      </c>
      <c r="G1305" t="s">
        <v>23</v>
      </c>
      <c r="H1305">
        <v>9</v>
      </c>
      <c r="I1305" t="s">
        <v>20</v>
      </c>
      <c r="J1305">
        <v>2</v>
      </c>
      <c r="K1305" t="s">
        <v>16</v>
      </c>
      <c r="L1305" t="s">
        <v>25</v>
      </c>
    </row>
    <row r="1306" spans="1:12" x14ac:dyDescent="0.25">
      <c r="A1306">
        <v>1305</v>
      </c>
      <c r="B1306">
        <v>75</v>
      </c>
      <c r="C1306" t="s">
        <v>12</v>
      </c>
      <c r="D1306" s="1">
        <v>45635</v>
      </c>
      <c r="E1306" s="1">
        <v>45650</v>
      </c>
      <c r="F1306" t="s">
        <v>28</v>
      </c>
      <c r="G1306" t="s">
        <v>19</v>
      </c>
      <c r="H1306">
        <v>15</v>
      </c>
      <c r="I1306" t="s">
        <v>20</v>
      </c>
      <c r="J1306">
        <v>2</v>
      </c>
      <c r="K1306" t="s">
        <v>16</v>
      </c>
      <c r="L1306" t="s">
        <v>30</v>
      </c>
    </row>
    <row r="1307" spans="1:12" x14ac:dyDescent="0.25">
      <c r="A1307">
        <v>1306</v>
      </c>
      <c r="B1307">
        <v>61</v>
      </c>
      <c r="C1307" t="s">
        <v>12</v>
      </c>
      <c r="D1307" s="1">
        <v>45548</v>
      </c>
      <c r="E1307" s="1">
        <v>45562</v>
      </c>
      <c r="F1307" t="s">
        <v>27</v>
      </c>
      <c r="G1307" t="s">
        <v>19</v>
      </c>
      <c r="H1307">
        <v>14</v>
      </c>
      <c r="I1307" t="s">
        <v>20</v>
      </c>
      <c r="J1307">
        <v>0</v>
      </c>
      <c r="K1307" t="s">
        <v>21</v>
      </c>
      <c r="L1307" t="s">
        <v>25</v>
      </c>
    </row>
    <row r="1308" spans="1:12" x14ac:dyDescent="0.25">
      <c r="A1308">
        <v>1307</v>
      </c>
      <c r="B1308">
        <v>31</v>
      </c>
      <c r="C1308" t="s">
        <v>26</v>
      </c>
      <c r="D1308" s="1">
        <v>45626</v>
      </c>
      <c r="E1308" s="1">
        <v>45634</v>
      </c>
      <c r="F1308" t="s">
        <v>27</v>
      </c>
      <c r="G1308" t="s">
        <v>14</v>
      </c>
      <c r="H1308">
        <v>8</v>
      </c>
      <c r="I1308" t="s">
        <v>20</v>
      </c>
      <c r="J1308">
        <v>2</v>
      </c>
      <c r="K1308" t="s">
        <v>24</v>
      </c>
      <c r="L1308" t="s">
        <v>30</v>
      </c>
    </row>
    <row r="1309" spans="1:12" x14ac:dyDescent="0.25">
      <c r="A1309">
        <v>1308</v>
      </c>
      <c r="B1309">
        <v>63</v>
      </c>
      <c r="C1309" t="s">
        <v>26</v>
      </c>
      <c r="D1309" s="1">
        <v>45418</v>
      </c>
      <c r="E1309" s="1">
        <v>45426</v>
      </c>
      <c r="F1309" t="s">
        <v>27</v>
      </c>
      <c r="G1309" t="s">
        <v>14</v>
      </c>
      <c r="H1309">
        <v>8</v>
      </c>
      <c r="I1309" t="s">
        <v>15</v>
      </c>
      <c r="J1309">
        <v>4</v>
      </c>
      <c r="K1309" t="s">
        <v>16</v>
      </c>
      <c r="L1309" t="s">
        <v>22</v>
      </c>
    </row>
    <row r="1310" spans="1:12" x14ac:dyDescent="0.25">
      <c r="A1310">
        <v>1309</v>
      </c>
      <c r="B1310">
        <v>84</v>
      </c>
      <c r="C1310" t="s">
        <v>26</v>
      </c>
      <c r="D1310" s="1">
        <v>45601</v>
      </c>
      <c r="E1310" s="1">
        <v>45616</v>
      </c>
      <c r="F1310" t="s">
        <v>27</v>
      </c>
      <c r="G1310" t="s">
        <v>23</v>
      </c>
      <c r="H1310">
        <v>15</v>
      </c>
      <c r="I1310" t="s">
        <v>15</v>
      </c>
      <c r="J1310">
        <v>4</v>
      </c>
      <c r="K1310" t="s">
        <v>24</v>
      </c>
      <c r="L1310" t="s">
        <v>30</v>
      </c>
    </row>
    <row r="1311" spans="1:12" x14ac:dyDescent="0.25">
      <c r="A1311">
        <v>1310</v>
      </c>
      <c r="B1311">
        <v>21</v>
      </c>
      <c r="C1311" t="s">
        <v>12</v>
      </c>
      <c r="D1311" s="1">
        <v>45534</v>
      </c>
      <c r="E1311" s="1">
        <v>45539</v>
      </c>
      <c r="F1311" t="s">
        <v>28</v>
      </c>
      <c r="G1311" t="s">
        <v>23</v>
      </c>
      <c r="H1311">
        <v>5</v>
      </c>
      <c r="I1311" t="s">
        <v>15</v>
      </c>
      <c r="J1311">
        <v>1</v>
      </c>
      <c r="K1311" t="s">
        <v>24</v>
      </c>
      <c r="L1311" t="s">
        <v>25</v>
      </c>
    </row>
    <row r="1312" spans="1:12" x14ac:dyDescent="0.25">
      <c r="A1312">
        <v>1311</v>
      </c>
      <c r="B1312">
        <v>30</v>
      </c>
      <c r="C1312" t="s">
        <v>26</v>
      </c>
      <c r="D1312" s="1">
        <v>45554</v>
      </c>
      <c r="E1312" s="1">
        <v>45563</v>
      </c>
      <c r="F1312" t="s">
        <v>18</v>
      </c>
      <c r="G1312" t="s">
        <v>14</v>
      </c>
      <c r="H1312">
        <v>9</v>
      </c>
      <c r="I1312" t="s">
        <v>15</v>
      </c>
      <c r="J1312">
        <v>3</v>
      </c>
      <c r="K1312" t="s">
        <v>24</v>
      </c>
      <c r="L1312" t="s">
        <v>25</v>
      </c>
    </row>
    <row r="1313" spans="1:12" x14ac:dyDescent="0.25">
      <c r="A1313">
        <v>1312</v>
      </c>
      <c r="B1313">
        <v>55</v>
      </c>
      <c r="C1313" t="s">
        <v>12</v>
      </c>
      <c r="D1313" s="1">
        <v>45442</v>
      </c>
      <c r="E1313" s="1">
        <v>45452</v>
      </c>
      <c r="F1313" t="s">
        <v>27</v>
      </c>
      <c r="G1313" t="s">
        <v>19</v>
      </c>
      <c r="H1313">
        <v>10</v>
      </c>
      <c r="I1313" t="s">
        <v>20</v>
      </c>
      <c r="J1313">
        <v>2</v>
      </c>
      <c r="K1313" t="s">
        <v>24</v>
      </c>
      <c r="L1313" t="s">
        <v>22</v>
      </c>
    </row>
    <row r="1314" spans="1:12" x14ac:dyDescent="0.25">
      <c r="A1314">
        <v>1313</v>
      </c>
      <c r="B1314">
        <v>20</v>
      </c>
      <c r="C1314" t="s">
        <v>12</v>
      </c>
      <c r="D1314" s="1">
        <v>45608</v>
      </c>
      <c r="E1314" s="1">
        <v>45619</v>
      </c>
      <c r="F1314" t="s">
        <v>18</v>
      </c>
      <c r="G1314" t="s">
        <v>14</v>
      </c>
      <c r="H1314">
        <v>11</v>
      </c>
      <c r="I1314" t="s">
        <v>15</v>
      </c>
      <c r="J1314">
        <v>2</v>
      </c>
      <c r="K1314" t="s">
        <v>24</v>
      </c>
      <c r="L1314" t="s">
        <v>22</v>
      </c>
    </row>
    <row r="1315" spans="1:12" x14ac:dyDescent="0.25">
      <c r="A1315">
        <v>1314</v>
      </c>
      <c r="B1315">
        <v>34</v>
      </c>
      <c r="C1315" t="s">
        <v>26</v>
      </c>
      <c r="D1315" s="1">
        <v>45402</v>
      </c>
      <c r="E1315" s="1">
        <v>45409</v>
      </c>
      <c r="F1315" t="s">
        <v>13</v>
      </c>
      <c r="G1315" t="s">
        <v>23</v>
      </c>
      <c r="H1315">
        <v>7</v>
      </c>
      <c r="I1315" t="s">
        <v>15</v>
      </c>
      <c r="J1315">
        <v>1</v>
      </c>
      <c r="K1315" t="s">
        <v>24</v>
      </c>
      <c r="L1315" t="s">
        <v>22</v>
      </c>
    </row>
    <row r="1316" spans="1:12" x14ac:dyDescent="0.25">
      <c r="A1316">
        <v>1315</v>
      </c>
      <c r="B1316">
        <v>20</v>
      </c>
      <c r="C1316" t="s">
        <v>26</v>
      </c>
      <c r="D1316" s="1">
        <v>45357</v>
      </c>
      <c r="E1316" s="1">
        <v>45368</v>
      </c>
      <c r="F1316" t="s">
        <v>13</v>
      </c>
      <c r="G1316" t="s">
        <v>23</v>
      </c>
      <c r="H1316">
        <v>11</v>
      </c>
      <c r="I1316" t="s">
        <v>15</v>
      </c>
      <c r="J1316">
        <v>1</v>
      </c>
      <c r="K1316" t="s">
        <v>21</v>
      </c>
      <c r="L1316" t="s">
        <v>25</v>
      </c>
    </row>
    <row r="1317" spans="1:12" x14ac:dyDescent="0.25">
      <c r="A1317">
        <v>1316</v>
      </c>
      <c r="B1317">
        <v>82</v>
      </c>
      <c r="C1317" t="s">
        <v>26</v>
      </c>
      <c r="D1317" s="1">
        <v>45561</v>
      </c>
      <c r="E1317" s="1">
        <v>45570</v>
      </c>
      <c r="F1317" t="s">
        <v>27</v>
      </c>
      <c r="G1317" t="s">
        <v>14</v>
      </c>
      <c r="H1317">
        <v>9</v>
      </c>
      <c r="I1317" t="s">
        <v>15</v>
      </c>
      <c r="J1317">
        <v>4</v>
      </c>
      <c r="K1317" t="s">
        <v>24</v>
      </c>
      <c r="L1317" t="s">
        <v>25</v>
      </c>
    </row>
    <row r="1318" spans="1:12" x14ac:dyDescent="0.25">
      <c r="A1318">
        <v>1317</v>
      </c>
      <c r="B1318">
        <v>73</v>
      </c>
      <c r="C1318" t="s">
        <v>26</v>
      </c>
      <c r="D1318" s="1">
        <v>45654</v>
      </c>
      <c r="E1318" s="1">
        <v>45666</v>
      </c>
      <c r="F1318" t="s">
        <v>31</v>
      </c>
      <c r="G1318" t="s">
        <v>23</v>
      </c>
      <c r="H1318">
        <v>12</v>
      </c>
      <c r="I1318" t="s">
        <v>15</v>
      </c>
      <c r="J1318">
        <v>3</v>
      </c>
      <c r="K1318" t="s">
        <v>21</v>
      </c>
      <c r="L1318" t="s">
        <v>22</v>
      </c>
    </row>
    <row r="1319" spans="1:12" x14ac:dyDescent="0.25">
      <c r="A1319">
        <v>1318</v>
      </c>
      <c r="B1319">
        <v>74</v>
      </c>
      <c r="C1319" t="s">
        <v>26</v>
      </c>
      <c r="D1319" s="1">
        <v>45560</v>
      </c>
      <c r="E1319" s="1">
        <v>45565</v>
      </c>
      <c r="F1319" t="s">
        <v>28</v>
      </c>
      <c r="G1319" t="s">
        <v>14</v>
      </c>
      <c r="H1319">
        <v>5</v>
      </c>
      <c r="I1319" t="s">
        <v>15</v>
      </c>
      <c r="J1319">
        <v>3</v>
      </c>
      <c r="K1319" t="s">
        <v>16</v>
      </c>
      <c r="L1319" t="s">
        <v>30</v>
      </c>
    </row>
    <row r="1320" spans="1:12" x14ac:dyDescent="0.25">
      <c r="A1320">
        <v>1319</v>
      </c>
      <c r="B1320">
        <v>47</v>
      </c>
      <c r="C1320" t="s">
        <v>26</v>
      </c>
      <c r="D1320" s="1">
        <v>45394</v>
      </c>
      <c r="E1320" s="1">
        <v>45403</v>
      </c>
      <c r="F1320" t="s">
        <v>13</v>
      </c>
      <c r="G1320" t="s">
        <v>14</v>
      </c>
      <c r="H1320">
        <v>9</v>
      </c>
      <c r="I1320" t="s">
        <v>15</v>
      </c>
      <c r="J1320">
        <v>3</v>
      </c>
      <c r="K1320" t="s">
        <v>24</v>
      </c>
      <c r="L1320" t="s">
        <v>29</v>
      </c>
    </row>
    <row r="1321" spans="1:12" x14ac:dyDescent="0.25">
      <c r="A1321">
        <v>1320</v>
      </c>
      <c r="B1321">
        <v>39</v>
      </c>
      <c r="C1321" t="s">
        <v>12</v>
      </c>
      <c r="D1321" s="1">
        <v>45527</v>
      </c>
      <c r="E1321" s="1">
        <v>45532</v>
      </c>
      <c r="F1321" t="s">
        <v>28</v>
      </c>
      <c r="G1321" t="s">
        <v>23</v>
      </c>
      <c r="H1321">
        <v>5</v>
      </c>
      <c r="I1321" t="s">
        <v>15</v>
      </c>
      <c r="J1321">
        <v>4</v>
      </c>
      <c r="K1321" t="s">
        <v>21</v>
      </c>
      <c r="L1321" t="s">
        <v>29</v>
      </c>
    </row>
    <row r="1322" spans="1:12" x14ac:dyDescent="0.25">
      <c r="A1322">
        <v>1321</v>
      </c>
      <c r="B1322">
        <v>85</v>
      </c>
      <c r="C1322" t="s">
        <v>26</v>
      </c>
      <c r="D1322" s="1">
        <v>45483</v>
      </c>
      <c r="E1322" s="1">
        <v>45498</v>
      </c>
      <c r="F1322" t="s">
        <v>31</v>
      </c>
      <c r="G1322" t="s">
        <v>23</v>
      </c>
      <c r="H1322">
        <v>15</v>
      </c>
      <c r="I1322" t="s">
        <v>15</v>
      </c>
      <c r="J1322">
        <v>1</v>
      </c>
      <c r="K1322" t="s">
        <v>21</v>
      </c>
      <c r="L1322" t="s">
        <v>25</v>
      </c>
    </row>
    <row r="1323" spans="1:12" x14ac:dyDescent="0.25">
      <c r="A1323">
        <v>1322</v>
      </c>
      <c r="B1323">
        <v>69</v>
      </c>
      <c r="C1323" t="s">
        <v>26</v>
      </c>
      <c r="D1323" s="1">
        <v>45477</v>
      </c>
      <c r="E1323" s="1">
        <v>45479</v>
      </c>
      <c r="F1323" t="s">
        <v>31</v>
      </c>
      <c r="G1323" t="s">
        <v>19</v>
      </c>
      <c r="H1323">
        <v>2</v>
      </c>
      <c r="I1323" t="s">
        <v>20</v>
      </c>
      <c r="J1323">
        <v>3</v>
      </c>
      <c r="K1323" t="s">
        <v>16</v>
      </c>
      <c r="L1323" t="s">
        <v>25</v>
      </c>
    </row>
    <row r="1324" spans="1:12" x14ac:dyDescent="0.25">
      <c r="A1324">
        <v>1323</v>
      </c>
      <c r="B1324">
        <v>71</v>
      </c>
      <c r="C1324" t="s">
        <v>26</v>
      </c>
      <c r="D1324" s="1">
        <v>45534</v>
      </c>
      <c r="E1324" s="1">
        <v>45547</v>
      </c>
      <c r="F1324" t="s">
        <v>27</v>
      </c>
      <c r="G1324" t="s">
        <v>19</v>
      </c>
      <c r="H1324">
        <v>13</v>
      </c>
      <c r="I1324" t="s">
        <v>15</v>
      </c>
      <c r="J1324">
        <v>3</v>
      </c>
      <c r="K1324" t="s">
        <v>16</v>
      </c>
      <c r="L1324" t="s">
        <v>17</v>
      </c>
    </row>
    <row r="1325" spans="1:12" x14ac:dyDescent="0.25">
      <c r="A1325">
        <v>1324</v>
      </c>
      <c r="B1325">
        <v>86</v>
      </c>
      <c r="C1325" t="s">
        <v>26</v>
      </c>
      <c r="D1325" s="1">
        <v>45338</v>
      </c>
      <c r="E1325" s="1">
        <v>45350</v>
      </c>
      <c r="F1325" t="s">
        <v>27</v>
      </c>
      <c r="G1325" t="s">
        <v>19</v>
      </c>
      <c r="H1325">
        <v>12</v>
      </c>
      <c r="I1325" t="s">
        <v>20</v>
      </c>
      <c r="J1325">
        <v>3</v>
      </c>
      <c r="K1325" t="s">
        <v>21</v>
      </c>
      <c r="L1325" t="s">
        <v>30</v>
      </c>
    </row>
    <row r="1326" spans="1:12" x14ac:dyDescent="0.25">
      <c r="A1326">
        <v>1325</v>
      </c>
      <c r="B1326">
        <v>25</v>
      </c>
      <c r="C1326" t="s">
        <v>26</v>
      </c>
      <c r="D1326" s="1">
        <v>45414</v>
      </c>
      <c r="E1326" s="1">
        <v>45429</v>
      </c>
      <c r="F1326" t="s">
        <v>18</v>
      </c>
      <c r="G1326" t="s">
        <v>14</v>
      </c>
      <c r="H1326">
        <v>15</v>
      </c>
      <c r="I1326" t="s">
        <v>20</v>
      </c>
      <c r="J1326">
        <v>2</v>
      </c>
      <c r="K1326" t="s">
        <v>24</v>
      </c>
      <c r="L1326" t="s">
        <v>17</v>
      </c>
    </row>
    <row r="1327" spans="1:12" x14ac:dyDescent="0.25">
      <c r="A1327">
        <v>1326</v>
      </c>
      <c r="B1327">
        <v>54</v>
      </c>
      <c r="C1327" t="s">
        <v>12</v>
      </c>
      <c r="D1327" s="1">
        <v>45555</v>
      </c>
      <c r="E1327" s="1">
        <v>45557</v>
      </c>
      <c r="F1327" t="s">
        <v>18</v>
      </c>
      <c r="G1327" t="s">
        <v>14</v>
      </c>
      <c r="H1327">
        <v>2</v>
      </c>
      <c r="I1327" t="s">
        <v>15</v>
      </c>
      <c r="J1327">
        <v>1</v>
      </c>
      <c r="K1327" t="s">
        <v>24</v>
      </c>
      <c r="L1327" t="s">
        <v>29</v>
      </c>
    </row>
    <row r="1328" spans="1:12" x14ac:dyDescent="0.25">
      <c r="A1328">
        <v>1327</v>
      </c>
      <c r="B1328">
        <v>24</v>
      </c>
      <c r="C1328" t="s">
        <v>26</v>
      </c>
      <c r="D1328" s="1">
        <v>45528</v>
      </c>
      <c r="E1328" s="1">
        <v>45529</v>
      </c>
      <c r="F1328" t="s">
        <v>27</v>
      </c>
      <c r="G1328" t="s">
        <v>14</v>
      </c>
      <c r="H1328">
        <v>1</v>
      </c>
      <c r="I1328" t="s">
        <v>15</v>
      </c>
      <c r="J1328">
        <v>0</v>
      </c>
      <c r="K1328" t="s">
        <v>16</v>
      </c>
      <c r="L1328" t="s">
        <v>22</v>
      </c>
    </row>
    <row r="1329" spans="1:12" x14ac:dyDescent="0.25">
      <c r="A1329">
        <v>1328</v>
      </c>
      <c r="B1329">
        <v>45</v>
      </c>
      <c r="C1329" t="s">
        <v>12</v>
      </c>
      <c r="D1329" s="1">
        <v>45336</v>
      </c>
      <c r="E1329" s="1">
        <v>45350</v>
      </c>
      <c r="F1329" t="s">
        <v>18</v>
      </c>
      <c r="G1329" t="s">
        <v>19</v>
      </c>
      <c r="H1329">
        <v>14</v>
      </c>
      <c r="I1329" t="s">
        <v>15</v>
      </c>
      <c r="J1329">
        <v>4</v>
      </c>
      <c r="K1329" t="s">
        <v>21</v>
      </c>
      <c r="L1329" t="s">
        <v>17</v>
      </c>
    </row>
    <row r="1330" spans="1:12" x14ac:dyDescent="0.25">
      <c r="A1330">
        <v>1329</v>
      </c>
      <c r="B1330">
        <v>76</v>
      </c>
      <c r="C1330" t="s">
        <v>12</v>
      </c>
      <c r="D1330" s="1">
        <v>45345</v>
      </c>
      <c r="E1330" s="1">
        <v>45360</v>
      </c>
      <c r="F1330" t="s">
        <v>28</v>
      </c>
      <c r="G1330" t="s">
        <v>23</v>
      </c>
      <c r="H1330">
        <v>15</v>
      </c>
      <c r="I1330" t="s">
        <v>20</v>
      </c>
      <c r="J1330">
        <v>3</v>
      </c>
      <c r="K1330" t="s">
        <v>16</v>
      </c>
      <c r="L1330" t="s">
        <v>25</v>
      </c>
    </row>
    <row r="1331" spans="1:12" x14ac:dyDescent="0.25">
      <c r="A1331">
        <v>1330</v>
      </c>
      <c r="B1331">
        <v>48</v>
      </c>
      <c r="C1331" t="s">
        <v>12</v>
      </c>
      <c r="D1331" s="1">
        <v>45584</v>
      </c>
      <c r="E1331" s="1">
        <v>45587</v>
      </c>
      <c r="F1331" t="s">
        <v>31</v>
      </c>
      <c r="G1331" t="s">
        <v>14</v>
      </c>
      <c r="H1331">
        <v>3</v>
      </c>
      <c r="I1331" t="s">
        <v>20</v>
      </c>
      <c r="J1331">
        <v>2</v>
      </c>
      <c r="K1331" t="s">
        <v>16</v>
      </c>
      <c r="L1331" t="s">
        <v>17</v>
      </c>
    </row>
    <row r="1332" spans="1:12" x14ac:dyDescent="0.25">
      <c r="A1332">
        <v>1331</v>
      </c>
      <c r="B1332">
        <v>21</v>
      </c>
      <c r="C1332" t="s">
        <v>12</v>
      </c>
      <c r="D1332" s="1">
        <v>45326</v>
      </c>
      <c r="E1332" s="1">
        <v>45329</v>
      </c>
      <c r="F1332" t="s">
        <v>28</v>
      </c>
      <c r="G1332" t="s">
        <v>19</v>
      </c>
      <c r="H1332">
        <v>3</v>
      </c>
      <c r="I1332" t="s">
        <v>15</v>
      </c>
      <c r="J1332">
        <v>3</v>
      </c>
      <c r="K1332" t="s">
        <v>21</v>
      </c>
      <c r="L1332" t="s">
        <v>25</v>
      </c>
    </row>
    <row r="1333" spans="1:12" x14ac:dyDescent="0.25">
      <c r="A1333">
        <v>1332</v>
      </c>
      <c r="B1333">
        <v>68</v>
      </c>
      <c r="C1333" t="s">
        <v>26</v>
      </c>
      <c r="D1333" s="1">
        <v>45320</v>
      </c>
      <c r="E1333" s="1">
        <v>45331</v>
      </c>
      <c r="F1333" t="s">
        <v>13</v>
      </c>
      <c r="G1333" t="s">
        <v>14</v>
      </c>
      <c r="H1333">
        <v>11</v>
      </c>
      <c r="I1333" t="s">
        <v>20</v>
      </c>
      <c r="J1333">
        <v>3</v>
      </c>
      <c r="K1333" t="s">
        <v>21</v>
      </c>
      <c r="L1333" t="s">
        <v>30</v>
      </c>
    </row>
    <row r="1334" spans="1:12" x14ac:dyDescent="0.25">
      <c r="A1334">
        <v>1333</v>
      </c>
      <c r="B1334">
        <v>31</v>
      </c>
      <c r="C1334" t="s">
        <v>12</v>
      </c>
      <c r="D1334" s="1">
        <v>45645</v>
      </c>
      <c r="E1334" s="1">
        <v>45660</v>
      </c>
      <c r="F1334" t="s">
        <v>28</v>
      </c>
      <c r="G1334" t="s">
        <v>19</v>
      </c>
      <c r="H1334">
        <v>15</v>
      </c>
      <c r="I1334" t="s">
        <v>15</v>
      </c>
      <c r="J1334">
        <v>1</v>
      </c>
      <c r="K1334" t="s">
        <v>24</v>
      </c>
      <c r="L1334" t="s">
        <v>17</v>
      </c>
    </row>
    <row r="1335" spans="1:12" x14ac:dyDescent="0.25">
      <c r="A1335">
        <v>1334</v>
      </c>
      <c r="B1335">
        <v>21</v>
      </c>
      <c r="C1335" t="s">
        <v>12</v>
      </c>
      <c r="D1335" s="1">
        <v>45478</v>
      </c>
      <c r="E1335" s="1">
        <v>45486</v>
      </c>
      <c r="F1335" t="s">
        <v>28</v>
      </c>
      <c r="G1335" t="s">
        <v>14</v>
      </c>
      <c r="H1335">
        <v>8</v>
      </c>
      <c r="I1335" t="s">
        <v>15</v>
      </c>
      <c r="J1335">
        <v>3</v>
      </c>
      <c r="K1335" t="s">
        <v>21</v>
      </c>
      <c r="L1335" t="s">
        <v>30</v>
      </c>
    </row>
    <row r="1336" spans="1:12" x14ac:dyDescent="0.25">
      <c r="A1336">
        <v>1335</v>
      </c>
      <c r="B1336">
        <v>28</v>
      </c>
      <c r="C1336" t="s">
        <v>12</v>
      </c>
      <c r="D1336" s="1">
        <v>45473</v>
      </c>
      <c r="E1336" s="1">
        <v>45477</v>
      </c>
      <c r="F1336" t="s">
        <v>31</v>
      </c>
      <c r="G1336" t="s">
        <v>23</v>
      </c>
      <c r="H1336">
        <v>4</v>
      </c>
      <c r="I1336" t="s">
        <v>15</v>
      </c>
      <c r="J1336">
        <v>3</v>
      </c>
      <c r="K1336" t="s">
        <v>24</v>
      </c>
      <c r="L1336" t="s">
        <v>17</v>
      </c>
    </row>
    <row r="1337" spans="1:12" x14ac:dyDescent="0.25">
      <c r="A1337">
        <v>1336</v>
      </c>
      <c r="B1337">
        <v>63</v>
      </c>
      <c r="C1337" t="s">
        <v>12</v>
      </c>
      <c r="D1337" s="1">
        <v>45417</v>
      </c>
      <c r="E1337" s="1">
        <v>45423</v>
      </c>
      <c r="F1337" t="s">
        <v>13</v>
      </c>
      <c r="G1337" t="s">
        <v>19</v>
      </c>
      <c r="H1337">
        <v>6</v>
      </c>
      <c r="I1337" t="s">
        <v>15</v>
      </c>
      <c r="J1337">
        <v>0</v>
      </c>
      <c r="K1337" t="s">
        <v>24</v>
      </c>
      <c r="L1337" t="s">
        <v>22</v>
      </c>
    </row>
    <row r="1338" spans="1:12" x14ac:dyDescent="0.25">
      <c r="A1338">
        <v>1337</v>
      </c>
      <c r="B1338">
        <v>79</v>
      </c>
      <c r="C1338" t="s">
        <v>12</v>
      </c>
      <c r="D1338" s="1">
        <v>45306</v>
      </c>
      <c r="E1338" s="1">
        <v>45312</v>
      </c>
      <c r="F1338" t="s">
        <v>27</v>
      </c>
      <c r="G1338" t="s">
        <v>19</v>
      </c>
      <c r="H1338">
        <v>6</v>
      </c>
      <c r="I1338" t="s">
        <v>15</v>
      </c>
      <c r="J1338">
        <v>1</v>
      </c>
      <c r="K1338" t="s">
        <v>16</v>
      </c>
      <c r="L1338" t="s">
        <v>30</v>
      </c>
    </row>
    <row r="1339" spans="1:12" x14ac:dyDescent="0.25">
      <c r="A1339">
        <v>1338</v>
      </c>
      <c r="B1339">
        <v>32</v>
      </c>
      <c r="C1339" t="s">
        <v>26</v>
      </c>
      <c r="D1339" s="1">
        <v>45475</v>
      </c>
      <c r="E1339" s="1">
        <v>45489</v>
      </c>
      <c r="F1339" t="s">
        <v>28</v>
      </c>
      <c r="G1339" t="s">
        <v>19</v>
      </c>
      <c r="H1339">
        <v>14</v>
      </c>
      <c r="I1339" t="s">
        <v>15</v>
      </c>
      <c r="J1339">
        <v>1</v>
      </c>
      <c r="K1339" t="s">
        <v>21</v>
      </c>
      <c r="L1339" t="s">
        <v>25</v>
      </c>
    </row>
    <row r="1340" spans="1:12" x14ac:dyDescent="0.25">
      <c r="A1340">
        <v>1339</v>
      </c>
      <c r="B1340">
        <v>25</v>
      </c>
      <c r="C1340" t="s">
        <v>12</v>
      </c>
      <c r="D1340" s="1">
        <v>45333</v>
      </c>
      <c r="E1340" s="1">
        <v>45345</v>
      </c>
      <c r="F1340" t="s">
        <v>31</v>
      </c>
      <c r="G1340" t="s">
        <v>23</v>
      </c>
      <c r="H1340">
        <v>12</v>
      </c>
      <c r="I1340" t="s">
        <v>20</v>
      </c>
      <c r="J1340">
        <v>1</v>
      </c>
      <c r="K1340" t="s">
        <v>21</v>
      </c>
      <c r="L1340" t="s">
        <v>25</v>
      </c>
    </row>
    <row r="1341" spans="1:12" x14ac:dyDescent="0.25">
      <c r="A1341">
        <v>1340</v>
      </c>
      <c r="B1341">
        <v>73</v>
      </c>
      <c r="C1341" t="s">
        <v>26</v>
      </c>
      <c r="D1341" s="1">
        <v>45465</v>
      </c>
      <c r="E1341" s="1">
        <v>45477</v>
      </c>
      <c r="F1341" t="s">
        <v>31</v>
      </c>
      <c r="G1341" t="s">
        <v>19</v>
      </c>
      <c r="H1341">
        <v>12</v>
      </c>
      <c r="I1341" t="s">
        <v>15</v>
      </c>
      <c r="J1341">
        <v>0</v>
      </c>
      <c r="K1341" t="s">
        <v>16</v>
      </c>
      <c r="L1341" t="s">
        <v>22</v>
      </c>
    </row>
    <row r="1342" spans="1:12" x14ac:dyDescent="0.25">
      <c r="A1342">
        <v>1341</v>
      </c>
      <c r="B1342">
        <v>51</v>
      </c>
      <c r="C1342" t="s">
        <v>12</v>
      </c>
      <c r="D1342" s="1">
        <v>45383</v>
      </c>
      <c r="E1342" s="1">
        <v>45385</v>
      </c>
      <c r="F1342" t="s">
        <v>31</v>
      </c>
      <c r="G1342" t="s">
        <v>23</v>
      </c>
      <c r="H1342">
        <v>2</v>
      </c>
      <c r="I1342" t="s">
        <v>15</v>
      </c>
      <c r="J1342">
        <v>0</v>
      </c>
      <c r="K1342" t="s">
        <v>16</v>
      </c>
      <c r="L1342" t="s">
        <v>22</v>
      </c>
    </row>
    <row r="1343" spans="1:12" x14ac:dyDescent="0.25">
      <c r="A1343">
        <v>1342</v>
      </c>
      <c r="B1343">
        <v>89</v>
      </c>
      <c r="C1343" t="s">
        <v>26</v>
      </c>
      <c r="D1343" s="1">
        <v>45654</v>
      </c>
      <c r="E1343" s="1">
        <v>45665</v>
      </c>
      <c r="F1343" t="s">
        <v>31</v>
      </c>
      <c r="G1343" t="s">
        <v>23</v>
      </c>
      <c r="H1343">
        <v>11</v>
      </c>
      <c r="I1343" t="s">
        <v>20</v>
      </c>
      <c r="J1343">
        <v>3</v>
      </c>
      <c r="K1343" t="s">
        <v>24</v>
      </c>
      <c r="L1343" t="s">
        <v>29</v>
      </c>
    </row>
    <row r="1344" spans="1:12" x14ac:dyDescent="0.25">
      <c r="A1344">
        <v>1343</v>
      </c>
      <c r="B1344">
        <v>31</v>
      </c>
      <c r="C1344" t="s">
        <v>26</v>
      </c>
      <c r="D1344" s="1">
        <v>45450</v>
      </c>
      <c r="E1344" s="1">
        <v>45459</v>
      </c>
      <c r="F1344" t="s">
        <v>18</v>
      </c>
      <c r="G1344" t="s">
        <v>19</v>
      </c>
      <c r="H1344">
        <v>9</v>
      </c>
      <c r="I1344" t="s">
        <v>15</v>
      </c>
      <c r="J1344">
        <v>3</v>
      </c>
      <c r="K1344" t="s">
        <v>16</v>
      </c>
      <c r="L1344" t="s">
        <v>17</v>
      </c>
    </row>
    <row r="1345" spans="1:12" x14ac:dyDescent="0.25">
      <c r="A1345">
        <v>1344</v>
      </c>
      <c r="B1345">
        <v>30</v>
      </c>
      <c r="C1345" t="s">
        <v>12</v>
      </c>
      <c r="D1345" s="1">
        <v>45304</v>
      </c>
      <c r="E1345" s="1">
        <v>45315</v>
      </c>
      <c r="F1345" t="s">
        <v>27</v>
      </c>
      <c r="G1345" t="s">
        <v>19</v>
      </c>
      <c r="H1345">
        <v>11</v>
      </c>
      <c r="I1345" t="s">
        <v>15</v>
      </c>
      <c r="J1345">
        <v>1</v>
      </c>
      <c r="K1345" t="s">
        <v>24</v>
      </c>
      <c r="L1345" t="s">
        <v>17</v>
      </c>
    </row>
    <row r="1346" spans="1:12" x14ac:dyDescent="0.25">
      <c r="A1346">
        <v>1345</v>
      </c>
      <c r="B1346">
        <v>59</v>
      </c>
      <c r="C1346" t="s">
        <v>12</v>
      </c>
      <c r="D1346" s="1">
        <v>45384</v>
      </c>
      <c r="E1346" s="1">
        <v>45390</v>
      </c>
      <c r="F1346" t="s">
        <v>31</v>
      </c>
      <c r="G1346" t="s">
        <v>19</v>
      </c>
      <c r="H1346">
        <v>6</v>
      </c>
      <c r="I1346" t="s">
        <v>20</v>
      </c>
      <c r="J1346">
        <v>3</v>
      </c>
      <c r="K1346" t="s">
        <v>24</v>
      </c>
      <c r="L1346" t="s">
        <v>22</v>
      </c>
    </row>
    <row r="1347" spans="1:12" x14ac:dyDescent="0.25">
      <c r="A1347">
        <v>1346</v>
      </c>
      <c r="B1347">
        <v>34</v>
      </c>
      <c r="C1347" t="s">
        <v>26</v>
      </c>
      <c r="D1347" s="1">
        <v>45504</v>
      </c>
      <c r="E1347" s="1">
        <v>45515</v>
      </c>
      <c r="F1347" t="s">
        <v>13</v>
      </c>
      <c r="G1347" t="s">
        <v>14</v>
      </c>
      <c r="H1347">
        <v>11</v>
      </c>
      <c r="I1347" t="s">
        <v>15</v>
      </c>
      <c r="J1347">
        <v>2</v>
      </c>
      <c r="K1347" t="s">
        <v>16</v>
      </c>
      <c r="L1347" t="s">
        <v>25</v>
      </c>
    </row>
    <row r="1348" spans="1:12" x14ac:dyDescent="0.25">
      <c r="A1348">
        <v>1347</v>
      </c>
      <c r="B1348">
        <v>23</v>
      </c>
      <c r="C1348" t="s">
        <v>12</v>
      </c>
      <c r="D1348" s="1">
        <v>45487</v>
      </c>
      <c r="E1348" s="1">
        <v>45502</v>
      </c>
      <c r="F1348" t="s">
        <v>31</v>
      </c>
      <c r="G1348" t="s">
        <v>23</v>
      </c>
      <c r="H1348">
        <v>15</v>
      </c>
      <c r="I1348" t="s">
        <v>15</v>
      </c>
      <c r="J1348">
        <v>1</v>
      </c>
      <c r="K1348" t="s">
        <v>21</v>
      </c>
      <c r="L1348" t="s">
        <v>29</v>
      </c>
    </row>
    <row r="1349" spans="1:12" x14ac:dyDescent="0.25">
      <c r="A1349">
        <v>1348</v>
      </c>
      <c r="B1349">
        <v>50</v>
      </c>
      <c r="C1349" t="s">
        <v>26</v>
      </c>
      <c r="D1349" s="1">
        <v>45480</v>
      </c>
      <c r="E1349" s="1">
        <v>45483</v>
      </c>
      <c r="F1349" t="s">
        <v>13</v>
      </c>
      <c r="G1349" t="s">
        <v>19</v>
      </c>
      <c r="H1349">
        <v>3</v>
      </c>
      <c r="I1349" t="s">
        <v>20</v>
      </c>
      <c r="J1349">
        <v>1</v>
      </c>
      <c r="K1349" t="s">
        <v>24</v>
      </c>
      <c r="L1349" t="s">
        <v>22</v>
      </c>
    </row>
    <row r="1350" spans="1:12" x14ac:dyDescent="0.25">
      <c r="A1350">
        <v>1349</v>
      </c>
      <c r="B1350">
        <v>59</v>
      </c>
      <c r="C1350" t="s">
        <v>26</v>
      </c>
      <c r="D1350" s="1">
        <v>45595</v>
      </c>
      <c r="E1350" s="1">
        <v>45596</v>
      </c>
      <c r="F1350" t="s">
        <v>31</v>
      </c>
      <c r="G1350" t="s">
        <v>23</v>
      </c>
      <c r="H1350">
        <v>1</v>
      </c>
      <c r="I1350" t="s">
        <v>15</v>
      </c>
      <c r="J1350">
        <v>0</v>
      </c>
      <c r="K1350" t="s">
        <v>21</v>
      </c>
      <c r="L1350" t="s">
        <v>30</v>
      </c>
    </row>
    <row r="1351" spans="1:12" x14ac:dyDescent="0.25">
      <c r="A1351">
        <v>1350</v>
      </c>
      <c r="B1351">
        <v>26</v>
      </c>
      <c r="C1351" t="s">
        <v>12</v>
      </c>
      <c r="D1351" s="1">
        <v>45611</v>
      </c>
      <c r="E1351" s="1">
        <v>45625</v>
      </c>
      <c r="F1351" t="s">
        <v>28</v>
      </c>
      <c r="G1351" t="s">
        <v>19</v>
      </c>
      <c r="H1351">
        <v>14</v>
      </c>
      <c r="I1351" t="s">
        <v>20</v>
      </c>
      <c r="J1351">
        <v>0</v>
      </c>
      <c r="K1351" t="s">
        <v>21</v>
      </c>
      <c r="L1351" t="s">
        <v>30</v>
      </c>
    </row>
    <row r="1352" spans="1:12" x14ac:dyDescent="0.25">
      <c r="A1352">
        <v>1351</v>
      </c>
      <c r="B1352">
        <v>54</v>
      </c>
      <c r="C1352" t="s">
        <v>12</v>
      </c>
      <c r="D1352" s="1">
        <v>45449</v>
      </c>
      <c r="E1352" s="1">
        <v>45454</v>
      </c>
      <c r="F1352" t="s">
        <v>18</v>
      </c>
      <c r="G1352" t="s">
        <v>14</v>
      </c>
      <c r="H1352">
        <v>5</v>
      </c>
      <c r="I1352" t="s">
        <v>15</v>
      </c>
      <c r="J1352">
        <v>0</v>
      </c>
      <c r="K1352" t="s">
        <v>24</v>
      </c>
      <c r="L1352" t="s">
        <v>25</v>
      </c>
    </row>
    <row r="1353" spans="1:12" x14ac:dyDescent="0.25">
      <c r="A1353">
        <v>1352</v>
      </c>
      <c r="B1353">
        <v>43</v>
      </c>
      <c r="C1353" t="s">
        <v>12</v>
      </c>
      <c r="D1353" s="1">
        <v>45401</v>
      </c>
      <c r="E1353" s="1">
        <v>45414</v>
      </c>
      <c r="F1353" t="s">
        <v>13</v>
      </c>
      <c r="G1353" t="s">
        <v>14</v>
      </c>
      <c r="H1353">
        <v>13</v>
      </c>
      <c r="I1353" t="s">
        <v>15</v>
      </c>
      <c r="J1353">
        <v>3</v>
      </c>
      <c r="K1353" t="s">
        <v>21</v>
      </c>
      <c r="L1353" t="s">
        <v>25</v>
      </c>
    </row>
    <row r="1354" spans="1:12" x14ac:dyDescent="0.25">
      <c r="A1354">
        <v>1353</v>
      </c>
      <c r="B1354">
        <v>32</v>
      </c>
      <c r="C1354" t="s">
        <v>12</v>
      </c>
      <c r="D1354" s="1">
        <v>45591</v>
      </c>
      <c r="E1354" s="1">
        <v>45595</v>
      </c>
      <c r="F1354" t="s">
        <v>31</v>
      </c>
      <c r="G1354" t="s">
        <v>14</v>
      </c>
      <c r="H1354">
        <v>4</v>
      </c>
      <c r="I1354" t="s">
        <v>20</v>
      </c>
      <c r="J1354">
        <v>0</v>
      </c>
      <c r="K1354" t="s">
        <v>24</v>
      </c>
      <c r="L1354" t="s">
        <v>22</v>
      </c>
    </row>
    <row r="1355" spans="1:12" x14ac:dyDescent="0.25">
      <c r="A1355">
        <v>1354</v>
      </c>
      <c r="B1355">
        <v>64</v>
      </c>
      <c r="C1355" t="s">
        <v>12</v>
      </c>
      <c r="D1355" s="1">
        <v>45573</v>
      </c>
      <c r="E1355" s="1">
        <v>45575</v>
      </c>
      <c r="F1355" t="s">
        <v>18</v>
      </c>
      <c r="G1355" t="s">
        <v>14</v>
      </c>
      <c r="H1355">
        <v>2</v>
      </c>
      <c r="I1355" t="s">
        <v>15</v>
      </c>
      <c r="J1355">
        <v>0</v>
      </c>
      <c r="K1355" t="s">
        <v>16</v>
      </c>
      <c r="L1355" t="s">
        <v>22</v>
      </c>
    </row>
    <row r="1356" spans="1:12" x14ac:dyDescent="0.25">
      <c r="A1356">
        <v>1355</v>
      </c>
      <c r="B1356">
        <v>71</v>
      </c>
      <c r="C1356" t="s">
        <v>12</v>
      </c>
      <c r="D1356" s="1">
        <v>45624</v>
      </c>
      <c r="E1356" s="1">
        <v>45631</v>
      </c>
      <c r="F1356" t="s">
        <v>31</v>
      </c>
      <c r="G1356" t="s">
        <v>19</v>
      </c>
      <c r="H1356">
        <v>7</v>
      </c>
      <c r="I1356" t="s">
        <v>15</v>
      </c>
      <c r="J1356">
        <v>0</v>
      </c>
      <c r="K1356" t="s">
        <v>16</v>
      </c>
      <c r="L1356" t="s">
        <v>22</v>
      </c>
    </row>
    <row r="1357" spans="1:12" x14ac:dyDescent="0.25">
      <c r="A1357">
        <v>1356</v>
      </c>
      <c r="B1357">
        <v>35</v>
      </c>
      <c r="C1357" t="s">
        <v>12</v>
      </c>
      <c r="D1357" s="1">
        <v>45476</v>
      </c>
      <c r="E1357" s="1">
        <v>45484</v>
      </c>
      <c r="F1357" t="s">
        <v>28</v>
      </c>
      <c r="G1357" t="s">
        <v>14</v>
      </c>
      <c r="H1357">
        <v>8</v>
      </c>
      <c r="I1357" t="s">
        <v>15</v>
      </c>
      <c r="J1357">
        <v>2</v>
      </c>
      <c r="K1357" t="s">
        <v>24</v>
      </c>
      <c r="L1357" t="s">
        <v>22</v>
      </c>
    </row>
    <row r="1358" spans="1:12" x14ac:dyDescent="0.25">
      <c r="A1358">
        <v>1357</v>
      </c>
      <c r="B1358">
        <v>35</v>
      </c>
      <c r="C1358" t="s">
        <v>12</v>
      </c>
      <c r="D1358" s="1">
        <v>45618</v>
      </c>
      <c r="E1358" s="1">
        <v>45630</v>
      </c>
      <c r="F1358" t="s">
        <v>13</v>
      </c>
      <c r="G1358" t="s">
        <v>23</v>
      </c>
      <c r="H1358">
        <v>12</v>
      </c>
      <c r="I1358" t="s">
        <v>15</v>
      </c>
      <c r="J1358">
        <v>2</v>
      </c>
      <c r="K1358" t="s">
        <v>21</v>
      </c>
      <c r="L1358" t="s">
        <v>22</v>
      </c>
    </row>
    <row r="1359" spans="1:12" x14ac:dyDescent="0.25">
      <c r="A1359">
        <v>1358</v>
      </c>
      <c r="B1359">
        <v>31</v>
      </c>
      <c r="C1359" t="s">
        <v>26</v>
      </c>
      <c r="D1359" s="1">
        <v>45519</v>
      </c>
      <c r="E1359" s="1">
        <v>45529</v>
      </c>
      <c r="F1359" t="s">
        <v>27</v>
      </c>
      <c r="G1359" t="s">
        <v>23</v>
      </c>
      <c r="H1359">
        <v>10</v>
      </c>
      <c r="I1359" t="s">
        <v>20</v>
      </c>
      <c r="J1359">
        <v>3</v>
      </c>
      <c r="K1359" t="s">
        <v>24</v>
      </c>
      <c r="L1359" t="s">
        <v>30</v>
      </c>
    </row>
    <row r="1360" spans="1:12" x14ac:dyDescent="0.25">
      <c r="A1360">
        <v>1359</v>
      </c>
      <c r="B1360">
        <v>73</v>
      </c>
      <c r="C1360" t="s">
        <v>12</v>
      </c>
      <c r="D1360" s="1">
        <v>45373</v>
      </c>
      <c r="E1360" s="1">
        <v>45382</v>
      </c>
      <c r="F1360" t="s">
        <v>13</v>
      </c>
      <c r="G1360" t="s">
        <v>19</v>
      </c>
      <c r="H1360">
        <v>9</v>
      </c>
      <c r="I1360" t="s">
        <v>20</v>
      </c>
      <c r="J1360">
        <v>4</v>
      </c>
      <c r="K1360" t="s">
        <v>24</v>
      </c>
      <c r="L1360" t="s">
        <v>25</v>
      </c>
    </row>
    <row r="1361" spans="1:12" x14ac:dyDescent="0.25">
      <c r="A1361">
        <v>1360</v>
      </c>
      <c r="B1361">
        <v>80</v>
      </c>
      <c r="C1361" t="s">
        <v>26</v>
      </c>
      <c r="D1361" s="1">
        <v>45509</v>
      </c>
      <c r="E1361" s="1">
        <v>45516</v>
      </c>
      <c r="F1361" t="s">
        <v>18</v>
      </c>
      <c r="G1361" t="s">
        <v>19</v>
      </c>
      <c r="H1361">
        <v>7</v>
      </c>
      <c r="I1361" t="s">
        <v>15</v>
      </c>
      <c r="J1361">
        <v>3</v>
      </c>
      <c r="K1361" t="s">
        <v>16</v>
      </c>
      <c r="L1361" t="s">
        <v>25</v>
      </c>
    </row>
    <row r="1362" spans="1:12" x14ac:dyDescent="0.25">
      <c r="A1362">
        <v>1361</v>
      </c>
      <c r="B1362">
        <v>28</v>
      </c>
      <c r="C1362" t="s">
        <v>26</v>
      </c>
      <c r="D1362" s="1">
        <v>45330</v>
      </c>
      <c r="E1362" s="1">
        <v>45332</v>
      </c>
      <c r="F1362" t="s">
        <v>13</v>
      </c>
      <c r="G1362" t="s">
        <v>14</v>
      </c>
      <c r="H1362">
        <v>2</v>
      </c>
      <c r="I1362" t="s">
        <v>15</v>
      </c>
      <c r="J1362">
        <v>4</v>
      </c>
      <c r="K1362" t="s">
        <v>24</v>
      </c>
      <c r="L1362" t="s">
        <v>22</v>
      </c>
    </row>
    <row r="1363" spans="1:12" x14ac:dyDescent="0.25">
      <c r="A1363">
        <v>1362</v>
      </c>
      <c r="B1363">
        <v>62</v>
      </c>
      <c r="C1363" t="s">
        <v>12</v>
      </c>
      <c r="D1363" s="1">
        <v>45642</v>
      </c>
      <c r="E1363" s="1">
        <v>45653</v>
      </c>
      <c r="F1363" t="s">
        <v>13</v>
      </c>
      <c r="G1363" t="s">
        <v>14</v>
      </c>
      <c r="H1363">
        <v>11</v>
      </c>
      <c r="I1363" t="s">
        <v>15</v>
      </c>
      <c r="J1363">
        <v>2</v>
      </c>
      <c r="K1363" t="s">
        <v>16</v>
      </c>
      <c r="L1363" t="s">
        <v>25</v>
      </c>
    </row>
    <row r="1364" spans="1:12" x14ac:dyDescent="0.25">
      <c r="A1364">
        <v>1363</v>
      </c>
      <c r="B1364">
        <v>63</v>
      </c>
      <c r="C1364" t="s">
        <v>26</v>
      </c>
      <c r="D1364" s="1">
        <v>45344</v>
      </c>
      <c r="E1364" s="1">
        <v>45353</v>
      </c>
      <c r="F1364" t="s">
        <v>27</v>
      </c>
      <c r="G1364" t="s">
        <v>23</v>
      </c>
      <c r="H1364">
        <v>9</v>
      </c>
      <c r="I1364" t="s">
        <v>15</v>
      </c>
      <c r="J1364">
        <v>4</v>
      </c>
      <c r="K1364" t="s">
        <v>21</v>
      </c>
      <c r="L1364" t="s">
        <v>17</v>
      </c>
    </row>
    <row r="1365" spans="1:12" x14ac:dyDescent="0.25">
      <c r="A1365">
        <v>1364</v>
      </c>
      <c r="B1365">
        <v>49</v>
      </c>
      <c r="C1365" t="s">
        <v>26</v>
      </c>
      <c r="D1365" s="1">
        <v>45585</v>
      </c>
      <c r="E1365" s="1">
        <v>45590</v>
      </c>
      <c r="F1365" t="s">
        <v>13</v>
      </c>
      <c r="G1365" t="s">
        <v>19</v>
      </c>
      <c r="H1365">
        <v>5</v>
      </c>
      <c r="I1365" t="s">
        <v>15</v>
      </c>
      <c r="J1365">
        <v>2</v>
      </c>
      <c r="K1365" t="s">
        <v>24</v>
      </c>
      <c r="L1365" t="s">
        <v>30</v>
      </c>
    </row>
    <row r="1366" spans="1:12" x14ac:dyDescent="0.25">
      <c r="A1366">
        <v>1365</v>
      </c>
      <c r="B1366">
        <v>47</v>
      </c>
      <c r="C1366" t="s">
        <v>26</v>
      </c>
      <c r="D1366" s="1">
        <v>45558</v>
      </c>
      <c r="E1366" s="1">
        <v>45564</v>
      </c>
      <c r="F1366" t="s">
        <v>31</v>
      </c>
      <c r="G1366" t="s">
        <v>23</v>
      </c>
      <c r="H1366">
        <v>6</v>
      </c>
      <c r="I1366" t="s">
        <v>20</v>
      </c>
      <c r="J1366">
        <v>1</v>
      </c>
      <c r="K1366" t="s">
        <v>21</v>
      </c>
      <c r="L1366" t="s">
        <v>29</v>
      </c>
    </row>
    <row r="1367" spans="1:12" x14ac:dyDescent="0.25">
      <c r="A1367">
        <v>1366</v>
      </c>
      <c r="B1367">
        <v>64</v>
      </c>
      <c r="C1367" t="s">
        <v>26</v>
      </c>
      <c r="D1367" s="1">
        <v>45485</v>
      </c>
      <c r="E1367" s="1">
        <v>45500</v>
      </c>
      <c r="F1367" t="s">
        <v>18</v>
      </c>
      <c r="G1367" t="s">
        <v>14</v>
      </c>
      <c r="H1367">
        <v>15</v>
      </c>
      <c r="I1367" t="s">
        <v>15</v>
      </c>
      <c r="J1367">
        <v>3</v>
      </c>
      <c r="K1367" t="s">
        <v>24</v>
      </c>
      <c r="L1367" t="s">
        <v>25</v>
      </c>
    </row>
    <row r="1368" spans="1:12" x14ac:dyDescent="0.25">
      <c r="A1368">
        <v>1367</v>
      </c>
      <c r="B1368">
        <v>24</v>
      </c>
      <c r="C1368" t="s">
        <v>26</v>
      </c>
      <c r="D1368" s="1">
        <v>45348</v>
      </c>
      <c r="E1368" s="1">
        <v>45363</v>
      </c>
      <c r="F1368" t="s">
        <v>31</v>
      </c>
      <c r="G1368" t="s">
        <v>14</v>
      </c>
      <c r="H1368">
        <v>15</v>
      </c>
      <c r="I1368" t="s">
        <v>15</v>
      </c>
      <c r="J1368">
        <v>2</v>
      </c>
      <c r="K1368" t="s">
        <v>21</v>
      </c>
      <c r="L1368" t="s">
        <v>22</v>
      </c>
    </row>
    <row r="1369" spans="1:12" x14ac:dyDescent="0.25">
      <c r="A1369">
        <v>1368</v>
      </c>
      <c r="B1369">
        <v>65</v>
      </c>
      <c r="C1369" t="s">
        <v>26</v>
      </c>
      <c r="D1369" s="1">
        <v>45352</v>
      </c>
      <c r="E1369" s="1">
        <v>45364</v>
      </c>
      <c r="F1369" t="s">
        <v>31</v>
      </c>
      <c r="G1369" t="s">
        <v>23</v>
      </c>
      <c r="H1369">
        <v>12</v>
      </c>
      <c r="I1369" t="s">
        <v>15</v>
      </c>
      <c r="J1369">
        <v>3</v>
      </c>
      <c r="K1369" t="s">
        <v>16</v>
      </c>
      <c r="L1369" t="s">
        <v>22</v>
      </c>
    </row>
    <row r="1370" spans="1:12" x14ac:dyDescent="0.25">
      <c r="A1370">
        <v>1369</v>
      </c>
      <c r="B1370">
        <v>49</v>
      </c>
      <c r="C1370" t="s">
        <v>26</v>
      </c>
      <c r="D1370" s="1">
        <v>45471</v>
      </c>
      <c r="E1370" s="1">
        <v>45481</v>
      </c>
      <c r="F1370" t="s">
        <v>31</v>
      </c>
      <c r="G1370" t="s">
        <v>19</v>
      </c>
      <c r="H1370">
        <v>10</v>
      </c>
      <c r="I1370" t="s">
        <v>20</v>
      </c>
      <c r="J1370">
        <v>1</v>
      </c>
      <c r="K1370" t="s">
        <v>16</v>
      </c>
      <c r="L1370" t="s">
        <v>29</v>
      </c>
    </row>
    <row r="1371" spans="1:12" x14ac:dyDescent="0.25">
      <c r="A1371">
        <v>1370</v>
      </c>
      <c r="B1371">
        <v>30</v>
      </c>
      <c r="C1371" t="s">
        <v>26</v>
      </c>
      <c r="D1371" s="1">
        <v>45596</v>
      </c>
      <c r="E1371" s="1">
        <v>45605</v>
      </c>
      <c r="F1371" t="s">
        <v>18</v>
      </c>
      <c r="G1371" t="s">
        <v>14</v>
      </c>
      <c r="H1371">
        <v>9</v>
      </c>
      <c r="I1371" t="s">
        <v>15</v>
      </c>
      <c r="J1371">
        <v>3</v>
      </c>
      <c r="K1371" t="s">
        <v>24</v>
      </c>
      <c r="L1371" t="s">
        <v>29</v>
      </c>
    </row>
    <row r="1372" spans="1:12" x14ac:dyDescent="0.25">
      <c r="A1372">
        <v>1371</v>
      </c>
      <c r="B1372">
        <v>60</v>
      </c>
      <c r="C1372" t="s">
        <v>12</v>
      </c>
      <c r="D1372" s="1">
        <v>45292</v>
      </c>
      <c r="E1372" s="1">
        <v>45295</v>
      </c>
      <c r="F1372" t="s">
        <v>28</v>
      </c>
      <c r="G1372" t="s">
        <v>14</v>
      </c>
      <c r="H1372">
        <v>3</v>
      </c>
      <c r="I1372" t="s">
        <v>15</v>
      </c>
      <c r="J1372">
        <v>3</v>
      </c>
      <c r="K1372" t="s">
        <v>16</v>
      </c>
      <c r="L1372" t="s">
        <v>22</v>
      </c>
    </row>
    <row r="1373" spans="1:12" x14ac:dyDescent="0.25">
      <c r="A1373">
        <v>1372</v>
      </c>
      <c r="B1373">
        <v>81</v>
      </c>
      <c r="C1373" t="s">
        <v>12</v>
      </c>
      <c r="D1373" s="1">
        <v>45503</v>
      </c>
      <c r="E1373" s="1">
        <v>45510</v>
      </c>
      <c r="F1373" t="s">
        <v>31</v>
      </c>
      <c r="G1373" t="s">
        <v>14</v>
      </c>
      <c r="H1373">
        <v>7</v>
      </c>
      <c r="I1373" t="s">
        <v>20</v>
      </c>
      <c r="J1373">
        <v>4</v>
      </c>
      <c r="K1373" t="s">
        <v>16</v>
      </c>
      <c r="L1373" t="s">
        <v>17</v>
      </c>
    </row>
    <row r="1374" spans="1:12" x14ac:dyDescent="0.25">
      <c r="A1374">
        <v>1373</v>
      </c>
      <c r="B1374">
        <v>21</v>
      </c>
      <c r="C1374" t="s">
        <v>12</v>
      </c>
      <c r="D1374" s="1">
        <v>45317</v>
      </c>
      <c r="E1374" s="1">
        <v>45329</v>
      </c>
      <c r="F1374" t="s">
        <v>28</v>
      </c>
      <c r="G1374" t="s">
        <v>14</v>
      </c>
      <c r="H1374">
        <v>12</v>
      </c>
      <c r="I1374" t="s">
        <v>20</v>
      </c>
      <c r="J1374">
        <v>0</v>
      </c>
      <c r="K1374" t="s">
        <v>16</v>
      </c>
      <c r="L1374" t="s">
        <v>29</v>
      </c>
    </row>
    <row r="1375" spans="1:12" x14ac:dyDescent="0.25">
      <c r="A1375">
        <v>1374</v>
      </c>
      <c r="B1375">
        <v>51</v>
      </c>
      <c r="C1375" t="s">
        <v>26</v>
      </c>
      <c r="D1375" s="1">
        <v>45442</v>
      </c>
      <c r="E1375" s="1">
        <v>45452</v>
      </c>
      <c r="F1375" t="s">
        <v>27</v>
      </c>
      <c r="G1375" t="s">
        <v>19</v>
      </c>
      <c r="H1375">
        <v>10</v>
      </c>
      <c r="I1375" t="s">
        <v>15</v>
      </c>
      <c r="J1375">
        <v>3</v>
      </c>
      <c r="K1375" t="s">
        <v>21</v>
      </c>
      <c r="L1375" t="s">
        <v>30</v>
      </c>
    </row>
    <row r="1376" spans="1:12" x14ac:dyDescent="0.25">
      <c r="A1376">
        <v>1375</v>
      </c>
      <c r="B1376">
        <v>34</v>
      </c>
      <c r="C1376" t="s">
        <v>26</v>
      </c>
      <c r="D1376" s="1">
        <v>45563</v>
      </c>
      <c r="E1376" s="1">
        <v>45575</v>
      </c>
      <c r="F1376" t="s">
        <v>13</v>
      </c>
      <c r="G1376" t="s">
        <v>14</v>
      </c>
      <c r="H1376">
        <v>12</v>
      </c>
      <c r="I1376" t="s">
        <v>20</v>
      </c>
      <c r="J1376">
        <v>4</v>
      </c>
      <c r="K1376" t="s">
        <v>16</v>
      </c>
      <c r="L1376" t="s">
        <v>25</v>
      </c>
    </row>
    <row r="1377" spans="1:12" x14ac:dyDescent="0.25">
      <c r="A1377">
        <v>1376</v>
      </c>
      <c r="B1377">
        <v>32</v>
      </c>
      <c r="C1377" t="s">
        <v>12</v>
      </c>
      <c r="D1377" s="1">
        <v>45393</v>
      </c>
      <c r="E1377" s="1">
        <v>45406</v>
      </c>
      <c r="F1377" t="s">
        <v>18</v>
      </c>
      <c r="G1377" t="s">
        <v>14</v>
      </c>
      <c r="H1377">
        <v>13</v>
      </c>
      <c r="I1377" t="s">
        <v>15</v>
      </c>
      <c r="J1377">
        <v>4</v>
      </c>
      <c r="K1377" t="s">
        <v>16</v>
      </c>
      <c r="L1377" t="s">
        <v>25</v>
      </c>
    </row>
    <row r="1378" spans="1:12" x14ac:dyDescent="0.25">
      <c r="A1378">
        <v>1377</v>
      </c>
      <c r="B1378">
        <v>39</v>
      </c>
      <c r="C1378" t="s">
        <v>12</v>
      </c>
      <c r="D1378" s="1">
        <v>45461</v>
      </c>
      <c r="E1378" s="1">
        <v>45472</v>
      </c>
      <c r="F1378" t="s">
        <v>31</v>
      </c>
      <c r="G1378" t="s">
        <v>14</v>
      </c>
      <c r="H1378">
        <v>11</v>
      </c>
      <c r="I1378" t="s">
        <v>20</v>
      </c>
      <c r="J1378">
        <v>2</v>
      </c>
      <c r="K1378" t="s">
        <v>16</v>
      </c>
      <c r="L1378" t="s">
        <v>29</v>
      </c>
    </row>
    <row r="1379" spans="1:12" x14ac:dyDescent="0.25">
      <c r="A1379">
        <v>1378</v>
      </c>
      <c r="B1379">
        <v>50</v>
      </c>
      <c r="C1379" t="s">
        <v>26</v>
      </c>
      <c r="D1379" s="1">
        <v>45578</v>
      </c>
      <c r="E1379" s="1">
        <v>45593</v>
      </c>
      <c r="F1379" t="s">
        <v>18</v>
      </c>
      <c r="G1379" t="s">
        <v>14</v>
      </c>
      <c r="H1379">
        <v>15</v>
      </c>
      <c r="I1379" t="s">
        <v>15</v>
      </c>
      <c r="J1379">
        <v>4</v>
      </c>
      <c r="K1379" t="s">
        <v>24</v>
      </c>
      <c r="L1379" t="s">
        <v>25</v>
      </c>
    </row>
    <row r="1380" spans="1:12" x14ac:dyDescent="0.25">
      <c r="A1380">
        <v>1379</v>
      </c>
      <c r="B1380">
        <v>65</v>
      </c>
      <c r="C1380" t="s">
        <v>12</v>
      </c>
      <c r="D1380" s="1">
        <v>45441</v>
      </c>
      <c r="E1380" s="1">
        <v>45452</v>
      </c>
      <c r="F1380" t="s">
        <v>18</v>
      </c>
      <c r="G1380" t="s">
        <v>19</v>
      </c>
      <c r="H1380">
        <v>11</v>
      </c>
      <c r="I1380" t="s">
        <v>15</v>
      </c>
      <c r="J1380">
        <v>4</v>
      </c>
      <c r="K1380" t="s">
        <v>24</v>
      </c>
      <c r="L1380" t="s">
        <v>25</v>
      </c>
    </row>
    <row r="1381" spans="1:12" x14ac:dyDescent="0.25">
      <c r="A1381">
        <v>1380</v>
      </c>
      <c r="B1381">
        <v>75</v>
      </c>
      <c r="C1381" t="s">
        <v>26</v>
      </c>
      <c r="D1381" s="1">
        <v>45389</v>
      </c>
      <c r="E1381" s="1">
        <v>45404</v>
      </c>
      <c r="F1381" t="s">
        <v>28</v>
      </c>
      <c r="G1381" t="s">
        <v>14</v>
      </c>
      <c r="H1381">
        <v>15</v>
      </c>
      <c r="I1381" t="s">
        <v>15</v>
      </c>
      <c r="J1381">
        <v>3</v>
      </c>
      <c r="K1381" t="s">
        <v>24</v>
      </c>
      <c r="L1381" t="s">
        <v>30</v>
      </c>
    </row>
    <row r="1382" spans="1:12" x14ac:dyDescent="0.25">
      <c r="A1382">
        <v>1381</v>
      </c>
      <c r="B1382">
        <v>82</v>
      </c>
      <c r="C1382" t="s">
        <v>12</v>
      </c>
      <c r="D1382" s="1">
        <v>45365</v>
      </c>
      <c r="E1382" s="1">
        <v>45369</v>
      </c>
      <c r="F1382" t="s">
        <v>28</v>
      </c>
      <c r="G1382" t="s">
        <v>14</v>
      </c>
      <c r="H1382">
        <v>4</v>
      </c>
      <c r="I1382" t="s">
        <v>15</v>
      </c>
      <c r="J1382">
        <v>0</v>
      </c>
      <c r="K1382" t="s">
        <v>21</v>
      </c>
      <c r="L1382" t="s">
        <v>17</v>
      </c>
    </row>
    <row r="1383" spans="1:12" x14ac:dyDescent="0.25">
      <c r="A1383">
        <v>1382</v>
      </c>
      <c r="B1383">
        <v>59</v>
      </c>
      <c r="C1383" t="s">
        <v>26</v>
      </c>
      <c r="D1383" s="1">
        <v>45555</v>
      </c>
      <c r="E1383" s="1">
        <v>45557</v>
      </c>
      <c r="F1383" t="s">
        <v>28</v>
      </c>
      <c r="G1383" t="s">
        <v>14</v>
      </c>
      <c r="H1383">
        <v>2</v>
      </c>
      <c r="I1383" t="s">
        <v>20</v>
      </c>
      <c r="J1383">
        <v>2</v>
      </c>
      <c r="K1383" t="s">
        <v>21</v>
      </c>
      <c r="L1383" t="s">
        <v>25</v>
      </c>
    </row>
    <row r="1384" spans="1:12" x14ac:dyDescent="0.25">
      <c r="A1384">
        <v>1383</v>
      </c>
      <c r="B1384">
        <v>79</v>
      </c>
      <c r="C1384" t="s">
        <v>26</v>
      </c>
      <c r="D1384" s="1">
        <v>45563</v>
      </c>
      <c r="E1384" s="1">
        <v>45574</v>
      </c>
      <c r="F1384" t="s">
        <v>27</v>
      </c>
      <c r="G1384" t="s">
        <v>14</v>
      </c>
      <c r="H1384">
        <v>11</v>
      </c>
      <c r="I1384" t="s">
        <v>20</v>
      </c>
      <c r="J1384">
        <v>0</v>
      </c>
      <c r="K1384" t="s">
        <v>21</v>
      </c>
      <c r="L1384" t="s">
        <v>22</v>
      </c>
    </row>
    <row r="1385" spans="1:12" x14ac:dyDescent="0.25">
      <c r="A1385">
        <v>1384</v>
      </c>
      <c r="B1385">
        <v>62</v>
      </c>
      <c r="C1385" t="s">
        <v>12</v>
      </c>
      <c r="D1385" s="1">
        <v>45459</v>
      </c>
      <c r="E1385" s="1">
        <v>45468</v>
      </c>
      <c r="F1385" t="s">
        <v>31</v>
      </c>
      <c r="G1385" t="s">
        <v>14</v>
      </c>
      <c r="H1385">
        <v>9</v>
      </c>
      <c r="I1385" t="s">
        <v>15</v>
      </c>
      <c r="J1385">
        <v>3</v>
      </c>
      <c r="K1385" t="s">
        <v>21</v>
      </c>
      <c r="L1385" t="s">
        <v>17</v>
      </c>
    </row>
    <row r="1386" spans="1:12" x14ac:dyDescent="0.25">
      <c r="A1386">
        <v>1385</v>
      </c>
      <c r="B1386">
        <v>48</v>
      </c>
      <c r="C1386" t="s">
        <v>12</v>
      </c>
      <c r="D1386" s="1">
        <v>45519</v>
      </c>
      <c r="E1386" s="1">
        <v>45533</v>
      </c>
      <c r="F1386" t="s">
        <v>31</v>
      </c>
      <c r="G1386" t="s">
        <v>14</v>
      </c>
      <c r="H1386">
        <v>14</v>
      </c>
      <c r="I1386" t="s">
        <v>15</v>
      </c>
      <c r="J1386">
        <v>0</v>
      </c>
      <c r="K1386" t="s">
        <v>21</v>
      </c>
      <c r="L1386" t="s">
        <v>22</v>
      </c>
    </row>
    <row r="1387" spans="1:12" x14ac:dyDescent="0.25">
      <c r="A1387">
        <v>1386</v>
      </c>
      <c r="B1387">
        <v>39</v>
      </c>
      <c r="C1387" t="s">
        <v>12</v>
      </c>
      <c r="D1387" s="1">
        <v>45352</v>
      </c>
      <c r="E1387" s="1">
        <v>45353</v>
      </c>
      <c r="F1387" t="s">
        <v>18</v>
      </c>
      <c r="G1387" t="s">
        <v>23</v>
      </c>
      <c r="H1387">
        <v>1</v>
      </c>
      <c r="I1387" t="s">
        <v>15</v>
      </c>
      <c r="J1387">
        <v>4</v>
      </c>
      <c r="K1387" t="s">
        <v>24</v>
      </c>
      <c r="L1387" t="s">
        <v>22</v>
      </c>
    </row>
    <row r="1388" spans="1:12" x14ac:dyDescent="0.25">
      <c r="A1388">
        <v>1387</v>
      </c>
      <c r="B1388">
        <v>79</v>
      </c>
      <c r="C1388" t="s">
        <v>12</v>
      </c>
      <c r="D1388" s="1">
        <v>45592</v>
      </c>
      <c r="E1388" s="1">
        <v>45597</v>
      </c>
      <c r="F1388" t="s">
        <v>18</v>
      </c>
      <c r="G1388" t="s">
        <v>23</v>
      </c>
      <c r="H1388">
        <v>5</v>
      </c>
      <c r="I1388" t="s">
        <v>15</v>
      </c>
      <c r="J1388">
        <v>2</v>
      </c>
      <c r="K1388" t="s">
        <v>21</v>
      </c>
      <c r="L1388" t="s">
        <v>22</v>
      </c>
    </row>
    <row r="1389" spans="1:12" x14ac:dyDescent="0.25">
      <c r="A1389">
        <v>1388</v>
      </c>
      <c r="B1389">
        <v>80</v>
      </c>
      <c r="C1389" t="s">
        <v>26</v>
      </c>
      <c r="D1389" s="1">
        <v>45410</v>
      </c>
      <c r="E1389" s="1">
        <v>45417</v>
      </c>
      <c r="F1389" t="s">
        <v>27</v>
      </c>
      <c r="G1389" t="s">
        <v>19</v>
      </c>
      <c r="H1389">
        <v>7</v>
      </c>
      <c r="I1389" t="s">
        <v>15</v>
      </c>
      <c r="J1389">
        <v>2</v>
      </c>
      <c r="K1389" t="s">
        <v>21</v>
      </c>
      <c r="L1389" t="s">
        <v>29</v>
      </c>
    </row>
    <row r="1390" spans="1:12" x14ac:dyDescent="0.25">
      <c r="A1390">
        <v>1389</v>
      </c>
      <c r="B1390">
        <v>72</v>
      </c>
      <c r="C1390" t="s">
        <v>12</v>
      </c>
      <c r="D1390" s="1">
        <v>45584</v>
      </c>
      <c r="E1390" s="1">
        <v>45593</v>
      </c>
      <c r="F1390" t="s">
        <v>28</v>
      </c>
      <c r="G1390" t="s">
        <v>19</v>
      </c>
      <c r="H1390">
        <v>9</v>
      </c>
      <c r="I1390" t="s">
        <v>15</v>
      </c>
      <c r="J1390">
        <v>3</v>
      </c>
      <c r="K1390" t="s">
        <v>16</v>
      </c>
      <c r="L1390" t="s">
        <v>22</v>
      </c>
    </row>
    <row r="1391" spans="1:12" x14ac:dyDescent="0.25">
      <c r="A1391">
        <v>1390</v>
      </c>
      <c r="B1391">
        <v>55</v>
      </c>
      <c r="C1391" t="s">
        <v>12</v>
      </c>
      <c r="D1391" s="1">
        <v>45307</v>
      </c>
      <c r="E1391" s="1">
        <v>45317</v>
      </c>
      <c r="F1391" t="s">
        <v>27</v>
      </c>
      <c r="G1391" t="s">
        <v>19</v>
      </c>
      <c r="H1391">
        <v>10</v>
      </c>
      <c r="I1391" t="s">
        <v>15</v>
      </c>
      <c r="J1391">
        <v>0</v>
      </c>
      <c r="K1391" t="s">
        <v>24</v>
      </c>
      <c r="L1391" t="s">
        <v>29</v>
      </c>
    </row>
    <row r="1392" spans="1:12" x14ac:dyDescent="0.25">
      <c r="A1392">
        <v>1391</v>
      </c>
      <c r="B1392">
        <v>84</v>
      </c>
      <c r="C1392" t="s">
        <v>26</v>
      </c>
      <c r="D1392" s="1">
        <v>45296</v>
      </c>
      <c r="E1392" s="1">
        <v>45311</v>
      </c>
      <c r="F1392" t="s">
        <v>18</v>
      </c>
      <c r="G1392" t="s">
        <v>23</v>
      </c>
      <c r="H1392">
        <v>15</v>
      </c>
      <c r="I1392" t="s">
        <v>15</v>
      </c>
      <c r="J1392">
        <v>1</v>
      </c>
      <c r="K1392" t="s">
        <v>24</v>
      </c>
      <c r="L1392" t="s">
        <v>30</v>
      </c>
    </row>
    <row r="1393" spans="1:12" x14ac:dyDescent="0.25">
      <c r="A1393">
        <v>1392</v>
      </c>
      <c r="B1393">
        <v>43</v>
      </c>
      <c r="C1393" t="s">
        <v>12</v>
      </c>
      <c r="D1393" s="1">
        <v>45596</v>
      </c>
      <c r="E1393" s="1">
        <v>45597</v>
      </c>
      <c r="F1393" t="s">
        <v>13</v>
      </c>
      <c r="G1393" t="s">
        <v>23</v>
      </c>
      <c r="H1393">
        <v>1</v>
      </c>
      <c r="I1393" t="s">
        <v>15</v>
      </c>
      <c r="J1393">
        <v>1</v>
      </c>
      <c r="K1393" t="s">
        <v>16</v>
      </c>
      <c r="L1393" t="s">
        <v>29</v>
      </c>
    </row>
    <row r="1394" spans="1:12" x14ac:dyDescent="0.25">
      <c r="A1394">
        <v>1393</v>
      </c>
      <c r="B1394">
        <v>46</v>
      </c>
      <c r="C1394" t="s">
        <v>12</v>
      </c>
      <c r="D1394" s="1">
        <v>45591</v>
      </c>
      <c r="E1394" s="1">
        <v>45604</v>
      </c>
      <c r="F1394" t="s">
        <v>13</v>
      </c>
      <c r="G1394" t="s">
        <v>14</v>
      </c>
      <c r="H1394">
        <v>13</v>
      </c>
      <c r="I1394" t="s">
        <v>15</v>
      </c>
      <c r="J1394">
        <v>3</v>
      </c>
      <c r="K1394" t="s">
        <v>21</v>
      </c>
      <c r="L1394" t="s">
        <v>25</v>
      </c>
    </row>
    <row r="1395" spans="1:12" x14ac:dyDescent="0.25">
      <c r="A1395">
        <v>1394</v>
      </c>
      <c r="B1395">
        <v>81</v>
      </c>
      <c r="C1395" t="s">
        <v>26</v>
      </c>
      <c r="D1395" s="1">
        <v>45365</v>
      </c>
      <c r="E1395" s="1">
        <v>45378</v>
      </c>
      <c r="F1395" t="s">
        <v>31</v>
      </c>
      <c r="G1395" t="s">
        <v>19</v>
      </c>
      <c r="H1395">
        <v>13</v>
      </c>
      <c r="I1395" t="s">
        <v>15</v>
      </c>
      <c r="J1395">
        <v>4</v>
      </c>
      <c r="K1395" t="s">
        <v>16</v>
      </c>
      <c r="L1395" t="s">
        <v>22</v>
      </c>
    </row>
    <row r="1396" spans="1:12" x14ac:dyDescent="0.25">
      <c r="A1396">
        <v>1395</v>
      </c>
      <c r="B1396">
        <v>64</v>
      </c>
      <c r="C1396" t="s">
        <v>12</v>
      </c>
      <c r="D1396" s="1">
        <v>45540</v>
      </c>
      <c r="E1396" s="1">
        <v>45547</v>
      </c>
      <c r="F1396" t="s">
        <v>27</v>
      </c>
      <c r="G1396" t="s">
        <v>19</v>
      </c>
      <c r="H1396">
        <v>7</v>
      </c>
      <c r="I1396" t="s">
        <v>20</v>
      </c>
      <c r="J1396">
        <v>4</v>
      </c>
      <c r="K1396" t="s">
        <v>24</v>
      </c>
      <c r="L1396" t="s">
        <v>25</v>
      </c>
    </row>
    <row r="1397" spans="1:12" x14ac:dyDescent="0.25">
      <c r="A1397">
        <v>1396</v>
      </c>
      <c r="B1397">
        <v>90</v>
      </c>
      <c r="C1397" t="s">
        <v>12</v>
      </c>
      <c r="D1397" s="1">
        <v>45298</v>
      </c>
      <c r="E1397" s="1">
        <v>45306</v>
      </c>
      <c r="F1397" t="s">
        <v>18</v>
      </c>
      <c r="G1397" t="s">
        <v>19</v>
      </c>
      <c r="H1397">
        <v>8</v>
      </c>
      <c r="I1397" t="s">
        <v>15</v>
      </c>
      <c r="J1397">
        <v>3</v>
      </c>
      <c r="K1397" t="s">
        <v>21</v>
      </c>
      <c r="L1397" t="s">
        <v>25</v>
      </c>
    </row>
    <row r="1398" spans="1:12" x14ac:dyDescent="0.25">
      <c r="A1398">
        <v>1397</v>
      </c>
      <c r="B1398">
        <v>23</v>
      </c>
      <c r="C1398" t="s">
        <v>12</v>
      </c>
      <c r="D1398" s="1">
        <v>45307</v>
      </c>
      <c r="E1398" s="1">
        <v>45310</v>
      </c>
      <c r="F1398" t="s">
        <v>28</v>
      </c>
      <c r="G1398" t="s">
        <v>23</v>
      </c>
      <c r="H1398">
        <v>3</v>
      </c>
      <c r="I1398" t="s">
        <v>15</v>
      </c>
      <c r="J1398">
        <v>4</v>
      </c>
      <c r="K1398" t="s">
        <v>21</v>
      </c>
      <c r="L1398" t="s">
        <v>30</v>
      </c>
    </row>
    <row r="1399" spans="1:12" x14ac:dyDescent="0.25">
      <c r="A1399">
        <v>1398</v>
      </c>
      <c r="B1399">
        <v>82</v>
      </c>
      <c r="C1399" t="s">
        <v>12</v>
      </c>
      <c r="D1399" s="1">
        <v>45557</v>
      </c>
      <c r="E1399" s="1">
        <v>45571</v>
      </c>
      <c r="F1399" t="s">
        <v>13</v>
      </c>
      <c r="G1399" t="s">
        <v>19</v>
      </c>
      <c r="H1399">
        <v>14</v>
      </c>
      <c r="I1399" t="s">
        <v>15</v>
      </c>
      <c r="J1399">
        <v>3</v>
      </c>
      <c r="K1399" t="s">
        <v>21</v>
      </c>
      <c r="L1399" t="s">
        <v>17</v>
      </c>
    </row>
    <row r="1400" spans="1:12" x14ac:dyDescent="0.25">
      <c r="A1400">
        <v>1399</v>
      </c>
      <c r="B1400">
        <v>29</v>
      </c>
      <c r="C1400" t="s">
        <v>12</v>
      </c>
      <c r="D1400" s="1">
        <v>45653</v>
      </c>
      <c r="E1400" s="1">
        <v>45663</v>
      </c>
      <c r="F1400" t="s">
        <v>13</v>
      </c>
      <c r="G1400" t="s">
        <v>23</v>
      </c>
      <c r="H1400">
        <v>10</v>
      </c>
      <c r="I1400" t="s">
        <v>15</v>
      </c>
      <c r="J1400">
        <v>2</v>
      </c>
      <c r="K1400" t="s">
        <v>21</v>
      </c>
      <c r="L1400" t="s">
        <v>30</v>
      </c>
    </row>
    <row r="1401" spans="1:12" x14ac:dyDescent="0.25">
      <c r="A1401">
        <v>1400</v>
      </c>
      <c r="B1401">
        <v>57</v>
      </c>
      <c r="C1401" t="s">
        <v>12</v>
      </c>
      <c r="D1401" s="1">
        <v>45302</v>
      </c>
      <c r="E1401" s="1">
        <v>45314</v>
      </c>
      <c r="F1401" t="s">
        <v>13</v>
      </c>
      <c r="G1401" t="s">
        <v>14</v>
      </c>
      <c r="H1401">
        <v>12</v>
      </c>
      <c r="I1401" t="s">
        <v>15</v>
      </c>
      <c r="J1401">
        <v>1</v>
      </c>
      <c r="K1401" t="s">
        <v>21</v>
      </c>
      <c r="L1401" t="s">
        <v>22</v>
      </c>
    </row>
    <row r="1402" spans="1:12" x14ac:dyDescent="0.25">
      <c r="A1402">
        <v>1401</v>
      </c>
      <c r="B1402">
        <v>39</v>
      </c>
      <c r="C1402" t="s">
        <v>26</v>
      </c>
      <c r="D1402" s="1">
        <v>45554</v>
      </c>
      <c r="E1402" s="1">
        <v>45556</v>
      </c>
      <c r="F1402" t="s">
        <v>28</v>
      </c>
      <c r="G1402" t="s">
        <v>19</v>
      </c>
      <c r="H1402">
        <v>2</v>
      </c>
      <c r="I1402" t="s">
        <v>15</v>
      </c>
      <c r="J1402">
        <v>2</v>
      </c>
      <c r="K1402" t="s">
        <v>24</v>
      </c>
      <c r="L1402" t="s">
        <v>29</v>
      </c>
    </row>
    <row r="1403" spans="1:12" x14ac:dyDescent="0.25">
      <c r="A1403">
        <v>1402</v>
      </c>
      <c r="B1403">
        <v>44</v>
      </c>
      <c r="C1403" t="s">
        <v>12</v>
      </c>
      <c r="D1403" s="1">
        <v>45603</v>
      </c>
      <c r="E1403" s="1">
        <v>45605</v>
      </c>
      <c r="F1403" t="s">
        <v>31</v>
      </c>
      <c r="G1403" t="s">
        <v>23</v>
      </c>
      <c r="H1403">
        <v>2</v>
      </c>
      <c r="I1403" t="s">
        <v>20</v>
      </c>
      <c r="J1403">
        <v>0</v>
      </c>
      <c r="K1403" t="s">
        <v>16</v>
      </c>
      <c r="L1403" t="s">
        <v>17</v>
      </c>
    </row>
    <row r="1404" spans="1:12" x14ac:dyDescent="0.25">
      <c r="A1404">
        <v>1403</v>
      </c>
      <c r="B1404">
        <v>56</v>
      </c>
      <c r="C1404" t="s">
        <v>12</v>
      </c>
      <c r="D1404" s="1">
        <v>45590</v>
      </c>
      <c r="E1404" s="1">
        <v>45600</v>
      </c>
      <c r="F1404" t="s">
        <v>18</v>
      </c>
      <c r="G1404" t="s">
        <v>23</v>
      </c>
      <c r="H1404">
        <v>10</v>
      </c>
      <c r="I1404" t="s">
        <v>15</v>
      </c>
      <c r="J1404">
        <v>4</v>
      </c>
      <c r="K1404" t="s">
        <v>24</v>
      </c>
      <c r="L1404" t="s">
        <v>22</v>
      </c>
    </row>
    <row r="1405" spans="1:12" x14ac:dyDescent="0.25">
      <c r="A1405">
        <v>1404</v>
      </c>
      <c r="B1405">
        <v>53</v>
      </c>
      <c r="C1405" t="s">
        <v>26</v>
      </c>
      <c r="D1405" s="1">
        <v>45591</v>
      </c>
      <c r="E1405" s="1">
        <v>45592</v>
      </c>
      <c r="F1405" t="s">
        <v>13</v>
      </c>
      <c r="G1405" t="s">
        <v>14</v>
      </c>
      <c r="H1405">
        <v>1</v>
      </c>
      <c r="I1405" t="s">
        <v>20</v>
      </c>
      <c r="J1405">
        <v>3</v>
      </c>
      <c r="K1405" t="s">
        <v>24</v>
      </c>
      <c r="L1405" t="s">
        <v>30</v>
      </c>
    </row>
    <row r="1406" spans="1:12" x14ac:dyDescent="0.25">
      <c r="A1406">
        <v>1405</v>
      </c>
      <c r="B1406">
        <v>69</v>
      </c>
      <c r="C1406" t="s">
        <v>26</v>
      </c>
      <c r="D1406" s="1">
        <v>45490</v>
      </c>
      <c r="E1406" s="1">
        <v>45500</v>
      </c>
      <c r="F1406" t="s">
        <v>28</v>
      </c>
      <c r="G1406" t="s">
        <v>14</v>
      </c>
      <c r="H1406">
        <v>10</v>
      </c>
      <c r="I1406" t="s">
        <v>20</v>
      </c>
      <c r="J1406">
        <v>1</v>
      </c>
      <c r="K1406" t="s">
        <v>16</v>
      </c>
      <c r="L1406" t="s">
        <v>25</v>
      </c>
    </row>
    <row r="1407" spans="1:12" x14ac:dyDescent="0.25">
      <c r="A1407">
        <v>1406</v>
      </c>
      <c r="B1407">
        <v>27</v>
      </c>
      <c r="C1407" t="s">
        <v>26</v>
      </c>
      <c r="D1407" s="1">
        <v>45455</v>
      </c>
      <c r="E1407" s="1">
        <v>45461</v>
      </c>
      <c r="F1407" t="s">
        <v>13</v>
      </c>
      <c r="G1407" t="s">
        <v>23</v>
      </c>
      <c r="H1407">
        <v>6</v>
      </c>
      <c r="I1407" t="s">
        <v>20</v>
      </c>
      <c r="J1407">
        <v>2</v>
      </c>
      <c r="K1407" t="s">
        <v>16</v>
      </c>
      <c r="L1407" t="s">
        <v>25</v>
      </c>
    </row>
    <row r="1408" spans="1:12" x14ac:dyDescent="0.25">
      <c r="A1408">
        <v>1407</v>
      </c>
      <c r="B1408">
        <v>64</v>
      </c>
      <c r="C1408" t="s">
        <v>26</v>
      </c>
      <c r="D1408" s="1">
        <v>45485</v>
      </c>
      <c r="E1408" s="1">
        <v>45493</v>
      </c>
      <c r="F1408" t="s">
        <v>28</v>
      </c>
      <c r="G1408" t="s">
        <v>23</v>
      </c>
      <c r="H1408">
        <v>8</v>
      </c>
      <c r="I1408" t="s">
        <v>15</v>
      </c>
      <c r="J1408">
        <v>1</v>
      </c>
      <c r="K1408" t="s">
        <v>16</v>
      </c>
      <c r="L1408" t="s">
        <v>17</v>
      </c>
    </row>
    <row r="1409" spans="1:12" x14ac:dyDescent="0.25">
      <c r="A1409">
        <v>1408</v>
      </c>
      <c r="B1409">
        <v>76</v>
      </c>
      <c r="C1409" t="s">
        <v>26</v>
      </c>
      <c r="D1409" s="1">
        <v>45497</v>
      </c>
      <c r="E1409" s="1">
        <v>45508</v>
      </c>
      <c r="F1409" t="s">
        <v>28</v>
      </c>
      <c r="G1409" t="s">
        <v>23</v>
      </c>
      <c r="H1409">
        <v>11</v>
      </c>
      <c r="I1409" t="s">
        <v>15</v>
      </c>
      <c r="J1409">
        <v>0</v>
      </c>
      <c r="K1409" t="s">
        <v>16</v>
      </c>
      <c r="L1409" t="s">
        <v>30</v>
      </c>
    </row>
    <row r="1410" spans="1:12" x14ac:dyDescent="0.25">
      <c r="A1410">
        <v>1409</v>
      </c>
      <c r="B1410">
        <v>44</v>
      </c>
      <c r="C1410" t="s">
        <v>12</v>
      </c>
      <c r="D1410" s="1">
        <v>45603</v>
      </c>
      <c r="E1410" s="1">
        <v>45611</v>
      </c>
      <c r="F1410" t="s">
        <v>13</v>
      </c>
      <c r="G1410" t="s">
        <v>23</v>
      </c>
      <c r="H1410">
        <v>8</v>
      </c>
      <c r="I1410" t="s">
        <v>15</v>
      </c>
      <c r="J1410">
        <v>4</v>
      </c>
      <c r="K1410" t="s">
        <v>24</v>
      </c>
      <c r="L1410" t="s">
        <v>29</v>
      </c>
    </row>
    <row r="1411" spans="1:12" x14ac:dyDescent="0.25">
      <c r="A1411">
        <v>1410</v>
      </c>
      <c r="B1411">
        <v>55</v>
      </c>
      <c r="C1411" t="s">
        <v>26</v>
      </c>
      <c r="D1411" s="1">
        <v>45350</v>
      </c>
      <c r="E1411" s="1">
        <v>45354</v>
      </c>
      <c r="F1411" t="s">
        <v>18</v>
      </c>
      <c r="G1411" t="s">
        <v>23</v>
      </c>
      <c r="H1411">
        <v>4</v>
      </c>
      <c r="I1411" t="s">
        <v>15</v>
      </c>
      <c r="J1411">
        <v>2</v>
      </c>
      <c r="K1411" t="s">
        <v>21</v>
      </c>
      <c r="L1411" t="s">
        <v>29</v>
      </c>
    </row>
    <row r="1412" spans="1:12" x14ac:dyDescent="0.25">
      <c r="A1412">
        <v>1411</v>
      </c>
      <c r="B1412">
        <v>89</v>
      </c>
      <c r="C1412" t="s">
        <v>26</v>
      </c>
      <c r="D1412" s="1">
        <v>45292</v>
      </c>
      <c r="E1412" s="1">
        <v>45296</v>
      </c>
      <c r="F1412" t="s">
        <v>27</v>
      </c>
      <c r="G1412" t="s">
        <v>14</v>
      </c>
      <c r="H1412">
        <v>4</v>
      </c>
      <c r="I1412" t="s">
        <v>15</v>
      </c>
      <c r="J1412">
        <v>4</v>
      </c>
      <c r="K1412" t="s">
        <v>24</v>
      </c>
      <c r="L1412" t="s">
        <v>17</v>
      </c>
    </row>
    <row r="1413" spans="1:12" x14ac:dyDescent="0.25">
      <c r="A1413">
        <v>1412</v>
      </c>
      <c r="B1413">
        <v>20</v>
      </c>
      <c r="C1413" t="s">
        <v>12</v>
      </c>
      <c r="D1413" s="1">
        <v>45528</v>
      </c>
      <c r="E1413" s="1">
        <v>45530</v>
      </c>
      <c r="F1413" t="s">
        <v>27</v>
      </c>
      <c r="G1413" t="s">
        <v>23</v>
      </c>
      <c r="H1413">
        <v>2</v>
      </c>
      <c r="I1413" t="s">
        <v>15</v>
      </c>
      <c r="J1413">
        <v>0</v>
      </c>
      <c r="K1413" t="s">
        <v>21</v>
      </c>
      <c r="L1413" t="s">
        <v>22</v>
      </c>
    </row>
    <row r="1414" spans="1:12" x14ac:dyDescent="0.25">
      <c r="A1414">
        <v>1413</v>
      </c>
      <c r="B1414">
        <v>42</v>
      </c>
      <c r="C1414" t="s">
        <v>12</v>
      </c>
      <c r="D1414" s="1">
        <v>45424</v>
      </c>
      <c r="E1414" s="1">
        <v>45439</v>
      </c>
      <c r="F1414" t="s">
        <v>13</v>
      </c>
      <c r="G1414" t="s">
        <v>19</v>
      </c>
      <c r="H1414">
        <v>15</v>
      </c>
      <c r="I1414" t="s">
        <v>20</v>
      </c>
      <c r="J1414">
        <v>4</v>
      </c>
      <c r="K1414" t="s">
        <v>21</v>
      </c>
      <c r="L1414" t="s">
        <v>22</v>
      </c>
    </row>
    <row r="1415" spans="1:12" x14ac:dyDescent="0.25">
      <c r="A1415">
        <v>1414</v>
      </c>
      <c r="B1415">
        <v>28</v>
      </c>
      <c r="C1415" t="s">
        <v>26</v>
      </c>
      <c r="D1415" s="1">
        <v>45317</v>
      </c>
      <c r="E1415" s="1">
        <v>45319</v>
      </c>
      <c r="F1415" t="s">
        <v>28</v>
      </c>
      <c r="G1415" t="s">
        <v>14</v>
      </c>
      <c r="H1415">
        <v>2</v>
      </c>
      <c r="I1415" t="s">
        <v>15</v>
      </c>
      <c r="J1415">
        <v>1</v>
      </c>
      <c r="K1415" t="s">
        <v>21</v>
      </c>
      <c r="L1415" t="s">
        <v>22</v>
      </c>
    </row>
    <row r="1416" spans="1:12" x14ac:dyDescent="0.25">
      <c r="A1416">
        <v>1415</v>
      </c>
      <c r="B1416">
        <v>57</v>
      </c>
      <c r="C1416" t="s">
        <v>12</v>
      </c>
      <c r="D1416" s="1">
        <v>45348</v>
      </c>
      <c r="E1416" s="1">
        <v>45358</v>
      </c>
      <c r="F1416" t="s">
        <v>27</v>
      </c>
      <c r="G1416" t="s">
        <v>14</v>
      </c>
      <c r="H1416">
        <v>10</v>
      </c>
      <c r="I1416" t="s">
        <v>15</v>
      </c>
      <c r="J1416">
        <v>4</v>
      </c>
      <c r="K1416" t="s">
        <v>24</v>
      </c>
      <c r="L1416" t="s">
        <v>17</v>
      </c>
    </row>
    <row r="1417" spans="1:12" x14ac:dyDescent="0.25">
      <c r="A1417">
        <v>1416</v>
      </c>
      <c r="B1417">
        <v>66</v>
      </c>
      <c r="C1417" t="s">
        <v>12</v>
      </c>
      <c r="D1417" s="1">
        <v>45370</v>
      </c>
      <c r="E1417" s="1">
        <v>45381</v>
      </c>
      <c r="F1417" t="s">
        <v>18</v>
      </c>
      <c r="G1417" t="s">
        <v>14</v>
      </c>
      <c r="H1417">
        <v>11</v>
      </c>
      <c r="I1417" t="s">
        <v>15</v>
      </c>
      <c r="J1417">
        <v>1</v>
      </c>
      <c r="K1417" t="s">
        <v>24</v>
      </c>
      <c r="L1417" t="s">
        <v>22</v>
      </c>
    </row>
    <row r="1418" spans="1:12" x14ac:dyDescent="0.25">
      <c r="A1418">
        <v>1417</v>
      </c>
      <c r="B1418">
        <v>60</v>
      </c>
      <c r="C1418" t="s">
        <v>12</v>
      </c>
      <c r="D1418" s="1">
        <v>45426</v>
      </c>
      <c r="E1418" s="1">
        <v>45431</v>
      </c>
      <c r="F1418" t="s">
        <v>13</v>
      </c>
      <c r="G1418" t="s">
        <v>14</v>
      </c>
      <c r="H1418">
        <v>5</v>
      </c>
      <c r="I1418" t="s">
        <v>15</v>
      </c>
      <c r="J1418">
        <v>3</v>
      </c>
      <c r="K1418" t="s">
        <v>21</v>
      </c>
      <c r="L1418" t="s">
        <v>30</v>
      </c>
    </row>
    <row r="1419" spans="1:12" x14ac:dyDescent="0.25">
      <c r="A1419">
        <v>1418</v>
      </c>
      <c r="B1419">
        <v>48</v>
      </c>
      <c r="C1419" t="s">
        <v>26</v>
      </c>
      <c r="D1419" s="1">
        <v>45311</v>
      </c>
      <c r="E1419" s="1">
        <v>45326</v>
      </c>
      <c r="F1419" t="s">
        <v>28</v>
      </c>
      <c r="G1419" t="s">
        <v>23</v>
      </c>
      <c r="H1419">
        <v>15</v>
      </c>
      <c r="I1419" t="s">
        <v>15</v>
      </c>
      <c r="J1419">
        <v>2</v>
      </c>
      <c r="K1419" t="s">
        <v>21</v>
      </c>
      <c r="L1419" t="s">
        <v>22</v>
      </c>
    </row>
    <row r="1420" spans="1:12" x14ac:dyDescent="0.25">
      <c r="A1420">
        <v>1419</v>
      </c>
      <c r="B1420">
        <v>66</v>
      </c>
      <c r="C1420" t="s">
        <v>12</v>
      </c>
      <c r="D1420" s="1">
        <v>45583</v>
      </c>
      <c r="E1420" s="1">
        <v>45585</v>
      </c>
      <c r="F1420" t="s">
        <v>31</v>
      </c>
      <c r="G1420" t="s">
        <v>14</v>
      </c>
      <c r="H1420">
        <v>2</v>
      </c>
      <c r="I1420" t="s">
        <v>15</v>
      </c>
      <c r="J1420">
        <v>4</v>
      </c>
      <c r="K1420" t="s">
        <v>16</v>
      </c>
      <c r="L1420" t="s">
        <v>17</v>
      </c>
    </row>
    <row r="1421" spans="1:12" x14ac:dyDescent="0.25">
      <c r="A1421">
        <v>1420</v>
      </c>
      <c r="B1421">
        <v>36</v>
      </c>
      <c r="C1421" t="s">
        <v>26</v>
      </c>
      <c r="D1421" s="1">
        <v>45492</v>
      </c>
      <c r="E1421" s="1">
        <v>45494</v>
      </c>
      <c r="F1421" t="s">
        <v>28</v>
      </c>
      <c r="G1421" t="s">
        <v>23</v>
      </c>
      <c r="H1421">
        <v>2</v>
      </c>
      <c r="I1421" t="s">
        <v>15</v>
      </c>
      <c r="J1421">
        <v>0</v>
      </c>
      <c r="K1421" t="s">
        <v>16</v>
      </c>
      <c r="L1421" t="s">
        <v>30</v>
      </c>
    </row>
    <row r="1422" spans="1:12" x14ac:dyDescent="0.25">
      <c r="A1422">
        <v>1421</v>
      </c>
      <c r="B1422">
        <v>29</v>
      </c>
      <c r="C1422" t="s">
        <v>26</v>
      </c>
      <c r="D1422" s="1">
        <v>45482</v>
      </c>
      <c r="E1422" s="1">
        <v>45489</v>
      </c>
      <c r="F1422" t="s">
        <v>31</v>
      </c>
      <c r="G1422" t="s">
        <v>19</v>
      </c>
      <c r="H1422">
        <v>7</v>
      </c>
      <c r="I1422" t="s">
        <v>20</v>
      </c>
      <c r="J1422">
        <v>2</v>
      </c>
      <c r="K1422" t="s">
        <v>21</v>
      </c>
      <c r="L1422" t="s">
        <v>29</v>
      </c>
    </row>
    <row r="1423" spans="1:12" x14ac:dyDescent="0.25">
      <c r="A1423">
        <v>1422</v>
      </c>
      <c r="B1423">
        <v>45</v>
      </c>
      <c r="C1423" t="s">
        <v>26</v>
      </c>
      <c r="D1423" s="1">
        <v>45549</v>
      </c>
      <c r="E1423" s="1">
        <v>45556</v>
      </c>
      <c r="F1423" t="s">
        <v>13</v>
      </c>
      <c r="G1423" t="s">
        <v>14</v>
      </c>
      <c r="H1423">
        <v>7</v>
      </c>
      <c r="I1423" t="s">
        <v>15</v>
      </c>
      <c r="J1423">
        <v>2</v>
      </c>
      <c r="K1423" t="s">
        <v>16</v>
      </c>
      <c r="L1423" t="s">
        <v>30</v>
      </c>
    </row>
    <row r="1424" spans="1:12" x14ac:dyDescent="0.25">
      <c r="A1424">
        <v>1423</v>
      </c>
      <c r="B1424">
        <v>50</v>
      </c>
      <c r="C1424" t="s">
        <v>26</v>
      </c>
      <c r="D1424" s="1">
        <v>45428</v>
      </c>
      <c r="E1424" s="1">
        <v>45442</v>
      </c>
      <c r="F1424" t="s">
        <v>27</v>
      </c>
      <c r="G1424" t="s">
        <v>19</v>
      </c>
      <c r="H1424">
        <v>14</v>
      </c>
      <c r="I1424" t="s">
        <v>15</v>
      </c>
      <c r="J1424">
        <v>2</v>
      </c>
      <c r="K1424" t="s">
        <v>24</v>
      </c>
      <c r="L1424" t="s">
        <v>17</v>
      </c>
    </row>
    <row r="1425" spans="1:12" x14ac:dyDescent="0.25">
      <c r="A1425">
        <v>1424</v>
      </c>
      <c r="B1425">
        <v>67</v>
      </c>
      <c r="C1425" t="s">
        <v>12</v>
      </c>
      <c r="D1425" s="1">
        <v>45429</v>
      </c>
      <c r="E1425" s="1">
        <v>45441</v>
      </c>
      <c r="F1425" t="s">
        <v>18</v>
      </c>
      <c r="G1425" t="s">
        <v>23</v>
      </c>
      <c r="H1425">
        <v>12</v>
      </c>
      <c r="I1425" t="s">
        <v>15</v>
      </c>
      <c r="J1425">
        <v>1</v>
      </c>
      <c r="K1425" t="s">
        <v>24</v>
      </c>
      <c r="L1425" t="s">
        <v>29</v>
      </c>
    </row>
    <row r="1426" spans="1:12" x14ac:dyDescent="0.25">
      <c r="A1426">
        <v>1425</v>
      </c>
      <c r="B1426">
        <v>20</v>
      </c>
      <c r="C1426" t="s">
        <v>26</v>
      </c>
      <c r="D1426" s="1">
        <v>45367</v>
      </c>
      <c r="E1426" s="1">
        <v>45382</v>
      </c>
      <c r="F1426" t="s">
        <v>31</v>
      </c>
      <c r="G1426" t="s">
        <v>19</v>
      </c>
      <c r="H1426">
        <v>15</v>
      </c>
      <c r="I1426" t="s">
        <v>15</v>
      </c>
      <c r="J1426">
        <v>4</v>
      </c>
      <c r="K1426" t="s">
        <v>21</v>
      </c>
      <c r="L1426" t="s">
        <v>29</v>
      </c>
    </row>
    <row r="1427" spans="1:12" x14ac:dyDescent="0.25">
      <c r="A1427">
        <v>1426</v>
      </c>
      <c r="B1427">
        <v>46</v>
      </c>
      <c r="C1427" t="s">
        <v>12</v>
      </c>
      <c r="D1427" s="1">
        <v>45537</v>
      </c>
      <c r="E1427" s="1">
        <v>45551</v>
      </c>
      <c r="F1427" t="s">
        <v>13</v>
      </c>
      <c r="G1427" t="s">
        <v>14</v>
      </c>
      <c r="H1427">
        <v>14</v>
      </c>
      <c r="I1427" t="s">
        <v>20</v>
      </c>
      <c r="J1427">
        <v>0</v>
      </c>
      <c r="K1427" t="s">
        <v>21</v>
      </c>
      <c r="L1427" t="s">
        <v>22</v>
      </c>
    </row>
    <row r="1428" spans="1:12" x14ac:dyDescent="0.25">
      <c r="A1428">
        <v>1427</v>
      </c>
      <c r="B1428">
        <v>27</v>
      </c>
      <c r="C1428" t="s">
        <v>26</v>
      </c>
      <c r="D1428" s="1">
        <v>45346</v>
      </c>
      <c r="E1428" s="1">
        <v>45355</v>
      </c>
      <c r="F1428" t="s">
        <v>18</v>
      </c>
      <c r="G1428" t="s">
        <v>14</v>
      </c>
      <c r="H1428">
        <v>9</v>
      </c>
      <c r="I1428" t="s">
        <v>15</v>
      </c>
      <c r="J1428">
        <v>4</v>
      </c>
      <c r="K1428" t="s">
        <v>16</v>
      </c>
      <c r="L1428" t="s">
        <v>30</v>
      </c>
    </row>
    <row r="1429" spans="1:12" x14ac:dyDescent="0.25">
      <c r="A1429">
        <v>1428</v>
      </c>
      <c r="B1429">
        <v>77</v>
      </c>
      <c r="C1429" t="s">
        <v>12</v>
      </c>
      <c r="D1429" s="1">
        <v>45561</v>
      </c>
      <c r="E1429" s="1">
        <v>45575</v>
      </c>
      <c r="F1429" t="s">
        <v>18</v>
      </c>
      <c r="G1429" t="s">
        <v>23</v>
      </c>
      <c r="H1429">
        <v>14</v>
      </c>
      <c r="I1429" t="s">
        <v>15</v>
      </c>
      <c r="J1429">
        <v>2</v>
      </c>
      <c r="K1429" t="s">
        <v>24</v>
      </c>
      <c r="L1429" t="s">
        <v>30</v>
      </c>
    </row>
    <row r="1430" spans="1:12" x14ac:dyDescent="0.25">
      <c r="A1430">
        <v>1429</v>
      </c>
      <c r="B1430">
        <v>36</v>
      </c>
      <c r="C1430" t="s">
        <v>26</v>
      </c>
      <c r="D1430" s="1">
        <v>45444</v>
      </c>
      <c r="E1430" s="1">
        <v>45458</v>
      </c>
      <c r="F1430" t="s">
        <v>13</v>
      </c>
      <c r="G1430" t="s">
        <v>19</v>
      </c>
      <c r="H1430">
        <v>14</v>
      </c>
      <c r="I1430" t="s">
        <v>20</v>
      </c>
      <c r="J1430">
        <v>2</v>
      </c>
      <c r="K1430" t="s">
        <v>24</v>
      </c>
      <c r="L1430" t="s">
        <v>25</v>
      </c>
    </row>
    <row r="1431" spans="1:12" x14ac:dyDescent="0.25">
      <c r="A1431">
        <v>1430</v>
      </c>
      <c r="B1431">
        <v>78</v>
      </c>
      <c r="C1431" t="s">
        <v>12</v>
      </c>
      <c r="D1431" s="1">
        <v>45486</v>
      </c>
      <c r="E1431" s="1">
        <v>45489</v>
      </c>
      <c r="F1431" t="s">
        <v>28</v>
      </c>
      <c r="G1431" t="s">
        <v>14</v>
      </c>
      <c r="H1431">
        <v>3</v>
      </c>
      <c r="I1431" t="s">
        <v>20</v>
      </c>
      <c r="J1431">
        <v>1</v>
      </c>
      <c r="K1431" t="s">
        <v>24</v>
      </c>
      <c r="L1431" t="s">
        <v>22</v>
      </c>
    </row>
    <row r="1432" spans="1:12" x14ac:dyDescent="0.25">
      <c r="A1432">
        <v>1431</v>
      </c>
      <c r="B1432">
        <v>78</v>
      </c>
      <c r="C1432" t="s">
        <v>12</v>
      </c>
      <c r="D1432" s="1">
        <v>45510</v>
      </c>
      <c r="E1432" s="1">
        <v>45512</v>
      </c>
      <c r="F1432" t="s">
        <v>13</v>
      </c>
      <c r="G1432" t="s">
        <v>23</v>
      </c>
      <c r="H1432">
        <v>2</v>
      </c>
      <c r="I1432" t="s">
        <v>15</v>
      </c>
      <c r="J1432">
        <v>2</v>
      </c>
      <c r="K1432" t="s">
        <v>16</v>
      </c>
      <c r="L1432" t="s">
        <v>29</v>
      </c>
    </row>
    <row r="1433" spans="1:12" x14ac:dyDescent="0.25">
      <c r="A1433">
        <v>1432</v>
      </c>
      <c r="B1433">
        <v>55</v>
      </c>
      <c r="C1433" t="s">
        <v>26</v>
      </c>
      <c r="D1433" s="1">
        <v>45569</v>
      </c>
      <c r="E1433" s="1">
        <v>45579</v>
      </c>
      <c r="F1433" t="s">
        <v>13</v>
      </c>
      <c r="G1433" t="s">
        <v>23</v>
      </c>
      <c r="H1433">
        <v>10</v>
      </c>
      <c r="I1433" t="s">
        <v>20</v>
      </c>
      <c r="J1433">
        <v>4</v>
      </c>
      <c r="K1433" t="s">
        <v>16</v>
      </c>
      <c r="L1433" t="s">
        <v>29</v>
      </c>
    </row>
    <row r="1434" spans="1:12" x14ac:dyDescent="0.25">
      <c r="A1434">
        <v>1433</v>
      </c>
      <c r="B1434">
        <v>46</v>
      </c>
      <c r="C1434" t="s">
        <v>12</v>
      </c>
      <c r="D1434" s="1">
        <v>45349</v>
      </c>
      <c r="E1434" s="1">
        <v>45360</v>
      </c>
      <c r="F1434" t="s">
        <v>13</v>
      </c>
      <c r="G1434" t="s">
        <v>14</v>
      </c>
      <c r="H1434">
        <v>11</v>
      </c>
      <c r="I1434" t="s">
        <v>15</v>
      </c>
      <c r="J1434">
        <v>2</v>
      </c>
      <c r="K1434" t="s">
        <v>21</v>
      </c>
      <c r="L1434" t="s">
        <v>29</v>
      </c>
    </row>
    <row r="1435" spans="1:12" x14ac:dyDescent="0.25">
      <c r="A1435">
        <v>1434</v>
      </c>
      <c r="B1435">
        <v>35</v>
      </c>
      <c r="C1435" t="s">
        <v>26</v>
      </c>
      <c r="D1435" s="1">
        <v>45625</v>
      </c>
      <c r="E1435" s="1">
        <v>45640</v>
      </c>
      <c r="F1435" t="s">
        <v>13</v>
      </c>
      <c r="G1435" t="s">
        <v>23</v>
      </c>
      <c r="H1435">
        <v>15</v>
      </c>
      <c r="I1435" t="s">
        <v>15</v>
      </c>
      <c r="J1435">
        <v>0</v>
      </c>
      <c r="K1435" t="s">
        <v>24</v>
      </c>
      <c r="L1435" t="s">
        <v>29</v>
      </c>
    </row>
    <row r="1436" spans="1:12" x14ac:dyDescent="0.25">
      <c r="A1436">
        <v>1435</v>
      </c>
      <c r="B1436">
        <v>25</v>
      </c>
      <c r="C1436" t="s">
        <v>12</v>
      </c>
      <c r="D1436" s="1">
        <v>45555</v>
      </c>
      <c r="E1436" s="1">
        <v>45557</v>
      </c>
      <c r="F1436" t="s">
        <v>28</v>
      </c>
      <c r="G1436" t="s">
        <v>19</v>
      </c>
      <c r="H1436">
        <v>2</v>
      </c>
      <c r="I1436" t="s">
        <v>15</v>
      </c>
      <c r="J1436">
        <v>1</v>
      </c>
      <c r="K1436" t="s">
        <v>24</v>
      </c>
      <c r="L1436" t="s">
        <v>22</v>
      </c>
    </row>
    <row r="1437" spans="1:12" x14ac:dyDescent="0.25">
      <c r="A1437">
        <v>1436</v>
      </c>
      <c r="B1437">
        <v>28</v>
      </c>
      <c r="C1437" t="s">
        <v>26</v>
      </c>
      <c r="D1437" s="1">
        <v>45641</v>
      </c>
      <c r="E1437" s="1">
        <v>45644</v>
      </c>
      <c r="F1437" t="s">
        <v>18</v>
      </c>
      <c r="G1437" t="s">
        <v>23</v>
      </c>
      <c r="H1437">
        <v>3</v>
      </c>
      <c r="I1437" t="s">
        <v>20</v>
      </c>
      <c r="J1437">
        <v>4</v>
      </c>
      <c r="K1437" t="s">
        <v>24</v>
      </c>
      <c r="L1437" t="s">
        <v>17</v>
      </c>
    </row>
    <row r="1438" spans="1:12" x14ac:dyDescent="0.25">
      <c r="A1438">
        <v>1437</v>
      </c>
      <c r="B1438">
        <v>79</v>
      </c>
      <c r="C1438" t="s">
        <v>12</v>
      </c>
      <c r="D1438" s="1">
        <v>45392</v>
      </c>
      <c r="E1438" s="1">
        <v>45403</v>
      </c>
      <c r="F1438" t="s">
        <v>28</v>
      </c>
      <c r="G1438" t="s">
        <v>23</v>
      </c>
      <c r="H1438">
        <v>11</v>
      </c>
      <c r="I1438" t="s">
        <v>15</v>
      </c>
      <c r="J1438">
        <v>0</v>
      </c>
      <c r="K1438" t="s">
        <v>21</v>
      </c>
      <c r="L1438" t="s">
        <v>29</v>
      </c>
    </row>
    <row r="1439" spans="1:12" x14ac:dyDescent="0.25">
      <c r="A1439">
        <v>1438</v>
      </c>
      <c r="B1439">
        <v>70</v>
      </c>
      <c r="C1439" t="s">
        <v>26</v>
      </c>
      <c r="D1439" s="1">
        <v>45299</v>
      </c>
      <c r="E1439" s="1">
        <v>45303</v>
      </c>
      <c r="F1439" t="s">
        <v>31</v>
      </c>
      <c r="G1439" t="s">
        <v>14</v>
      </c>
      <c r="H1439">
        <v>4</v>
      </c>
      <c r="I1439" t="s">
        <v>15</v>
      </c>
      <c r="J1439">
        <v>3</v>
      </c>
      <c r="K1439" t="s">
        <v>16</v>
      </c>
      <c r="L1439" t="s">
        <v>29</v>
      </c>
    </row>
    <row r="1440" spans="1:12" x14ac:dyDescent="0.25">
      <c r="A1440">
        <v>1439</v>
      </c>
      <c r="B1440">
        <v>63</v>
      </c>
      <c r="C1440" t="s">
        <v>26</v>
      </c>
      <c r="D1440" s="1">
        <v>45339</v>
      </c>
      <c r="E1440" s="1">
        <v>45345</v>
      </c>
      <c r="F1440" t="s">
        <v>31</v>
      </c>
      <c r="G1440" t="s">
        <v>14</v>
      </c>
      <c r="H1440">
        <v>6</v>
      </c>
      <c r="I1440" t="s">
        <v>20</v>
      </c>
      <c r="J1440">
        <v>1</v>
      </c>
      <c r="K1440" t="s">
        <v>21</v>
      </c>
      <c r="L1440" t="s">
        <v>30</v>
      </c>
    </row>
    <row r="1441" spans="1:12" x14ac:dyDescent="0.25">
      <c r="A1441">
        <v>1440</v>
      </c>
      <c r="B1441">
        <v>39</v>
      </c>
      <c r="C1441" t="s">
        <v>12</v>
      </c>
      <c r="D1441" s="1">
        <v>45601</v>
      </c>
      <c r="E1441" s="1">
        <v>45603</v>
      </c>
      <c r="F1441" t="s">
        <v>27</v>
      </c>
      <c r="G1441" t="s">
        <v>19</v>
      </c>
      <c r="H1441">
        <v>2</v>
      </c>
      <c r="I1441" t="s">
        <v>15</v>
      </c>
      <c r="J1441">
        <v>4</v>
      </c>
      <c r="K1441" t="s">
        <v>16</v>
      </c>
      <c r="L1441" t="s">
        <v>22</v>
      </c>
    </row>
    <row r="1442" spans="1:12" x14ac:dyDescent="0.25">
      <c r="A1442">
        <v>1441</v>
      </c>
      <c r="B1442">
        <v>84</v>
      </c>
      <c r="C1442" t="s">
        <v>12</v>
      </c>
      <c r="D1442" s="1">
        <v>45307</v>
      </c>
      <c r="E1442" s="1">
        <v>45315</v>
      </c>
      <c r="F1442" t="s">
        <v>28</v>
      </c>
      <c r="G1442" t="s">
        <v>19</v>
      </c>
      <c r="H1442">
        <v>8</v>
      </c>
      <c r="I1442" t="s">
        <v>15</v>
      </c>
      <c r="J1442">
        <v>3</v>
      </c>
      <c r="K1442" t="s">
        <v>16</v>
      </c>
      <c r="L1442" t="s">
        <v>25</v>
      </c>
    </row>
    <row r="1443" spans="1:12" x14ac:dyDescent="0.25">
      <c r="A1443">
        <v>1442</v>
      </c>
      <c r="B1443">
        <v>20</v>
      </c>
      <c r="C1443" t="s">
        <v>12</v>
      </c>
      <c r="D1443" s="1">
        <v>45336</v>
      </c>
      <c r="E1443" s="1">
        <v>45340</v>
      </c>
      <c r="F1443" t="s">
        <v>13</v>
      </c>
      <c r="G1443" t="s">
        <v>14</v>
      </c>
      <c r="H1443">
        <v>4</v>
      </c>
      <c r="I1443" t="s">
        <v>20</v>
      </c>
      <c r="J1443">
        <v>0</v>
      </c>
      <c r="K1443" t="s">
        <v>21</v>
      </c>
      <c r="L1443" t="s">
        <v>30</v>
      </c>
    </row>
    <row r="1444" spans="1:12" x14ac:dyDescent="0.25">
      <c r="A1444">
        <v>1443</v>
      </c>
      <c r="B1444">
        <v>53</v>
      </c>
      <c r="C1444" t="s">
        <v>12</v>
      </c>
      <c r="D1444" s="1">
        <v>45652</v>
      </c>
      <c r="E1444" s="1">
        <v>45653</v>
      </c>
      <c r="F1444" t="s">
        <v>27</v>
      </c>
      <c r="G1444" t="s">
        <v>19</v>
      </c>
      <c r="H1444">
        <v>1</v>
      </c>
      <c r="I1444" t="s">
        <v>15</v>
      </c>
      <c r="J1444">
        <v>1</v>
      </c>
      <c r="K1444" t="s">
        <v>24</v>
      </c>
      <c r="L1444" t="s">
        <v>25</v>
      </c>
    </row>
    <row r="1445" spans="1:12" x14ac:dyDescent="0.25">
      <c r="A1445">
        <v>1444</v>
      </c>
      <c r="B1445">
        <v>51</v>
      </c>
      <c r="C1445" t="s">
        <v>26</v>
      </c>
      <c r="D1445" s="1">
        <v>45604</v>
      </c>
      <c r="E1445" s="1">
        <v>45607</v>
      </c>
      <c r="F1445" t="s">
        <v>28</v>
      </c>
      <c r="G1445" t="s">
        <v>14</v>
      </c>
      <c r="H1445">
        <v>3</v>
      </c>
      <c r="I1445" t="s">
        <v>15</v>
      </c>
      <c r="J1445">
        <v>4</v>
      </c>
      <c r="K1445" t="s">
        <v>21</v>
      </c>
      <c r="L1445" t="s">
        <v>17</v>
      </c>
    </row>
    <row r="1446" spans="1:12" x14ac:dyDescent="0.25">
      <c r="A1446">
        <v>1445</v>
      </c>
      <c r="B1446">
        <v>58</v>
      </c>
      <c r="C1446" t="s">
        <v>26</v>
      </c>
      <c r="D1446" s="1">
        <v>45458</v>
      </c>
      <c r="E1446" s="1">
        <v>45467</v>
      </c>
      <c r="F1446" t="s">
        <v>13</v>
      </c>
      <c r="G1446" t="s">
        <v>14</v>
      </c>
      <c r="H1446">
        <v>9</v>
      </c>
      <c r="I1446" t="s">
        <v>20</v>
      </c>
      <c r="J1446">
        <v>1</v>
      </c>
      <c r="K1446" t="s">
        <v>21</v>
      </c>
      <c r="L1446" t="s">
        <v>29</v>
      </c>
    </row>
    <row r="1447" spans="1:12" x14ac:dyDescent="0.25">
      <c r="A1447">
        <v>1446</v>
      </c>
      <c r="B1447">
        <v>48</v>
      </c>
      <c r="C1447" t="s">
        <v>12</v>
      </c>
      <c r="D1447" s="1">
        <v>45512</v>
      </c>
      <c r="E1447" s="1">
        <v>45521</v>
      </c>
      <c r="F1447" t="s">
        <v>18</v>
      </c>
      <c r="G1447" t="s">
        <v>23</v>
      </c>
      <c r="H1447">
        <v>9</v>
      </c>
      <c r="I1447" t="s">
        <v>20</v>
      </c>
      <c r="J1447">
        <v>4</v>
      </c>
      <c r="K1447" t="s">
        <v>21</v>
      </c>
      <c r="L1447" t="s">
        <v>30</v>
      </c>
    </row>
    <row r="1448" spans="1:12" x14ac:dyDescent="0.25">
      <c r="A1448">
        <v>1447</v>
      </c>
      <c r="B1448">
        <v>41</v>
      </c>
      <c r="C1448" t="s">
        <v>26</v>
      </c>
      <c r="D1448" s="1">
        <v>45638</v>
      </c>
      <c r="E1448" s="1">
        <v>45642</v>
      </c>
      <c r="F1448" t="s">
        <v>13</v>
      </c>
      <c r="G1448" t="s">
        <v>23</v>
      </c>
      <c r="H1448">
        <v>4</v>
      </c>
      <c r="I1448" t="s">
        <v>20</v>
      </c>
      <c r="J1448">
        <v>0</v>
      </c>
      <c r="K1448" t="s">
        <v>24</v>
      </c>
      <c r="L1448" t="s">
        <v>17</v>
      </c>
    </row>
    <row r="1449" spans="1:12" x14ac:dyDescent="0.25">
      <c r="A1449">
        <v>1448</v>
      </c>
      <c r="B1449">
        <v>30</v>
      </c>
      <c r="C1449" t="s">
        <v>26</v>
      </c>
      <c r="D1449" s="1">
        <v>45545</v>
      </c>
      <c r="E1449" s="1">
        <v>45553</v>
      </c>
      <c r="F1449" t="s">
        <v>27</v>
      </c>
      <c r="G1449" t="s">
        <v>19</v>
      </c>
      <c r="H1449">
        <v>8</v>
      </c>
      <c r="I1449" t="s">
        <v>15</v>
      </c>
      <c r="J1449">
        <v>4</v>
      </c>
      <c r="K1449" t="s">
        <v>24</v>
      </c>
      <c r="L1449" t="s">
        <v>30</v>
      </c>
    </row>
    <row r="1450" spans="1:12" x14ac:dyDescent="0.25">
      <c r="A1450">
        <v>1449</v>
      </c>
      <c r="B1450">
        <v>85</v>
      </c>
      <c r="C1450" t="s">
        <v>12</v>
      </c>
      <c r="D1450" s="1">
        <v>45619</v>
      </c>
      <c r="E1450" s="1">
        <v>45622</v>
      </c>
      <c r="F1450" t="s">
        <v>18</v>
      </c>
      <c r="G1450" t="s">
        <v>19</v>
      </c>
      <c r="H1450">
        <v>3</v>
      </c>
      <c r="I1450" t="s">
        <v>15</v>
      </c>
      <c r="J1450">
        <v>3</v>
      </c>
      <c r="K1450" t="s">
        <v>16</v>
      </c>
      <c r="L1450" t="s">
        <v>25</v>
      </c>
    </row>
    <row r="1451" spans="1:12" x14ac:dyDescent="0.25">
      <c r="A1451">
        <v>1450</v>
      </c>
      <c r="B1451">
        <v>38</v>
      </c>
      <c r="C1451" t="s">
        <v>26</v>
      </c>
      <c r="D1451" s="1">
        <v>45460</v>
      </c>
      <c r="E1451" s="1">
        <v>45465</v>
      </c>
      <c r="F1451" t="s">
        <v>28</v>
      </c>
      <c r="G1451" t="s">
        <v>23</v>
      </c>
      <c r="H1451">
        <v>5</v>
      </c>
      <c r="I1451" t="s">
        <v>20</v>
      </c>
      <c r="J1451">
        <v>3</v>
      </c>
      <c r="K1451" t="s">
        <v>16</v>
      </c>
      <c r="L1451" t="s">
        <v>22</v>
      </c>
    </row>
    <row r="1452" spans="1:12" x14ac:dyDescent="0.25">
      <c r="A1452">
        <v>1451</v>
      </c>
      <c r="B1452">
        <v>76</v>
      </c>
      <c r="C1452" t="s">
        <v>26</v>
      </c>
      <c r="D1452" s="1">
        <v>45398</v>
      </c>
      <c r="E1452" s="1">
        <v>45400</v>
      </c>
      <c r="F1452" t="s">
        <v>28</v>
      </c>
      <c r="G1452" t="s">
        <v>14</v>
      </c>
      <c r="H1452">
        <v>2</v>
      </c>
      <c r="I1452" t="s">
        <v>20</v>
      </c>
      <c r="J1452">
        <v>0</v>
      </c>
      <c r="K1452" t="s">
        <v>24</v>
      </c>
      <c r="L1452" t="s">
        <v>29</v>
      </c>
    </row>
    <row r="1453" spans="1:12" x14ac:dyDescent="0.25">
      <c r="A1453">
        <v>1452</v>
      </c>
      <c r="B1453">
        <v>64</v>
      </c>
      <c r="C1453" t="s">
        <v>12</v>
      </c>
      <c r="D1453" s="1">
        <v>45377</v>
      </c>
      <c r="E1453" s="1">
        <v>45379</v>
      </c>
      <c r="F1453" t="s">
        <v>28</v>
      </c>
      <c r="G1453" t="s">
        <v>23</v>
      </c>
      <c r="H1453">
        <v>2</v>
      </c>
      <c r="I1453" t="s">
        <v>15</v>
      </c>
      <c r="J1453">
        <v>0</v>
      </c>
      <c r="K1453" t="s">
        <v>21</v>
      </c>
      <c r="L1453" t="s">
        <v>29</v>
      </c>
    </row>
    <row r="1454" spans="1:12" x14ac:dyDescent="0.25">
      <c r="A1454">
        <v>1453</v>
      </c>
      <c r="B1454">
        <v>62</v>
      </c>
      <c r="C1454" t="s">
        <v>26</v>
      </c>
      <c r="D1454" s="1">
        <v>45541</v>
      </c>
      <c r="E1454" s="1">
        <v>45548</v>
      </c>
      <c r="F1454" t="s">
        <v>28</v>
      </c>
      <c r="G1454" t="s">
        <v>23</v>
      </c>
      <c r="H1454">
        <v>7</v>
      </c>
      <c r="I1454" t="s">
        <v>15</v>
      </c>
      <c r="J1454">
        <v>3</v>
      </c>
      <c r="K1454" t="s">
        <v>21</v>
      </c>
      <c r="L1454" t="s">
        <v>22</v>
      </c>
    </row>
    <row r="1455" spans="1:12" x14ac:dyDescent="0.25">
      <c r="A1455">
        <v>1454</v>
      </c>
      <c r="B1455">
        <v>26</v>
      </c>
      <c r="C1455" t="s">
        <v>12</v>
      </c>
      <c r="D1455" s="1">
        <v>45431</v>
      </c>
      <c r="E1455" s="1">
        <v>45436</v>
      </c>
      <c r="F1455" t="s">
        <v>27</v>
      </c>
      <c r="G1455" t="s">
        <v>19</v>
      </c>
      <c r="H1455">
        <v>5</v>
      </c>
      <c r="I1455" t="s">
        <v>20</v>
      </c>
      <c r="J1455">
        <v>2</v>
      </c>
      <c r="K1455" t="s">
        <v>16</v>
      </c>
      <c r="L1455" t="s">
        <v>22</v>
      </c>
    </row>
    <row r="1456" spans="1:12" x14ac:dyDescent="0.25">
      <c r="A1456">
        <v>1455</v>
      </c>
      <c r="B1456">
        <v>60</v>
      </c>
      <c r="C1456" t="s">
        <v>12</v>
      </c>
      <c r="D1456" s="1">
        <v>45458</v>
      </c>
      <c r="E1456" s="1">
        <v>45464</v>
      </c>
      <c r="F1456" t="s">
        <v>27</v>
      </c>
      <c r="G1456" t="s">
        <v>19</v>
      </c>
      <c r="H1456">
        <v>6</v>
      </c>
      <c r="I1456" t="s">
        <v>20</v>
      </c>
      <c r="J1456">
        <v>1</v>
      </c>
      <c r="K1456" t="s">
        <v>21</v>
      </c>
      <c r="L1456" t="s">
        <v>29</v>
      </c>
    </row>
    <row r="1457" spans="1:12" x14ac:dyDescent="0.25">
      <c r="A1457">
        <v>1456</v>
      </c>
      <c r="B1457">
        <v>21</v>
      </c>
      <c r="C1457" t="s">
        <v>26</v>
      </c>
      <c r="D1457" s="1">
        <v>45615</v>
      </c>
      <c r="E1457" s="1">
        <v>45626</v>
      </c>
      <c r="F1457" t="s">
        <v>13</v>
      </c>
      <c r="G1457" t="s">
        <v>19</v>
      </c>
      <c r="H1457">
        <v>11</v>
      </c>
      <c r="I1457" t="s">
        <v>20</v>
      </c>
      <c r="J1457">
        <v>3</v>
      </c>
      <c r="K1457" t="s">
        <v>16</v>
      </c>
      <c r="L1457" t="s">
        <v>22</v>
      </c>
    </row>
    <row r="1458" spans="1:12" x14ac:dyDescent="0.25">
      <c r="A1458">
        <v>1457</v>
      </c>
      <c r="B1458">
        <v>32</v>
      </c>
      <c r="C1458" t="s">
        <v>12</v>
      </c>
      <c r="D1458" s="1">
        <v>45519</v>
      </c>
      <c r="E1458" s="1">
        <v>45528</v>
      </c>
      <c r="F1458" t="s">
        <v>31</v>
      </c>
      <c r="G1458" t="s">
        <v>14</v>
      </c>
      <c r="H1458">
        <v>9</v>
      </c>
      <c r="I1458" t="s">
        <v>20</v>
      </c>
      <c r="J1458">
        <v>3</v>
      </c>
      <c r="K1458" t="s">
        <v>16</v>
      </c>
      <c r="L1458" t="s">
        <v>17</v>
      </c>
    </row>
    <row r="1459" spans="1:12" x14ac:dyDescent="0.25">
      <c r="A1459">
        <v>1458</v>
      </c>
      <c r="B1459">
        <v>26</v>
      </c>
      <c r="C1459" t="s">
        <v>26</v>
      </c>
      <c r="D1459" s="1">
        <v>45405</v>
      </c>
      <c r="E1459" s="1">
        <v>45419</v>
      </c>
      <c r="F1459" t="s">
        <v>18</v>
      </c>
      <c r="G1459" t="s">
        <v>14</v>
      </c>
      <c r="H1459">
        <v>14</v>
      </c>
      <c r="I1459" t="s">
        <v>15</v>
      </c>
      <c r="J1459">
        <v>1</v>
      </c>
      <c r="K1459" t="s">
        <v>21</v>
      </c>
      <c r="L1459" t="s">
        <v>22</v>
      </c>
    </row>
    <row r="1460" spans="1:12" x14ac:dyDescent="0.25">
      <c r="A1460">
        <v>1459</v>
      </c>
      <c r="B1460">
        <v>40</v>
      </c>
      <c r="C1460" t="s">
        <v>12</v>
      </c>
      <c r="D1460" s="1">
        <v>45453</v>
      </c>
      <c r="E1460" s="1">
        <v>45464</v>
      </c>
      <c r="F1460" t="s">
        <v>31</v>
      </c>
      <c r="G1460" t="s">
        <v>14</v>
      </c>
      <c r="H1460">
        <v>11</v>
      </c>
      <c r="I1460" t="s">
        <v>15</v>
      </c>
      <c r="J1460">
        <v>1</v>
      </c>
      <c r="K1460" t="s">
        <v>24</v>
      </c>
      <c r="L1460" t="s">
        <v>30</v>
      </c>
    </row>
    <row r="1461" spans="1:12" x14ac:dyDescent="0.25">
      <c r="A1461">
        <v>1460</v>
      </c>
      <c r="B1461">
        <v>85</v>
      </c>
      <c r="C1461" t="s">
        <v>26</v>
      </c>
      <c r="D1461" s="1">
        <v>45463</v>
      </c>
      <c r="E1461" s="1">
        <v>45472</v>
      </c>
      <c r="F1461" t="s">
        <v>31</v>
      </c>
      <c r="G1461" t="s">
        <v>23</v>
      </c>
      <c r="H1461">
        <v>9</v>
      </c>
      <c r="I1461" t="s">
        <v>15</v>
      </c>
      <c r="J1461">
        <v>0</v>
      </c>
      <c r="K1461" t="s">
        <v>21</v>
      </c>
      <c r="L1461" t="s">
        <v>30</v>
      </c>
    </row>
    <row r="1462" spans="1:12" x14ac:dyDescent="0.25">
      <c r="A1462">
        <v>1461</v>
      </c>
      <c r="B1462">
        <v>74</v>
      </c>
      <c r="C1462" t="s">
        <v>12</v>
      </c>
      <c r="D1462" s="1">
        <v>45318</v>
      </c>
      <c r="E1462" s="1">
        <v>45325</v>
      </c>
      <c r="F1462" t="s">
        <v>18</v>
      </c>
      <c r="G1462" t="s">
        <v>14</v>
      </c>
      <c r="H1462">
        <v>7</v>
      </c>
      <c r="I1462" t="s">
        <v>20</v>
      </c>
      <c r="J1462">
        <v>1</v>
      </c>
      <c r="K1462" t="s">
        <v>21</v>
      </c>
      <c r="L1462" t="s">
        <v>25</v>
      </c>
    </row>
    <row r="1463" spans="1:12" x14ac:dyDescent="0.25">
      <c r="A1463">
        <v>1462</v>
      </c>
      <c r="B1463">
        <v>63</v>
      </c>
      <c r="C1463" t="s">
        <v>26</v>
      </c>
      <c r="D1463" s="1">
        <v>45548</v>
      </c>
      <c r="E1463" s="1">
        <v>45557</v>
      </c>
      <c r="F1463" t="s">
        <v>27</v>
      </c>
      <c r="G1463" t="s">
        <v>14</v>
      </c>
      <c r="H1463">
        <v>9</v>
      </c>
      <c r="I1463" t="s">
        <v>15</v>
      </c>
      <c r="J1463">
        <v>2</v>
      </c>
      <c r="K1463" t="s">
        <v>24</v>
      </c>
      <c r="L1463" t="s">
        <v>25</v>
      </c>
    </row>
    <row r="1464" spans="1:12" x14ac:dyDescent="0.25">
      <c r="A1464">
        <v>1463</v>
      </c>
      <c r="B1464">
        <v>21</v>
      </c>
      <c r="C1464" t="s">
        <v>26</v>
      </c>
      <c r="D1464" s="1">
        <v>45571</v>
      </c>
      <c r="E1464" s="1">
        <v>45572</v>
      </c>
      <c r="F1464" t="s">
        <v>27</v>
      </c>
      <c r="G1464" t="s">
        <v>14</v>
      </c>
      <c r="H1464">
        <v>1</v>
      </c>
      <c r="I1464" t="s">
        <v>20</v>
      </c>
      <c r="J1464">
        <v>4</v>
      </c>
      <c r="K1464" t="s">
        <v>21</v>
      </c>
      <c r="L1464" t="s">
        <v>22</v>
      </c>
    </row>
    <row r="1465" spans="1:12" x14ac:dyDescent="0.25">
      <c r="A1465">
        <v>1464</v>
      </c>
      <c r="B1465">
        <v>44</v>
      </c>
      <c r="C1465" t="s">
        <v>26</v>
      </c>
      <c r="D1465" s="1">
        <v>45615</v>
      </c>
      <c r="E1465" s="1">
        <v>45629</v>
      </c>
      <c r="F1465" t="s">
        <v>28</v>
      </c>
      <c r="G1465" t="s">
        <v>19</v>
      </c>
      <c r="H1465">
        <v>14</v>
      </c>
      <c r="I1465" t="s">
        <v>15</v>
      </c>
      <c r="J1465">
        <v>0</v>
      </c>
      <c r="K1465" t="s">
        <v>24</v>
      </c>
      <c r="L1465" t="s">
        <v>17</v>
      </c>
    </row>
    <row r="1466" spans="1:12" x14ac:dyDescent="0.25">
      <c r="A1466">
        <v>1465</v>
      </c>
      <c r="B1466">
        <v>39</v>
      </c>
      <c r="C1466" t="s">
        <v>12</v>
      </c>
      <c r="D1466" s="1">
        <v>45401</v>
      </c>
      <c r="E1466" s="1">
        <v>45403</v>
      </c>
      <c r="F1466" t="s">
        <v>13</v>
      </c>
      <c r="G1466" t="s">
        <v>19</v>
      </c>
      <c r="H1466">
        <v>2</v>
      </c>
      <c r="I1466" t="s">
        <v>15</v>
      </c>
      <c r="J1466">
        <v>2</v>
      </c>
      <c r="K1466" t="s">
        <v>21</v>
      </c>
      <c r="L1466" t="s">
        <v>30</v>
      </c>
    </row>
    <row r="1467" spans="1:12" x14ac:dyDescent="0.25">
      <c r="A1467">
        <v>1466</v>
      </c>
      <c r="B1467">
        <v>46</v>
      </c>
      <c r="C1467" t="s">
        <v>26</v>
      </c>
      <c r="D1467" s="1">
        <v>45356</v>
      </c>
      <c r="E1467" s="1">
        <v>45367</v>
      </c>
      <c r="F1467" t="s">
        <v>28</v>
      </c>
      <c r="G1467" t="s">
        <v>14</v>
      </c>
      <c r="H1467">
        <v>11</v>
      </c>
      <c r="I1467" t="s">
        <v>15</v>
      </c>
      <c r="J1467">
        <v>3</v>
      </c>
      <c r="K1467" t="s">
        <v>16</v>
      </c>
      <c r="L1467" t="s">
        <v>17</v>
      </c>
    </row>
    <row r="1468" spans="1:12" x14ac:dyDescent="0.25">
      <c r="A1468">
        <v>1467</v>
      </c>
      <c r="B1468">
        <v>41</v>
      </c>
      <c r="C1468" t="s">
        <v>12</v>
      </c>
      <c r="D1468" s="1">
        <v>45390</v>
      </c>
      <c r="E1468" s="1">
        <v>45405</v>
      </c>
      <c r="F1468" t="s">
        <v>18</v>
      </c>
      <c r="G1468" t="s">
        <v>23</v>
      </c>
      <c r="H1468">
        <v>15</v>
      </c>
      <c r="I1468" t="s">
        <v>20</v>
      </c>
      <c r="J1468">
        <v>4</v>
      </c>
      <c r="K1468" t="s">
        <v>16</v>
      </c>
      <c r="L1468" t="s">
        <v>30</v>
      </c>
    </row>
    <row r="1469" spans="1:12" x14ac:dyDescent="0.25">
      <c r="A1469">
        <v>1468</v>
      </c>
      <c r="B1469">
        <v>55</v>
      </c>
      <c r="C1469" t="s">
        <v>26</v>
      </c>
      <c r="D1469" s="1">
        <v>45595</v>
      </c>
      <c r="E1469" s="1">
        <v>45600</v>
      </c>
      <c r="F1469" t="s">
        <v>18</v>
      </c>
      <c r="G1469" t="s">
        <v>14</v>
      </c>
      <c r="H1469">
        <v>5</v>
      </c>
      <c r="I1469" t="s">
        <v>20</v>
      </c>
      <c r="J1469">
        <v>3</v>
      </c>
      <c r="K1469" t="s">
        <v>16</v>
      </c>
      <c r="L1469" t="s">
        <v>29</v>
      </c>
    </row>
    <row r="1470" spans="1:12" x14ac:dyDescent="0.25">
      <c r="A1470">
        <v>1469</v>
      </c>
      <c r="B1470">
        <v>59</v>
      </c>
      <c r="C1470" t="s">
        <v>26</v>
      </c>
      <c r="D1470" s="1">
        <v>45357</v>
      </c>
      <c r="E1470" s="1">
        <v>45367</v>
      </c>
      <c r="F1470" t="s">
        <v>13</v>
      </c>
      <c r="G1470" t="s">
        <v>14</v>
      </c>
      <c r="H1470">
        <v>10</v>
      </c>
      <c r="I1470" t="s">
        <v>20</v>
      </c>
      <c r="J1470">
        <v>3</v>
      </c>
      <c r="K1470" t="s">
        <v>21</v>
      </c>
      <c r="L1470" t="s">
        <v>25</v>
      </c>
    </row>
    <row r="1471" spans="1:12" x14ac:dyDescent="0.25">
      <c r="A1471">
        <v>1470</v>
      </c>
      <c r="B1471">
        <v>86</v>
      </c>
      <c r="C1471" t="s">
        <v>12</v>
      </c>
      <c r="D1471" s="1">
        <v>45587</v>
      </c>
      <c r="E1471" s="1">
        <v>45592</v>
      </c>
      <c r="F1471" t="s">
        <v>31</v>
      </c>
      <c r="G1471" t="s">
        <v>23</v>
      </c>
      <c r="H1471">
        <v>5</v>
      </c>
      <c r="I1471" t="s">
        <v>15</v>
      </c>
      <c r="J1471">
        <v>3</v>
      </c>
      <c r="K1471" t="s">
        <v>24</v>
      </c>
      <c r="L1471" t="s">
        <v>30</v>
      </c>
    </row>
    <row r="1472" spans="1:12" x14ac:dyDescent="0.25">
      <c r="A1472">
        <v>1471</v>
      </c>
      <c r="B1472">
        <v>90</v>
      </c>
      <c r="C1472" t="s">
        <v>12</v>
      </c>
      <c r="D1472" s="1">
        <v>45503</v>
      </c>
      <c r="E1472" s="1">
        <v>45516</v>
      </c>
      <c r="F1472" t="s">
        <v>27</v>
      </c>
      <c r="G1472" t="s">
        <v>14</v>
      </c>
      <c r="H1472">
        <v>13</v>
      </c>
      <c r="I1472" t="s">
        <v>15</v>
      </c>
      <c r="J1472">
        <v>3</v>
      </c>
      <c r="K1472" t="s">
        <v>24</v>
      </c>
      <c r="L1472" t="s">
        <v>22</v>
      </c>
    </row>
    <row r="1473" spans="1:12" x14ac:dyDescent="0.25">
      <c r="A1473">
        <v>1472</v>
      </c>
      <c r="B1473">
        <v>61</v>
      </c>
      <c r="C1473" t="s">
        <v>12</v>
      </c>
      <c r="D1473" s="1">
        <v>45444</v>
      </c>
      <c r="E1473" s="1">
        <v>45452</v>
      </c>
      <c r="F1473" t="s">
        <v>13</v>
      </c>
      <c r="G1473" t="s">
        <v>14</v>
      </c>
      <c r="H1473">
        <v>8</v>
      </c>
      <c r="I1473" t="s">
        <v>15</v>
      </c>
      <c r="J1473">
        <v>3</v>
      </c>
      <c r="K1473" t="s">
        <v>21</v>
      </c>
      <c r="L1473" t="s">
        <v>30</v>
      </c>
    </row>
    <row r="1474" spans="1:12" x14ac:dyDescent="0.25">
      <c r="A1474">
        <v>1473</v>
      </c>
      <c r="B1474">
        <v>50</v>
      </c>
      <c r="C1474" t="s">
        <v>12</v>
      </c>
      <c r="D1474" s="1">
        <v>45446</v>
      </c>
      <c r="E1474" s="1">
        <v>45451</v>
      </c>
      <c r="F1474" t="s">
        <v>27</v>
      </c>
      <c r="G1474" t="s">
        <v>23</v>
      </c>
      <c r="H1474">
        <v>5</v>
      </c>
      <c r="I1474" t="s">
        <v>15</v>
      </c>
      <c r="J1474">
        <v>2</v>
      </c>
      <c r="K1474" t="s">
        <v>21</v>
      </c>
      <c r="L1474" t="s">
        <v>25</v>
      </c>
    </row>
    <row r="1475" spans="1:12" x14ac:dyDescent="0.25">
      <c r="A1475">
        <v>1474</v>
      </c>
      <c r="B1475">
        <v>67</v>
      </c>
      <c r="C1475" t="s">
        <v>26</v>
      </c>
      <c r="D1475" s="1">
        <v>45375</v>
      </c>
      <c r="E1475" s="1">
        <v>45389</v>
      </c>
      <c r="F1475" t="s">
        <v>13</v>
      </c>
      <c r="G1475" t="s">
        <v>14</v>
      </c>
      <c r="H1475">
        <v>14</v>
      </c>
      <c r="I1475" t="s">
        <v>15</v>
      </c>
      <c r="J1475">
        <v>1</v>
      </c>
      <c r="K1475" t="s">
        <v>21</v>
      </c>
      <c r="L1475" t="s">
        <v>22</v>
      </c>
    </row>
    <row r="1476" spans="1:12" x14ac:dyDescent="0.25">
      <c r="A1476">
        <v>1475</v>
      </c>
      <c r="B1476">
        <v>34</v>
      </c>
      <c r="C1476" t="s">
        <v>12</v>
      </c>
      <c r="D1476" s="1">
        <v>45313</v>
      </c>
      <c r="E1476" s="1">
        <v>45318</v>
      </c>
      <c r="F1476" t="s">
        <v>18</v>
      </c>
      <c r="G1476" t="s">
        <v>19</v>
      </c>
      <c r="H1476">
        <v>5</v>
      </c>
      <c r="I1476" t="s">
        <v>15</v>
      </c>
      <c r="J1476">
        <v>4</v>
      </c>
      <c r="K1476" t="s">
        <v>21</v>
      </c>
      <c r="L1476" t="s">
        <v>25</v>
      </c>
    </row>
    <row r="1477" spans="1:12" x14ac:dyDescent="0.25">
      <c r="A1477">
        <v>1476</v>
      </c>
      <c r="B1477">
        <v>82</v>
      </c>
      <c r="C1477" t="s">
        <v>12</v>
      </c>
      <c r="D1477" s="1">
        <v>45490</v>
      </c>
      <c r="E1477" s="1">
        <v>45499</v>
      </c>
      <c r="F1477" t="s">
        <v>31</v>
      </c>
      <c r="G1477" t="s">
        <v>19</v>
      </c>
      <c r="H1477">
        <v>9</v>
      </c>
      <c r="I1477" t="s">
        <v>15</v>
      </c>
      <c r="J1477">
        <v>3</v>
      </c>
      <c r="K1477" t="s">
        <v>16</v>
      </c>
      <c r="L1477" t="s">
        <v>29</v>
      </c>
    </row>
    <row r="1478" spans="1:12" x14ac:dyDescent="0.25">
      <c r="A1478">
        <v>1477</v>
      </c>
      <c r="B1478">
        <v>25</v>
      </c>
      <c r="C1478" t="s">
        <v>26</v>
      </c>
      <c r="D1478" s="1">
        <v>45328</v>
      </c>
      <c r="E1478" s="1">
        <v>45330</v>
      </c>
      <c r="F1478" t="s">
        <v>31</v>
      </c>
      <c r="G1478" t="s">
        <v>19</v>
      </c>
      <c r="H1478">
        <v>2</v>
      </c>
      <c r="I1478" t="s">
        <v>15</v>
      </c>
      <c r="J1478">
        <v>2</v>
      </c>
      <c r="K1478" t="s">
        <v>16</v>
      </c>
      <c r="L1478" t="s">
        <v>29</v>
      </c>
    </row>
    <row r="1479" spans="1:12" x14ac:dyDescent="0.25">
      <c r="A1479">
        <v>1478</v>
      </c>
      <c r="B1479">
        <v>48</v>
      </c>
      <c r="C1479" t="s">
        <v>26</v>
      </c>
      <c r="D1479" s="1">
        <v>45351</v>
      </c>
      <c r="E1479" s="1">
        <v>45357</v>
      </c>
      <c r="F1479" t="s">
        <v>28</v>
      </c>
      <c r="G1479" t="s">
        <v>14</v>
      </c>
      <c r="H1479">
        <v>6</v>
      </c>
      <c r="I1479" t="s">
        <v>15</v>
      </c>
      <c r="J1479">
        <v>1</v>
      </c>
      <c r="K1479" t="s">
        <v>16</v>
      </c>
      <c r="L1479" t="s">
        <v>30</v>
      </c>
    </row>
    <row r="1480" spans="1:12" x14ac:dyDescent="0.25">
      <c r="A1480">
        <v>1479</v>
      </c>
      <c r="B1480">
        <v>42</v>
      </c>
      <c r="C1480" t="s">
        <v>12</v>
      </c>
      <c r="D1480" s="1">
        <v>45298</v>
      </c>
      <c r="E1480" s="1">
        <v>45312</v>
      </c>
      <c r="F1480" t="s">
        <v>13</v>
      </c>
      <c r="G1480" t="s">
        <v>14</v>
      </c>
      <c r="H1480">
        <v>14</v>
      </c>
      <c r="I1480" t="s">
        <v>15</v>
      </c>
      <c r="J1480">
        <v>3</v>
      </c>
      <c r="K1480" t="s">
        <v>21</v>
      </c>
      <c r="L1480" t="s">
        <v>25</v>
      </c>
    </row>
    <row r="1481" spans="1:12" x14ac:dyDescent="0.25">
      <c r="A1481">
        <v>1480</v>
      </c>
      <c r="B1481">
        <v>46</v>
      </c>
      <c r="C1481" t="s">
        <v>12</v>
      </c>
      <c r="D1481" s="1">
        <v>45620</v>
      </c>
      <c r="E1481" s="1">
        <v>45634</v>
      </c>
      <c r="F1481" t="s">
        <v>13</v>
      </c>
      <c r="G1481" t="s">
        <v>23</v>
      </c>
      <c r="H1481">
        <v>14</v>
      </c>
      <c r="I1481" t="s">
        <v>20</v>
      </c>
      <c r="J1481">
        <v>1</v>
      </c>
      <c r="K1481" t="s">
        <v>16</v>
      </c>
      <c r="L1481" t="s">
        <v>25</v>
      </c>
    </row>
    <row r="1482" spans="1:12" x14ac:dyDescent="0.25">
      <c r="A1482">
        <v>1481</v>
      </c>
      <c r="B1482">
        <v>67</v>
      </c>
      <c r="C1482" t="s">
        <v>12</v>
      </c>
      <c r="D1482" s="1">
        <v>45343</v>
      </c>
      <c r="E1482" s="1">
        <v>45352</v>
      </c>
      <c r="F1482" t="s">
        <v>27</v>
      </c>
      <c r="G1482" t="s">
        <v>19</v>
      </c>
      <c r="H1482">
        <v>9</v>
      </c>
      <c r="I1482" t="s">
        <v>20</v>
      </c>
      <c r="J1482">
        <v>1</v>
      </c>
      <c r="K1482" t="s">
        <v>21</v>
      </c>
      <c r="L1482" t="s">
        <v>30</v>
      </c>
    </row>
    <row r="1483" spans="1:12" x14ac:dyDescent="0.25">
      <c r="A1483">
        <v>1482</v>
      </c>
      <c r="B1483">
        <v>27</v>
      </c>
      <c r="C1483" t="s">
        <v>12</v>
      </c>
      <c r="D1483" s="1">
        <v>45529</v>
      </c>
      <c r="E1483" s="1">
        <v>45540</v>
      </c>
      <c r="F1483" t="s">
        <v>27</v>
      </c>
      <c r="G1483" t="s">
        <v>19</v>
      </c>
      <c r="H1483">
        <v>11</v>
      </c>
      <c r="I1483" t="s">
        <v>15</v>
      </c>
      <c r="J1483">
        <v>0</v>
      </c>
      <c r="K1483" t="s">
        <v>16</v>
      </c>
      <c r="L1483" t="s">
        <v>22</v>
      </c>
    </row>
    <row r="1484" spans="1:12" x14ac:dyDescent="0.25">
      <c r="A1484">
        <v>1483</v>
      </c>
      <c r="B1484">
        <v>35</v>
      </c>
      <c r="C1484" t="s">
        <v>26</v>
      </c>
      <c r="D1484" s="1">
        <v>45447</v>
      </c>
      <c r="E1484" s="1">
        <v>45452</v>
      </c>
      <c r="F1484" t="s">
        <v>27</v>
      </c>
      <c r="G1484" t="s">
        <v>19</v>
      </c>
      <c r="H1484">
        <v>5</v>
      </c>
      <c r="I1484" t="s">
        <v>15</v>
      </c>
      <c r="J1484">
        <v>1</v>
      </c>
      <c r="K1484" t="s">
        <v>24</v>
      </c>
      <c r="L1484" t="s">
        <v>25</v>
      </c>
    </row>
    <row r="1485" spans="1:12" x14ac:dyDescent="0.25">
      <c r="A1485">
        <v>1484</v>
      </c>
      <c r="B1485">
        <v>72</v>
      </c>
      <c r="C1485" t="s">
        <v>12</v>
      </c>
      <c r="D1485" s="1">
        <v>45539</v>
      </c>
      <c r="E1485" s="1">
        <v>45542</v>
      </c>
      <c r="F1485" t="s">
        <v>31</v>
      </c>
      <c r="G1485" t="s">
        <v>14</v>
      </c>
      <c r="H1485">
        <v>3</v>
      </c>
      <c r="I1485" t="s">
        <v>15</v>
      </c>
      <c r="J1485">
        <v>4</v>
      </c>
      <c r="K1485" t="s">
        <v>21</v>
      </c>
      <c r="L1485" t="s">
        <v>25</v>
      </c>
    </row>
    <row r="1486" spans="1:12" x14ac:dyDescent="0.25">
      <c r="A1486">
        <v>1485</v>
      </c>
      <c r="B1486">
        <v>76</v>
      </c>
      <c r="C1486" t="s">
        <v>26</v>
      </c>
      <c r="D1486" s="1">
        <v>45313</v>
      </c>
      <c r="E1486" s="1">
        <v>45315</v>
      </c>
      <c r="F1486" t="s">
        <v>31</v>
      </c>
      <c r="G1486" t="s">
        <v>23</v>
      </c>
      <c r="H1486">
        <v>2</v>
      </c>
      <c r="I1486" t="s">
        <v>15</v>
      </c>
      <c r="J1486">
        <v>4</v>
      </c>
      <c r="K1486" t="s">
        <v>21</v>
      </c>
      <c r="L1486" t="s">
        <v>22</v>
      </c>
    </row>
    <row r="1487" spans="1:12" x14ac:dyDescent="0.25">
      <c r="A1487">
        <v>1486</v>
      </c>
      <c r="B1487">
        <v>56</v>
      </c>
      <c r="C1487" t="s">
        <v>26</v>
      </c>
      <c r="D1487" s="1">
        <v>45422</v>
      </c>
      <c r="E1487" s="1">
        <v>45428</v>
      </c>
      <c r="F1487" t="s">
        <v>27</v>
      </c>
      <c r="G1487" t="s">
        <v>19</v>
      </c>
      <c r="H1487">
        <v>6</v>
      </c>
      <c r="I1487" t="s">
        <v>15</v>
      </c>
      <c r="J1487">
        <v>3</v>
      </c>
      <c r="K1487" t="s">
        <v>24</v>
      </c>
      <c r="L1487" t="s">
        <v>17</v>
      </c>
    </row>
    <row r="1488" spans="1:12" x14ac:dyDescent="0.25">
      <c r="A1488">
        <v>1487</v>
      </c>
      <c r="B1488">
        <v>60</v>
      </c>
      <c r="C1488" t="s">
        <v>26</v>
      </c>
      <c r="D1488" s="1">
        <v>45531</v>
      </c>
      <c r="E1488" s="1">
        <v>45536</v>
      </c>
      <c r="F1488" t="s">
        <v>18</v>
      </c>
      <c r="G1488" t="s">
        <v>14</v>
      </c>
      <c r="H1488">
        <v>5</v>
      </c>
      <c r="I1488" t="s">
        <v>15</v>
      </c>
      <c r="J1488">
        <v>0</v>
      </c>
      <c r="K1488" t="s">
        <v>16</v>
      </c>
      <c r="L1488" t="s">
        <v>17</v>
      </c>
    </row>
    <row r="1489" spans="1:12" x14ac:dyDescent="0.25">
      <c r="A1489">
        <v>1488</v>
      </c>
      <c r="B1489">
        <v>24</v>
      </c>
      <c r="C1489" t="s">
        <v>26</v>
      </c>
      <c r="D1489" s="1">
        <v>45532</v>
      </c>
      <c r="E1489" s="1">
        <v>45535</v>
      </c>
      <c r="F1489" t="s">
        <v>13</v>
      </c>
      <c r="G1489" t="s">
        <v>19</v>
      </c>
      <c r="H1489">
        <v>3</v>
      </c>
      <c r="I1489" t="s">
        <v>15</v>
      </c>
      <c r="J1489">
        <v>0</v>
      </c>
      <c r="K1489" t="s">
        <v>21</v>
      </c>
      <c r="L1489" t="s">
        <v>25</v>
      </c>
    </row>
    <row r="1490" spans="1:12" x14ac:dyDescent="0.25">
      <c r="A1490">
        <v>1489</v>
      </c>
      <c r="B1490">
        <v>59</v>
      </c>
      <c r="C1490" t="s">
        <v>12</v>
      </c>
      <c r="D1490" s="1">
        <v>45480</v>
      </c>
      <c r="E1490" s="1">
        <v>45492</v>
      </c>
      <c r="F1490" t="s">
        <v>27</v>
      </c>
      <c r="G1490" t="s">
        <v>23</v>
      </c>
      <c r="H1490">
        <v>12</v>
      </c>
      <c r="I1490" t="s">
        <v>15</v>
      </c>
      <c r="J1490">
        <v>0</v>
      </c>
      <c r="K1490" t="s">
        <v>16</v>
      </c>
      <c r="L1490" t="s">
        <v>17</v>
      </c>
    </row>
    <row r="1491" spans="1:12" x14ac:dyDescent="0.25">
      <c r="A1491">
        <v>1490</v>
      </c>
      <c r="B1491">
        <v>24</v>
      </c>
      <c r="C1491" t="s">
        <v>26</v>
      </c>
      <c r="D1491" s="1">
        <v>45605</v>
      </c>
      <c r="E1491" s="1">
        <v>45617</v>
      </c>
      <c r="F1491" t="s">
        <v>18</v>
      </c>
      <c r="G1491" t="s">
        <v>14</v>
      </c>
      <c r="H1491">
        <v>12</v>
      </c>
      <c r="I1491" t="s">
        <v>20</v>
      </c>
      <c r="J1491">
        <v>3</v>
      </c>
      <c r="K1491" t="s">
        <v>16</v>
      </c>
      <c r="L1491" t="s">
        <v>17</v>
      </c>
    </row>
    <row r="1492" spans="1:12" x14ac:dyDescent="0.25">
      <c r="A1492">
        <v>1491</v>
      </c>
      <c r="B1492">
        <v>62</v>
      </c>
      <c r="C1492" t="s">
        <v>26</v>
      </c>
      <c r="D1492" s="1">
        <v>45361</v>
      </c>
      <c r="E1492" s="1">
        <v>45373</v>
      </c>
      <c r="F1492" t="s">
        <v>28</v>
      </c>
      <c r="G1492" t="s">
        <v>14</v>
      </c>
      <c r="H1492">
        <v>12</v>
      </c>
      <c r="I1492" t="s">
        <v>15</v>
      </c>
      <c r="J1492">
        <v>4</v>
      </c>
      <c r="K1492" t="s">
        <v>24</v>
      </c>
      <c r="L1492" t="s">
        <v>25</v>
      </c>
    </row>
    <row r="1493" spans="1:12" x14ac:dyDescent="0.25">
      <c r="A1493">
        <v>1492</v>
      </c>
      <c r="B1493">
        <v>48</v>
      </c>
      <c r="C1493" t="s">
        <v>26</v>
      </c>
      <c r="D1493" s="1">
        <v>45603</v>
      </c>
      <c r="E1493" s="1">
        <v>45611</v>
      </c>
      <c r="F1493" t="s">
        <v>27</v>
      </c>
      <c r="G1493" t="s">
        <v>19</v>
      </c>
      <c r="H1493">
        <v>8</v>
      </c>
      <c r="I1493" t="s">
        <v>20</v>
      </c>
      <c r="J1493">
        <v>0</v>
      </c>
      <c r="K1493" t="s">
        <v>21</v>
      </c>
      <c r="L1493" t="s">
        <v>30</v>
      </c>
    </row>
    <row r="1494" spans="1:12" x14ac:dyDescent="0.25">
      <c r="A1494">
        <v>1493</v>
      </c>
      <c r="B1494">
        <v>27</v>
      </c>
      <c r="C1494" t="s">
        <v>12</v>
      </c>
      <c r="D1494" s="1">
        <v>45402</v>
      </c>
      <c r="E1494" s="1">
        <v>45412</v>
      </c>
      <c r="F1494" t="s">
        <v>13</v>
      </c>
      <c r="G1494" t="s">
        <v>14</v>
      </c>
      <c r="H1494">
        <v>10</v>
      </c>
      <c r="I1494" t="s">
        <v>15</v>
      </c>
      <c r="J1494">
        <v>3</v>
      </c>
      <c r="K1494" t="s">
        <v>24</v>
      </c>
      <c r="L1494" t="s">
        <v>25</v>
      </c>
    </row>
    <row r="1495" spans="1:12" x14ac:dyDescent="0.25">
      <c r="A1495">
        <v>1494</v>
      </c>
      <c r="B1495">
        <v>39</v>
      </c>
      <c r="C1495" t="s">
        <v>12</v>
      </c>
      <c r="D1495" s="1">
        <v>45352</v>
      </c>
      <c r="E1495" s="1">
        <v>45355</v>
      </c>
      <c r="F1495" t="s">
        <v>27</v>
      </c>
      <c r="G1495" t="s">
        <v>14</v>
      </c>
      <c r="H1495">
        <v>3</v>
      </c>
      <c r="I1495" t="s">
        <v>15</v>
      </c>
      <c r="J1495">
        <v>0</v>
      </c>
      <c r="K1495" t="s">
        <v>16</v>
      </c>
      <c r="L1495" t="s">
        <v>29</v>
      </c>
    </row>
    <row r="1496" spans="1:12" x14ac:dyDescent="0.25">
      <c r="A1496">
        <v>1495</v>
      </c>
      <c r="B1496">
        <v>33</v>
      </c>
      <c r="C1496" t="s">
        <v>26</v>
      </c>
      <c r="D1496" s="1">
        <v>45363</v>
      </c>
      <c r="E1496" s="1">
        <v>45371</v>
      </c>
      <c r="F1496" t="s">
        <v>13</v>
      </c>
      <c r="G1496" t="s">
        <v>23</v>
      </c>
      <c r="H1496">
        <v>8</v>
      </c>
      <c r="I1496" t="s">
        <v>15</v>
      </c>
      <c r="J1496">
        <v>0</v>
      </c>
      <c r="K1496" t="s">
        <v>16</v>
      </c>
      <c r="L1496" t="s">
        <v>29</v>
      </c>
    </row>
    <row r="1497" spans="1:12" x14ac:dyDescent="0.25">
      <c r="A1497">
        <v>1496</v>
      </c>
      <c r="B1497">
        <v>65</v>
      </c>
      <c r="C1497" t="s">
        <v>26</v>
      </c>
      <c r="D1497" s="1">
        <v>45485</v>
      </c>
      <c r="E1497" s="1">
        <v>45498</v>
      </c>
      <c r="F1497" t="s">
        <v>31</v>
      </c>
      <c r="G1497" t="s">
        <v>14</v>
      </c>
      <c r="H1497">
        <v>13</v>
      </c>
      <c r="I1497" t="s">
        <v>15</v>
      </c>
      <c r="J1497">
        <v>1</v>
      </c>
      <c r="K1497" t="s">
        <v>24</v>
      </c>
      <c r="L1497" t="s">
        <v>22</v>
      </c>
    </row>
    <row r="1498" spans="1:12" x14ac:dyDescent="0.25">
      <c r="A1498">
        <v>1497</v>
      </c>
      <c r="B1498">
        <v>41</v>
      </c>
      <c r="C1498" t="s">
        <v>12</v>
      </c>
      <c r="D1498" s="1">
        <v>45559</v>
      </c>
      <c r="E1498" s="1">
        <v>45572</v>
      </c>
      <c r="F1498" t="s">
        <v>18</v>
      </c>
      <c r="G1498" t="s">
        <v>19</v>
      </c>
      <c r="H1498">
        <v>13</v>
      </c>
      <c r="I1498" t="s">
        <v>15</v>
      </c>
      <c r="J1498">
        <v>4</v>
      </c>
      <c r="K1498" t="s">
        <v>24</v>
      </c>
      <c r="L1498" t="s">
        <v>30</v>
      </c>
    </row>
    <row r="1499" spans="1:12" x14ac:dyDescent="0.25">
      <c r="A1499">
        <v>1498</v>
      </c>
      <c r="B1499">
        <v>55</v>
      </c>
      <c r="C1499" t="s">
        <v>12</v>
      </c>
      <c r="D1499" s="1">
        <v>45404</v>
      </c>
      <c r="E1499" s="1">
        <v>45419</v>
      </c>
      <c r="F1499" t="s">
        <v>28</v>
      </c>
      <c r="G1499" t="s">
        <v>14</v>
      </c>
      <c r="H1499">
        <v>15</v>
      </c>
      <c r="I1499" t="s">
        <v>15</v>
      </c>
      <c r="J1499">
        <v>0</v>
      </c>
      <c r="K1499" t="s">
        <v>24</v>
      </c>
      <c r="L1499" t="s">
        <v>25</v>
      </c>
    </row>
    <row r="1500" spans="1:12" x14ac:dyDescent="0.25">
      <c r="A1500">
        <v>1499</v>
      </c>
      <c r="B1500">
        <v>46</v>
      </c>
      <c r="C1500" t="s">
        <v>12</v>
      </c>
      <c r="D1500" s="1">
        <v>45574</v>
      </c>
      <c r="E1500" s="1">
        <v>45575</v>
      </c>
      <c r="F1500" t="s">
        <v>31</v>
      </c>
      <c r="G1500" t="s">
        <v>19</v>
      </c>
      <c r="H1500">
        <v>1</v>
      </c>
      <c r="I1500" t="s">
        <v>20</v>
      </c>
      <c r="J1500">
        <v>4</v>
      </c>
      <c r="K1500" t="s">
        <v>21</v>
      </c>
      <c r="L1500" t="s">
        <v>25</v>
      </c>
    </row>
    <row r="1501" spans="1:12" x14ac:dyDescent="0.25">
      <c r="A1501">
        <v>1500</v>
      </c>
      <c r="B1501">
        <v>46</v>
      </c>
      <c r="C1501" t="s">
        <v>12</v>
      </c>
      <c r="D1501" s="1">
        <v>45540</v>
      </c>
      <c r="E1501" s="1">
        <v>45543</v>
      </c>
      <c r="F1501" t="s">
        <v>18</v>
      </c>
      <c r="G1501" t="s">
        <v>14</v>
      </c>
      <c r="H1501">
        <v>3</v>
      </c>
      <c r="I1501" t="s">
        <v>20</v>
      </c>
      <c r="J1501">
        <v>0</v>
      </c>
      <c r="K1501" t="s">
        <v>24</v>
      </c>
      <c r="L1501" t="s">
        <v>17</v>
      </c>
    </row>
    <row r="1502" spans="1:12" x14ac:dyDescent="0.25">
      <c r="A1502">
        <v>1501</v>
      </c>
      <c r="B1502">
        <v>39</v>
      </c>
      <c r="C1502" t="s">
        <v>12</v>
      </c>
      <c r="D1502" s="1">
        <v>45451</v>
      </c>
      <c r="E1502" s="1">
        <v>45456</v>
      </c>
      <c r="F1502" t="s">
        <v>18</v>
      </c>
      <c r="G1502" t="s">
        <v>23</v>
      </c>
      <c r="H1502">
        <v>5</v>
      </c>
      <c r="I1502" t="s">
        <v>15</v>
      </c>
      <c r="J1502">
        <v>0</v>
      </c>
      <c r="K1502" t="s">
        <v>21</v>
      </c>
      <c r="L1502" t="s">
        <v>17</v>
      </c>
    </row>
    <row r="1503" spans="1:12" x14ac:dyDescent="0.25">
      <c r="A1503">
        <v>1502</v>
      </c>
      <c r="B1503">
        <v>75</v>
      </c>
      <c r="C1503" t="s">
        <v>12</v>
      </c>
      <c r="D1503" s="1">
        <v>45322</v>
      </c>
      <c r="E1503" s="1">
        <v>45332</v>
      </c>
      <c r="F1503" t="s">
        <v>18</v>
      </c>
      <c r="G1503" t="s">
        <v>19</v>
      </c>
      <c r="H1503">
        <v>10</v>
      </c>
      <c r="I1503" t="s">
        <v>20</v>
      </c>
      <c r="J1503">
        <v>0</v>
      </c>
      <c r="K1503" t="s">
        <v>21</v>
      </c>
      <c r="L1503" t="s">
        <v>30</v>
      </c>
    </row>
    <row r="1504" spans="1:12" x14ac:dyDescent="0.25">
      <c r="A1504">
        <v>1503</v>
      </c>
      <c r="B1504">
        <v>52</v>
      </c>
      <c r="C1504" t="s">
        <v>12</v>
      </c>
      <c r="D1504" s="1">
        <v>45415</v>
      </c>
      <c r="E1504" s="1">
        <v>45422</v>
      </c>
      <c r="F1504" t="s">
        <v>13</v>
      </c>
      <c r="G1504" t="s">
        <v>14</v>
      </c>
      <c r="H1504">
        <v>7</v>
      </c>
      <c r="I1504" t="s">
        <v>15</v>
      </c>
      <c r="J1504">
        <v>2</v>
      </c>
      <c r="K1504" t="s">
        <v>21</v>
      </c>
      <c r="L1504" t="s">
        <v>17</v>
      </c>
    </row>
    <row r="1505" spans="1:12" x14ac:dyDescent="0.25">
      <c r="A1505">
        <v>1504</v>
      </c>
      <c r="B1505">
        <v>34</v>
      </c>
      <c r="C1505" t="s">
        <v>12</v>
      </c>
      <c r="D1505" s="1">
        <v>45476</v>
      </c>
      <c r="E1505" s="1">
        <v>45481</v>
      </c>
      <c r="F1505" t="s">
        <v>31</v>
      </c>
      <c r="G1505" t="s">
        <v>14</v>
      </c>
      <c r="H1505">
        <v>5</v>
      </c>
      <c r="I1505" t="s">
        <v>15</v>
      </c>
      <c r="J1505">
        <v>2</v>
      </c>
      <c r="K1505" t="s">
        <v>24</v>
      </c>
      <c r="L1505" t="s">
        <v>22</v>
      </c>
    </row>
    <row r="1506" spans="1:12" x14ac:dyDescent="0.25">
      <c r="A1506">
        <v>1505</v>
      </c>
      <c r="B1506">
        <v>83</v>
      </c>
      <c r="C1506" t="s">
        <v>26</v>
      </c>
      <c r="D1506" s="1">
        <v>45596</v>
      </c>
      <c r="E1506" s="1">
        <v>45600</v>
      </c>
      <c r="F1506" t="s">
        <v>31</v>
      </c>
      <c r="G1506" t="s">
        <v>23</v>
      </c>
      <c r="H1506">
        <v>4</v>
      </c>
      <c r="I1506" t="s">
        <v>15</v>
      </c>
      <c r="J1506">
        <v>2</v>
      </c>
      <c r="K1506" t="s">
        <v>24</v>
      </c>
      <c r="L1506" t="s">
        <v>29</v>
      </c>
    </row>
    <row r="1507" spans="1:12" x14ac:dyDescent="0.25">
      <c r="A1507">
        <v>1506</v>
      </c>
      <c r="B1507">
        <v>36</v>
      </c>
      <c r="C1507" t="s">
        <v>26</v>
      </c>
      <c r="D1507" s="1">
        <v>45604</v>
      </c>
      <c r="E1507" s="1">
        <v>45611</v>
      </c>
      <c r="F1507" t="s">
        <v>31</v>
      </c>
      <c r="G1507" t="s">
        <v>14</v>
      </c>
      <c r="H1507">
        <v>7</v>
      </c>
      <c r="I1507" t="s">
        <v>15</v>
      </c>
      <c r="J1507">
        <v>3</v>
      </c>
      <c r="K1507" t="s">
        <v>24</v>
      </c>
      <c r="L1507" t="s">
        <v>25</v>
      </c>
    </row>
    <row r="1508" spans="1:12" x14ac:dyDescent="0.25">
      <c r="A1508">
        <v>1507</v>
      </c>
      <c r="B1508">
        <v>51</v>
      </c>
      <c r="C1508" t="s">
        <v>12</v>
      </c>
      <c r="D1508" s="1">
        <v>45644</v>
      </c>
      <c r="E1508" s="1">
        <v>45658</v>
      </c>
      <c r="F1508" t="s">
        <v>27</v>
      </c>
      <c r="G1508" t="s">
        <v>19</v>
      </c>
      <c r="H1508">
        <v>14</v>
      </c>
      <c r="I1508" t="s">
        <v>15</v>
      </c>
      <c r="J1508">
        <v>0</v>
      </c>
      <c r="K1508" t="s">
        <v>16</v>
      </c>
      <c r="L1508" t="s">
        <v>25</v>
      </c>
    </row>
    <row r="1509" spans="1:12" x14ac:dyDescent="0.25">
      <c r="A1509">
        <v>1508</v>
      </c>
      <c r="B1509">
        <v>78</v>
      </c>
      <c r="C1509" t="s">
        <v>26</v>
      </c>
      <c r="D1509" s="1">
        <v>45359</v>
      </c>
      <c r="E1509" s="1">
        <v>45374</v>
      </c>
      <c r="F1509" t="s">
        <v>27</v>
      </c>
      <c r="G1509" t="s">
        <v>19</v>
      </c>
      <c r="H1509">
        <v>15</v>
      </c>
      <c r="I1509" t="s">
        <v>15</v>
      </c>
      <c r="J1509">
        <v>4</v>
      </c>
      <c r="K1509" t="s">
        <v>16</v>
      </c>
      <c r="L1509" t="s">
        <v>22</v>
      </c>
    </row>
    <row r="1510" spans="1:12" x14ac:dyDescent="0.25">
      <c r="A1510">
        <v>1509</v>
      </c>
      <c r="B1510">
        <v>25</v>
      </c>
      <c r="C1510" t="s">
        <v>26</v>
      </c>
      <c r="D1510" s="1">
        <v>45340</v>
      </c>
      <c r="E1510" s="1">
        <v>45353</v>
      </c>
      <c r="F1510" t="s">
        <v>28</v>
      </c>
      <c r="G1510" t="s">
        <v>23</v>
      </c>
      <c r="H1510">
        <v>13</v>
      </c>
      <c r="I1510" t="s">
        <v>20</v>
      </c>
      <c r="J1510">
        <v>1</v>
      </c>
      <c r="K1510" t="s">
        <v>21</v>
      </c>
      <c r="L1510" t="s">
        <v>30</v>
      </c>
    </row>
    <row r="1511" spans="1:12" x14ac:dyDescent="0.25">
      <c r="A1511">
        <v>1510</v>
      </c>
      <c r="B1511">
        <v>68</v>
      </c>
      <c r="C1511" t="s">
        <v>26</v>
      </c>
      <c r="D1511" s="1">
        <v>45337</v>
      </c>
      <c r="E1511" s="1">
        <v>45342</v>
      </c>
      <c r="F1511" t="s">
        <v>28</v>
      </c>
      <c r="G1511" t="s">
        <v>19</v>
      </c>
      <c r="H1511">
        <v>5</v>
      </c>
      <c r="I1511" t="s">
        <v>15</v>
      </c>
      <c r="J1511">
        <v>4</v>
      </c>
      <c r="K1511" t="s">
        <v>16</v>
      </c>
      <c r="L1511" t="s">
        <v>29</v>
      </c>
    </row>
    <row r="1512" spans="1:12" x14ac:dyDescent="0.25">
      <c r="A1512">
        <v>1511</v>
      </c>
      <c r="B1512">
        <v>66</v>
      </c>
      <c r="C1512" t="s">
        <v>12</v>
      </c>
      <c r="D1512" s="1">
        <v>45572</v>
      </c>
      <c r="E1512" s="1">
        <v>45579</v>
      </c>
      <c r="F1512" t="s">
        <v>27</v>
      </c>
      <c r="G1512" t="s">
        <v>23</v>
      </c>
      <c r="H1512">
        <v>7</v>
      </c>
      <c r="I1512" t="s">
        <v>15</v>
      </c>
      <c r="J1512">
        <v>0</v>
      </c>
      <c r="K1512" t="s">
        <v>16</v>
      </c>
      <c r="L1512" t="s">
        <v>25</v>
      </c>
    </row>
    <row r="1513" spans="1:12" x14ac:dyDescent="0.25">
      <c r="A1513">
        <v>1512</v>
      </c>
      <c r="B1513">
        <v>34</v>
      </c>
      <c r="C1513" t="s">
        <v>26</v>
      </c>
      <c r="D1513" s="1">
        <v>45573</v>
      </c>
      <c r="E1513" s="1">
        <v>45582</v>
      </c>
      <c r="F1513" t="s">
        <v>13</v>
      </c>
      <c r="G1513" t="s">
        <v>14</v>
      </c>
      <c r="H1513">
        <v>9</v>
      </c>
      <c r="I1513" t="s">
        <v>15</v>
      </c>
      <c r="J1513">
        <v>4</v>
      </c>
      <c r="K1513" t="s">
        <v>16</v>
      </c>
      <c r="L1513" t="s">
        <v>30</v>
      </c>
    </row>
    <row r="1514" spans="1:12" x14ac:dyDescent="0.25">
      <c r="A1514">
        <v>1513</v>
      </c>
      <c r="B1514">
        <v>38</v>
      </c>
      <c r="C1514" t="s">
        <v>26</v>
      </c>
      <c r="D1514" s="1">
        <v>45378</v>
      </c>
      <c r="E1514" s="1">
        <v>45392</v>
      </c>
      <c r="F1514" t="s">
        <v>18</v>
      </c>
      <c r="G1514" t="s">
        <v>14</v>
      </c>
      <c r="H1514">
        <v>14</v>
      </c>
      <c r="I1514" t="s">
        <v>15</v>
      </c>
      <c r="J1514">
        <v>4</v>
      </c>
      <c r="K1514" t="s">
        <v>16</v>
      </c>
      <c r="L1514" t="s">
        <v>17</v>
      </c>
    </row>
    <row r="1515" spans="1:12" x14ac:dyDescent="0.25">
      <c r="A1515">
        <v>1514</v>
      </c>
      <c r="B1515">
        <v>44</v>
      </c>
      <c r="C1515" t="s">
        <v>12</v>
      </c>
      <c r="D1515" s="1">
        <v>45334</v>
      </c>
      <c r="E1515" s="1">
        <v>45344</v>
      </c>
      <c r="F1515" t="s">
        <v>27</v>
      </c>
      <c r="G1515" t="s">
        <v>14</v>
      </c>
      <c r="H1515">
        <v>10</v>
      </c>
      <c r="I1515" t="s">
        <v>20</v>
      </c>
      <c r="J1515">
        <v>2</v>
      </c>
      <c r="K1515" t="s">
        <v>21</v>
      </c>
      <c r="L1515" t="s">
        <v>25</v>
      </c>
    </row>
    <row r="1516" spans="1:12" x14ac:dyDescent="0.25">
      <c r="A1516">
        <v>1515</v>
      </c>
      <c r="B1516">
        <v>34</v>
      </c>
      <c r="C1516" t="s">
        <v>12</v>
      </c>
      <c r="D1516" s="1">
        <v>45641</v>
      </c>
      <c r="E1516" s="1">
        <v>45647</v>
      </c>
      <c r="F1516" t="s">
        <v>27</v>
      </c>
      <c r="G1516" t="s">
        <v>14</v>
      </c>
      <c r="H1516">
        <v>6</v>
      </c>
      <c r="I1516" t="s">
        <v>15</v>
      </c>
      <c r="J1516">
        <v>3</v>
      </c>
      <c r="K1516" t="s">
        <v>24</v>
      </c>
      <c r="L1516" t="s">
        <v>17</v>
      </c>
    </row>
    <row r="1517" spans="1:12" x14ac:dyDescent="0.25">
      <c r="A1517">
        <v>1516</v>
      </c>
      <c r="B1517">
        <v>60</v>
      </c>
      <c r="C1517" t="s">
        <v>26</v>
      </c>
      <c r="D1517" s="1">
        <v>45634</v>
      </c>
      <c r="E1517" s="1">
        <v>45636</v>
      </c>
      <c r="F1517" t="s">
        <v>18</v>
      </c>
      <c r="G1517" t="s">
        <v>19</v>
      </c>
      <c r="H1517">
        <v>2</v>
      </c>
      <c r="I1517" t="s">
        <v>15</v>
      </c>
      <c r="J1517">
        <v>0</v>
      </c>
      <c r="K1517" t="s">
        <v>21</v>
      </c>
      <c r="L1517" t="s">
        <v>22</v>
      </c>
    </row>
    <row r="1518" spans="1:12" x14ac:dyDescent="0.25">
      <c r="A1518">
        <v>1517</v>
      </c>
      <c r="B1518">
        <v>70</v>
      </c>
      <c r="C1518" t="s">
        <v>12</v>
      </c>
      <c r="D1518" s="1">
        <v>45474</v>
      </c>
      <c r="E1518" s="1">
        <v>45489</v>
      </c>
      <c r="F1518" t="s">
        <v>18</v>
      </c>
      <c r="G1518" t="s">
        <v>14</v>
      </c>
      <c r="H1518">
        <v>15</v>
      </c>
      <c r="I1518" t="s">
        <v>15</v>
      </c>
      <c r="J1518">
        <v>1</v>
      </c>
      <c r="K1518" t="s">
        <v>16</v>
      </c>
      <c r="L1518" t="s">
        <v>17</v>
      </c>
    </row>
    <row r="1519" spans="1:12" x14ac:dyDescent="0.25">
      <c r="A1519">
        <v>1518</v>
      </c>
      <c r="B1519">
        <v>81</v>
      </c>
      <c r="C1519" t="s">
        <v>26</v>
      </c>
      <c r="D1519" s="1">
        <v>45486</v>
      </c>
      <c r="E1519" s="1">
        <v>45489</v>
      </c>
      <c r="F1519" t="s">
        <v>18</v>
      </c>
      <c r="G1519" t="s">
        <v>14</v>
      </c>
      <c r="H1519">
        <v>3</v>
      </c>
      <c r="I1519" t="s">
        <v>15</v>
      </c>
      <c r="J1519">
        <v>4</v>
      </c>
      <c r="K1519" t="s">
        <v>21</v>
      </c>
      <c r="L1519" t="s">
        <v>25</v>
      </c>
    </row>
    <row r="1520" spans="1:12" x14ac:dyDescent="0.25">
      <c r="A1520">
        <v>1519</v>
      </c>
      <c r="B1520">
        <v>51</v>
      </c>
      <c r="C1520" t="s">
        <v>26</v>
      </c>
      <c r="D1520" s="1">
        <v>45556</v>
      </c>
      <c r="E1520" s="1">
        <v>45566</v>
      </c>
      <c r="F1520" t="s">
        <v>13</v>
      </c>
      <c r="G1520" t="s">
        <v>14</v>
      </c>
      <c r="H1520">
        <v>10</v>
      </c>
      <c r="I1520" t="s">
        <v>15</v>
      </c>
      <c r="J1520">
        <v>4</v>
      </c>
      <c r="K1520" t="s">
        <v>16</v>
      </c>
      <c r="L1520" t="s">
        <v>29</v>
      </c>
    </row>
    <row r="1521" spans="1:12" x14ac:dyDescent="0.25">
      <c r="A1521">
        <v>1520</v>
      </c>
      <c r="B1521">
        <v>79</v>
      </c>
      <c r="C1521" t="s">
        <v>12</v>
      </c>
      <c r="D1521" s="1">
        <v>45424</v>
      </c>
      <c r="E1521" s="1">
        <v>45436</v>
      </c>
      <c r="F1521" t="s">
        <v>18</v>
      </c>
      <c r="G1521" t="s">
        <v>23</v>
      </c>
      <c r="H1521">
        <v>12</v>
      </c>
      <c r="I1521" t="s">
        <v>15</v>
      </c>
      <c r="J1521">
        <v>0</v>
      </c>
      <c r="K1521" t="s">
        <v>24</v>
      </c>
      <c r="L1521" t="s">
        <v>30</v>
      </c>
    </row>
    <row r="1522" spans="1:12" x14ac:dyDescent="0.25">
      <c r="A1522">
        <v>1521</v>
      </c>
      <c r="B1522">
        <v>57</v>
      </c>
      <c r="C1522" t="s">
        <v>26</v>
      </c>
      <c r="D1522" s="1">
        <v>45589</v>
      </c>
      <c r="E1522" s="1">
        <v>45592</v>
      </c>
      <c r="F1522" t="s">
        <v>31</v>
      </c>
      <c r="G1522" t="s">
        <v>19</v>
      </c>
      <c r="H1522">
        <v>3</v>
      </c>
      <c r="I1522" t="s">
        <v>15</v>
      </c>
      <c r="J1522">
        <v>4</v>
      </c>
      <c r="K1522" t="s">
        <v>24</v>
      </c>
      <c r="L1522" t="s">
        <v>22</v>
      </c>
    </row>
    <row r="1523" spans="1:12" x14ac:dyDescent="0.25">
      <c r="A1523">
        <v>1522</v>
      </c>
      <c r="B1523">
        <v>65</v>
      </c>
      <c r="C1523" t="s">
        <v>12</v>
      </c>
      <c r="D1523" s="1">
        <v>45461</v>
      </c>
      <c r="E1523" s="1">
        <v>45472</v>
      </c>
      <c r="F1523" t="s">
        <v>13</v>
      </c>
      <c r="G1523" t="s">
        <v>14</v>
      </c>
      <c r="H1523">
        <v>11</v>
      </c>
      <c r="I1523" t="s">
        <v>15</v>
      </c>
      <c r="J1523">
        <v>0</v>
      </c>
      <c r="K1523" t="s">
        <v>24</v>
      </c>
      <c r="L1523" t="s">
        <v>22</v>
      </c>
    </row>
    <row r="1524" spans="1:12" x14ac:dyDescent="0.25">
      <c r="A1524">
        <v>1523</v>
      </c>
      <c r="B1524">
        <v>78</v>
      </c>
      <c r="C1524" t="s">
        <v>26</v>
      </c>
      <c r="D1524" s="1">
        <v>45472</v>
      </c>
      <c r="E1524" s="1">
        <v>45487</v>
      </c>
      <c r="F1524" t="s">
        <v>13</v>
      </c>
      <c r="G1524" t="s">
        <v>19</v>
      </c>
      <c r="H1524">
        <v>15</v>
      </c>
      <c r="I1524" t="s">
        <v>15</v>
      </c>
      <c r="J1524">
        <v>3</v>
      </c>
      <c r="K1524" t="s">
        <v>21</v>
      </c>
      <c r="L1524" t="s">
        <v>25</v>
      </c>
    </row>
    <row r="1525" spans="1:12" x14ac:dyDescent="0.25">
      <c r="A1525">
        <v>1524</v>
      </c>
      <c r="B1525">
        <v>65</v>
      </c>
      <c r="C1525" t="s">
        <v>26</v>
      </c>
      <c r="D1525" s="1">
        <v>45430</v>
      </c>
      <c r="E1525" s="1">
        <v>45441</v>
      </c>
      <c r="F1525" t="s">
        <v>18</v>
      </c>
      <c r="G1525" t="s">
        <v>14</v>
      </c>
      <c r="H1525">
        <v>11</v>
      </c>
      <c r="I1525" t="s">
        <v>15</v>
      </c>
      <c r="J1525">
        <v>2</v>
      </c>
      <c r="K1525" t="s">
        <v>16</v>
      </c>
      <c r="L1525" t="s">
        <v>25</v>
      </c>
    </row>
    <row r="1526" spans="1:12" x14ac:dyDescent="0.25">
      <c r="A1526">
        <v>1525</v>
      </c>
      <c r="B1526">
        <v>29</v>
      </c>
      <c r="C1526" t="s">
        <v>26</v>
      </c>
      <c r="D1526" s="1">
        <v>45654</v>
      </c>
      <c r="E1526" s="1">
        <v>45657</v>
      </c>
      <c r="F1526" t="s">
        <v>31</v>
      </c>
      <c r="G1526" t="s">
        <v>23</v>
      </c>
      <c r="H1526">
        <v>3</v>
      </c>
      <c r="I1526" t="s">
        <v>15</v>
      </c>
      <c r="J1526">
        <v>1</v>
      </c>
      <c r="K1526" t="s">
        <v>21</v>
      </c>
      <c r="L1526" t="s">
        <v>22</v>
      </c>
    </row>
    <row r="1527" spans="1:12" x14ac:dyDescent="0.25">
      <c r="A1527">
        <v>1526</v>
      </c>
      <c r="B1527">
        <v>61</v>
      </c>
      <c r="C1527" t="s">
        <v>26</v>
      </c>
      <c r="D1527" s="1">
        <v>45606</v>
      </c>
      <c r="E1527" s="1">
        <v>45620</v>
      </c>
      <c r="F1527" t="s">
        <v>18</v>
      </c>
      <c r="G1527" t="s">
        <v>19</v>
      </c>
      <c r="H1527">
        <v>14</v>
      </c>
      <c r="I1527" t="s">
        <v>15</v>
      </c>
      <c r="J1527">
        <v>1</v>
      </c>
      <c r="K1527" t="s">
        <v>24</v>
      </c>
      <c r="L1527" t="s">
        <v>17</v>
      </c>
    </row>
    <row r="1528" spans="1:12" x14ac:dyDescent="0.25">
      <c r="A1528">
        <v>1527</v>
      </c>
      <c r="B1528">
        <v>64</v>
      </c>
      <c r="C1528" t="s">
        <v>12</v>
      </c>
      <c r="D1528" s="1">
        <v>45528</v>
      </c>
      <c r="E1528" s="1">
        <v>45543</v>
      </c>
      <c r="F1528" t="s">
        <v>18</v>
      </c>
      <c r="G1528" t="s">
        <v>23</v>
      </c>
      <c r="H1528">
        <v>15</v>
      </c>
      <c r="I1528" t="s">
        <v>15</v>
      </c>
      <c r="J1528">
        <v>3</v>
      </c>
      <c r="K1528" t="s">
        <v>16</v>
      </c>
      <c r="L1528" t="s">
        <v>29</v>
      </c>
    </row>
    <row r="1529" spans="1:12" x14ac:dyDescent="0.25">
      <c r="A1529">
        <v>1528</v>
      </c>
      <c r="B1529">
        <v>60</v>
      </c>
      <c r="C1529" t="s">
        <v>26</v>
      </c>
      <c r="D1529" s="1">
        <v>45347</v>
      </c>
      <c r="E1529" s="1">
        <v>45356</v>
      </c>
      <c r="F1529" t="s">
        <v>18</v>
      </c>
      <c r="G1529" t="s">
        <v>14</v>
      </c>
      <c r="H1529">
        <v>9</v>
      </c>
      <c r="I1529" t="s">
        <v>15</v>
      </c>
      <c r="J1529">
        <v>3</v>
      </c>
      <c r="K1529" t="s">
        <v>16</v>
      </c>
      <c r="L1529" t="s">
        <v>30</v>
      </c>
    </row>
    <row r="1530" spans="1:12" x14ac:dyDescent="0.25">
      <c r="A1530">
        <v>1529</v>
      </c>
      <c r="B1530">
        <v>38</v>
      </c>
      <c r="C1530" t="s">
        <v>12</v>
      </c>
      <c r="D1530" s="1">
        <v>45574</v>
      </c>
      <c r="E1530" s="1">
        <v>45578</v>
      </c>
      <c r="F1530" t="s">
        <v>31</v>
      </c>
      <c r="G1530" t="s">
        <v>23</v>
      </c>
      <c r="H1530">
        <v>4</v>
      </c>
      <c r="I1530" t="s">
        <v>15</v>
      </c>
      <c r="J1530">
        <v>2</v>
      </c>
      <c r="K1530" t="s">
        <v>16</v>
      </c>
      <c r="L1530" t="s">
        <v>30</v>
      </c>
    </row>
    <row r="1531" spans="1:12" x14ac:dyDescent="0.25">
      <c r="A1531">
        <v>1530</v>
      </c>
      <c r="B1531">
        <v>23</v>
      </c>
      <c r="C1531" t="s">
        <v>26</v>
      </c>
      <c r="D1531" s="1">
        <v>45518</v>
      </c>
      <c r="E1531" s="1">
        <v>45529</v>
      </c>
      <c r="F1531" t="s">
        <v>27</v>
      </c>
      <c r="G1531" t="s">
        <v>23</v>
      </c>
      <c r="H1531">
        <v>11</v>
      </c>
      <c r="I1531" t="s">
        <v>20</v>
      </c>
      <c r="J1531">
        <v>2</v>
      </c>
      <c r="K1531" t="s">
        <v>16</v>
      </c>
      <c r="L1531" t="s">
        <v>29</v>
      </c>
    </row>
    <row r="1532" spans="1:12" x14ac:dyDescent="0.25">
      <c r="A1532">
        <v>1531</v>
      </c>
      <c r="B1532">
        <v>32</v>
      </c>
      <c r="C1532" t="s">
        <v>26</v>
      </c>
      <c r="D1532" s="1">
        <v>45617</v>
      </c>
      <c r="E1532" s="1">
        <v>45631</v>
      </c>
      <c r="F1532" t="s">
        <v>27</v>
      </c>
      <c r="G1532" t="s">
        <v>14</v>
      </c>
      <c r="H1532">
        <v>14</v>
      </c>
      <c r="I1532" t="s">
        <v>15</v>
      </c>
      <c r="J1532">
        <v>2</v>
      </c>
      <c r="K1532" t="s">
        <v>21</v>
      </c>
      <c r="L1532" t="s">
        <v>17</v>
      </c>
    </row>
    <row r="1533" spans="1:12" x14ac:dyDescent="0.25">
      <c r="A1533">
        <v>1532</v>
      </c>
      <c r="B1533">
        <v>86</v>
      </c>
      <c r="C1533" t="s">
        <v>26</v>
      </c>
      <c r="D1533" s="1">
        <v>45355</v>
      </c>
      <c r="E1533" s="1">
        <v>45356</v>
      </c>
      <c r="F1533" t="s">
        <v>31</v>
      </c>
      <c r="G1533" t="s">
        <v>23</v>
      </c>
      <c r="H1533">
        <v>1</v>
      </c>
      <c r="I1533" t="s">
        <v>15</v>
      </c>
      <c r="J1533">
        <v>3</v>
      </c>
      <c r="K1533" t="s">
        <v>21</v>
      </c>
      <c r="L1533" t="s">
        <v>22</v>
      </c>
    </row>
    <row r="1534" spans="1:12" x14ac:dyDescent="0.25">
      <c r="A1534">
        <v>1533</v>
      </c>
      <c r="B1534">
        <v>87</v>
      </c>
      <c r="C1534" t="s">
        <v>12</v>
      </c>
      <c r="D1534" s="1">
        <v>45294</v>
      </c>
      <c r="E1534" s="1">
        <v>45305</v>
      </c>
      <c r="F1534" t="s">
        <v>28</v>
      </c>
      <c r="G1534" t="s">
        <v>14</v>
      </c>
      <c r="H1534">
        <v>11</v>
      </c>
      <c r="I1534" t="s">
        <v>15</v>
      </c>
      <c r="J1534">
        <v>4</v>
      </c>
      <c r="K1534" t="s">
        <v>24</v>
      </c>
      <c r="L1534" t="s">
        <v>29</v>
      </c>
    </row>
    <row r="1535" spans="1:12" x14ac:dyDescent="0.25">
      <c r="A1535">
        <v>1534</v>
      </c>
      <c r="B1535">
        <v>34</v>
      </c>
      <c r="C1535" t="s">
        <v>12</v>
      </c>
      <c r="D1535" s="1">
        <v>45418</v>
      </c>
      <c r="E1535" s="1">
        <v>45430</v>
      </c>
      <c r="F1535" t="s">
        <v>13</v>
      </c>
      <c r="G1535" t="s">
        <v>14</v>
      </c>
      <c r="H1535">
        <v>12</v>
      </c>
      <c r="I1535" t="s">
        <v>15</v>
      </c>
      <c r="J1535">
        <v>2</v>
      </c>
      <c r="K1535" t="s">
        <v>16</v>
      </c>
      <c r="L1535" t="s">
        <v>17</v>
      </c>
    </row>
    <row r="1536" spans="1:12" x14ac:dyDescent="0.25">
      <c r="A1536">
        <v>1535</v>
      </c>
      <c r="B1536">
        <v>68</v>
      </c>
      <c r="C1536" t="s">
        <v>26</v>
      </c>
      <c r="D1536" s="1">
        <v>45444</v>
      </c>
      <c r="E1536" s="1">
        <v>45450</v>
      </c>
      <c r="F1536" t="s">
        <v>13</v>
      </c>
      <c r="G1536" t="s">
        <v>19</v>
      </c>
      <c r="H1536">
        <v>6</v>
      </c>
      <c r="I1536" t="s">
        <v>20</v>
      </c>
      <c r="J1536">
        <v>0</v>
      </c>
      <c r="K1536" t="s">
        <v>16</v>
      </c>
      <c r="L1536" t="s">
        <v>29</v>
      </c>
    </row>
    <row r="1537" spans="1:12" x14ac:dyDescent="0.25">
      <c r="A1537">
        <v>1536</v>
      </c>
      <c r="B1537">
        <v>49</v>
      </c>
      <c r="C1537" t="s">
        <v>26</v>
      </c>
      <c r="D1537" s="1">
        <v>45408</v>
      </c>
      <c r="E1537" s="1">
        <v>45411</v>
      </c>
      <c r="F1537" t="s">
        <v>28</v>
      </c>
      <c r="G1537" t="s">
        <v>19</v>
      </c>
      <c r="H1537">
        <v>3</v>
      </c>
      <c r="I1537" t="s">
        <v>15</v>
      </c>
      <c r="J1537">
        <v>1</v>
      </c>
      <c r="K1537" t="s">
        <v>21</v>
      </c>
      <c r="L1537" t="s">
        <v>17</v>
      </c>
    </row>
    <row r="1538" spans="1:12" x14ac:dyDescent="0.25">
      <c r="A1538">
        <v>1537</v>
      </c>
      <c r="B1538">
        <v>45</v>
      </c>
      <c r="C1538" t="s">
        <v>26</v>
      </c>
      <c r="D1538" s="1">
        <v>45318</v>
      </c>
      <c r="E1538" s="1">
        <v>45319</v>
      </c>
      <c r="F1538" t="s">
        <v>18</v>
      </c>
      <c r="G1538" t="s">
        <v>23</v>
      </c>
      <c r="H1538">
        <v>1</v>
      </c>
      <c r="I1538" t="s">
        <v>15</v>
      </c>
      <c r="J1538">
        <v>0</v>
      </c>
      <c r="K1538" t="s">
        <v>16</v>
      </c>
      <c r="L1538" t="s">
        <v>30</v>
      </c>
    </row>
    <row r="1539" spans="1:12" x14ac:dyDescent="0.25">
      <c r="A1539">
        <v>1538</v>
      </c>
      <c r="B1539">
        <v>66</v>
      </c>
      <c r="C1539" t="s">
        <v>12</v>
      </c>
      <c r="D1539" s="1">
        <v>45434</v>
      </c>
      <c r="E1539" s="1">
        <v>45439</v>
      </c>
      <c r="F1539" t="s">
        <v>18</v>
      </c>
      <c r="G1539" t="s">
        <v>19</v>
      </c>
      <c r="H1539">
        <v>5</v>
      </c>
      <c r="I1539" t="s">
        <v>15</v>
      </c>
      <c r="J1539">
        <v>0</v>
      </c>
      <c r="K1539" t="s">
        <v>16</v>
      </c>
      <c r="L1539" t="s">
        <v>22</v>
      </c>
    </row>
    <row r="1540" spans="1:12" x14ac:dyDescent="0.25">
      <c r="A1540">
        <v>1539</v>
      </c>
      <c r="B1540">
        <v>33</v>
      </c>
      <c r="C1540" t="s">
        <v>26</v>
      </c>
      <c r="D1540" s="1">
        <v>45574</v>
      </c>
      <c r="E1540" s="1">
        <v>45579</v>
      </c>
      <c r="F1540" t="s">
        <v>18</v>
      </c>
      <c r="G1540" t="s">
        <v>19</v>
      </c>
      <c r="H1540">
        <v>5</v>
      </c>
      <c r="I1540" t="s">
        <v>15</v>
      </c>
      <c r="J1540">
        <v>4</v>
      </c>
      <c r="K1540" t="s">
        <v>24</v>
      </c>
      <c r="L1540" t="s">
        <v>29</v>
      </c>
    </row>
    <row r="1541" spans="1:12" x14ac:dyDescent="0.25">
      <c r="A1541">
        <v>1540</v>
      </c>
      <c r="B1541">
        <v>21</v>
      </c>
      <c r="C1541" t="s">
        <v>12</v>
      </c>
      <c r="D1541" s="1">
        <v>45475</v>
      </c>
      <c r="E1541" s="1">
        <v>45484</v>
      </c>
      <c r="F1541" t="s">
        <v>31</v>
      </c>
      <c r="G1541" t="s">
        <v>19</v>
      </c>
      <c r="H1541">
        <v>9</v>
      </c>
      <c r="I1541" t="s">
        <v>20</v>
      </c>
      <c r="J1541">
        <v>2</v>
      </c>
      <c r="K1541" t="s">
        <v>24</v>
      </c>
      <c r="L1541" t="s">
        <v>29</v>
      </c>
    </row>
    <row r="1542" spans="1:12" x14ac:dyDescent="0.25">
      <c r="A1542">
        <v>1541</v>
      </c>
      <c r="B1542">
        <v>86</v>
      </c>
      <c r="C1542" t="s">
        <v>12</v>
      </c>
      <c r="D1542" s="1">
        <v>45331</v>
      </c>
      <c r="E1542" s="1">
        <v>45346</v>
      </c>
      <c r="F1542" t="s">
        <v>28</v>
      </c>
      <c r="G1542" t="s">
        <v>19</v>
      </c>
      <c r="H1542">
        <v>15</v>
      </c>
      <c r="I1542" t="s">
        <v>15</v>
      </c>
      <c r="J1542">
        <v>0</v>
      </c>
      <c r="K1542" t="s">
        <v>21</v>
      </c>
      <c r="L1542" t="s">
        <v>29</v>
      </c>
    </row>
    <row r="1543" spans="1:12" x14ac:dyDescent="0.25">
      <c r="A1543">
        <v>1542</v>
      </c>
      <c r="B1543">
        <v>81</v>
      </c>
      <c r="C1543" t="s">
        <v>12</v>
      </c>
      <c r="D1543" s="1">
        <v>45433</v>
      </c>
      <c r="E1543" s="1">
        <v>45448</v>
      </c>
      <c r="F1543" t="s">
        <v>31</v>
      </c>
      <c r="G1543" t="s">
        <v>19</v>
      </c>
      <c r="H1543">
        <v>15</v>
      </c>
      <c r="I1543" t="s">
        <v>20</v>
      </c>
      <c r="J1543">
        <v>3</v>
      </c>
      <c r="K1543" t="s">
        <v>21</v>
      </c>
      <c r="L1543" t="s">
        <v>17</v>
      </c>
    </row>
    <row r="1544" spans="1:12" x14ac:dyDescent="0.25">
      <c r="A1544">
        <v>1543</v>
      </c>
      <c r="B1544">
        <v>46</v>
      </c>
      <c r="C1544" t="s">
        <v>12</v>
      </c>
      <c r="D1544" s="1">
        <v>45406</v>
      </c>
      <c r="E1544" s="1">
        <v>45420</v>
      </c>
      <c r="F1544" t="s">
        <v>13</v>
      </c>
      <c r="G1544" t="s">
        <v>23</v>
      </c>
      <c r="H1544">
        <v>14</v>
      </c>
      <c r="I1544" t="s">
        <v>15</v>
      </c>
      <c r="J1544">
        <v>1</v>
      </c>
      <c r="K1544" t="s">
        <v>16</v>
      </c>
      <c r="L1544" t="s">
        <v>29</v>
      </c>
    </row>
    <row r="1545" spans="1:12" x14ac:dyDescent="0.25">
      <c r="A1545">
        <v>1544</v>
      </c>
      <c r="B1545">
        <v>50</v>
      </c>
      <c r="C1545" t="s">
        <v>26</v>
      </c>
      <c r="D1545" s="1">
        <v>45442</v>
      </c>
      <c r="E1545" s="1">
        <v>45451</v>
      </c>
      <c r="F1545" t="s">
        <v>31</v>
      </c>
      <c r="G1545" t="s">
        <v>19</v>
      </c>
      <c r="H1545">
        <v>9</v>
      </c>
      <c r="I1545" t="s">
        <v>15</v>
      </c>
      <c r="J1545">
        <v>4</v>
      </c>
      <c r="K1545" t="s">
        <v>24</v>
      </c>
      <c r="L1545" t="s">
        <v>25</v>
      </c>
    </row>
    <row r="1546" spans="1:12" x14ac:dyDescent="0.25">
      <c r="A1546">
        <v>1545</v>
      </c>
      <c r="B1546">
        <v>82</v>
      </c>
      <c r="C1546" t="s">
        <v>26</v>
      </c>
      <c r="D1546" s="1">
        <v>45561</v>
      </c>
      <c r="E1546" s="1">
        <v>45568</v>
      </c>
      <c r="F1546" t="s">
        <v>13</v>
      </c>
      <c r="G1546" t="s">
        <v>14</v>
      </c>
      <c r="H1546">
        <v>7</v>
      </c>
      <c r="I1546" t="s">
        <v>20</v>
      </c>
      <c r="J1546">
        <v>0</v>
      </c>
      <c r="K1546" t="s">
        <v>24</v>
      </c>
      <c r="L1546" t="s">
        <v>25</v>
      </c>
    </row>
    <row r="1547" spans="1:12" x14ac:dyDescent="0.25">
      <c r="A1547">
        <v>1546</v>
      </c>
      <c r="B1547">
        <v>83</v>
      </c>
      <c r="C1547" t="s">
        <v>26</v>
      </c>
      <c r="D1547" s="1">
        <v>45590</v>
      </c>
      <c r="E1547" s="1">
        <v>45595</v>
      </c>
      <c r="F1547" t="s">
        <v>27</v>
      </c>
      <c r="G1547" t="s">
        <v>23</v>
      </c>
      <c r="H1547">
        <v>5</v>
      </c>
      <c r="I1547" t="s">
        <v>15</v>
      </c>
      <c r="J1547">
        <v>2</v>
      </c>
      <c r="K1547" t="s">
        <v>24</v>
      </c>
      <c r="L1547" t="s">
        <v>25</v>
      </c>
    </row>
    <row r="1548" spans="1:12" x14ac:dyDescent="0.25">
      <c r="A1548">
        <v>1547</v>
      </c>
      <c r="B1548">
        <v>66</v>
      </c>
      <c r="C1548" t="s">
        <v>12</v>
      </c>
      <c r="D1548" s="1">
        <v>45418</v>
      </c>
      <c r="E1548" s="1">
        <v>45420</v>
      </c>
      <c r="F1548" t="s">
        <v>27</v>
      </c>
      <c r="G1548" t="s">
        <v>23</v>
      </c>
      <c r="H1548">
        <v>2</v>
      </c>
      <c r="I1548" t="s">
        <v>15</v>
      </c>
      <c r="J1548">
        <v>0</v>
      </c>
      <c r="K1548" t="s">
        <v>21</v>
      </c>
      <c r="L1548" t="s">
        <v>30</v>
      </c>
    </row>
    <row r="1549" spans="1:12" x14ac:dyDescent="0.25">
      <c r="A1549">
        <v>1548</v>
      </c>
      <c r="B1549">
        <v>88</v>
      </c>
      <c r="C1549" t="s">
        <v>12</v>
      </c>
      <c r="D1549" s="1">
        <v>45474</v>
      </c>
      <c r="E1549" s="1">
        <v>45477</v>
      </c>
      <c r="F1549" t="s">
        <v>18</v>
      </c>
      <c r="G1549" t="s">
        <v>23</v>
      </c>
      <c r="H1549">
        <v>3</v>
      </c>
      <c r="I1549" t="s">
        <v>15</v>
      </c>
      <c r="J1549">
        <v>3</v>
      </c>
      <c r="K1549" t="s">
        <v>16</v>
      </c>
      <c r="L1549" t="s">
        <v>22</v>
      </c>
    </row>
    <row r="1550" spans="1:12" x14ac:dyDescent="0.25">
      <c r="A1550">
        <v>1549</v>
      </c>
      <c r="B1550">
        <v>59</v>
      </c>
      <c r="C1550" t="s">
        <v>26</v>
      </c>
      <c r="D1550" s="1">
        <v>45498</v>
      </c>
      <c r="E1550" s="1">
        <v>45508</v>
      </c>
      <c r="F1550" t="s">
        <v>13</v>
      </c>
      <c r="G1550" t="s">
        <v>19</v>
      </c>
      <c r="H1550">
        <v>10</v>
      </c>
      <c r="I1550" t="s">
        <v>15</v>
      </c>
      <c r="J1550">
        <v>1</v>
      </c>
      <c r="K1550" t="s">
        <v>16</v>
      </c>
      <c r="L1550" t="s">
        <v>17</v>
      </c>
    </row>
    <row r="1551" spans="1:12" x14ac:dyDescent="0.25">
      <c r="A1551">
        <v>1550</v>
      </c>
      <c r="B1551">
        <v>33</v>
      </c>
      <c r="C1551" t="s">
        <v>26</v>
      </c>
      <c r="D1551" s="1">
        <v>45376</v>
      </c>
      <c r="E1551" s="1">
        <v>45389</v>
      </c>
      <c r="F1551" t="s">
        <v>28</v>
      </c>
      <c r="G1551" t="s">
        <v>14</v>
      </c>
      <c r="H1551">
        <v>13</v>
      </c>
      <c r="I1551" t="s">
        <v>20</v>
      </c>
      <c r="J1551">
        <v>2</v>
      </c>
      <c r="K1551" t="s">
        <v>21</v>
      </c>
      <c r="L1551" t="s">
        <v>29</v>
      </c>
    </row>
    <row r="1552" spans="1:12" x14ac:dyDescent="0.25">
      <c r="A1552">
        <v>1551</v>
      </c>
      <c r="B1552">
        <v>77</v>
      </c>
      <c r="C1552" t="s">
        <v>12</v>
      </c>
      <c r="D1552" s="1">
        <v>45632</v>
      </c>
      <c r="E1552" s="1">
        <v>45644</v>
      </c>
      <c r="F1552" t="s">
        <v>28</v>
      </c>
      <c r="G1552" t="s">
        <v>23</v>
      </c>
      <c r="H1552">
        <v>12</v>
      </c>
      <c r="I1552" t="s">
        <v>15</v>
      </c>
      <c r="J1552">
        <v>0</v>
      </c>
      <c r="K1552" t="s">
        <v>24</v>
      </c>
      <c r="L1552" t="s">
        <v>22</v>
      </c>
    </row>
    <row r="1553" spans="1:12" x14ac:dyDescent="0.25">
      <c r="A1553">
        <v>1552</v>
      </c>
      <c r="B1553">
        <v>65</v>
      </c>
      <c r="C1553" t="s">
        <v>26</v>
      </c>
      <c r="D1553" s="1">
        <v>45564</v>
      </c>
      <c r="E1553" s="1">
        <v>45567</v>
      </c>
      <c r="F1553" t="s">
        <v>18</v>
      </c>
      <c r="G1553" t="s">
        <v>23</v>
      </c>
      <c r="H1553">
        <v>3</v>
      </c>
      <c r="I1553" t="s">
        <v>15</v>
      </c>
      <c r="J1553">
        <v>2</v>
      </c>
      <c r="K1553" t="s">
        <v>21</v>
      </c>
      <c r="L1553" t="s">
        <v>25</v>
      </c>
    </row>
    <row r="1554" spans="1:12" x14ac:dyDescent="0.25">
      <c r="A1554">
        <v>1553</v>
      </c>
      <c r="B1554">
        <v>32</v>
      </c>
      <c r="C1554" t="s">
        <v>12</v>
      </c>
      <c r="D1554" s="1">
        <v>45382</v>
      </c>
      <c r="E1554" s="1">
        <v>45387</v>
      </c>
      <c r="F1554" t="s">
        <v>31</v>
      </c>
      <c r="G1554" t="s">
        <v>14</v>
      </c>
      <c r="H1554">
        <v>5</v>
      </c>
      <c r="I1554" t="s">
        <v>20</v>
      </c>
      <c r="J1554">
        <v>4</v>
      </c>
      <c r="K1554" t="s">
        <v>16</v>
      </c>
      <c r="L1554" t="s">
        <v>25</v>
      </c>
    </row>
    <row r="1555" spans="1:12" x14ac:dyDescent="0.25">
      <c r="A1555">
        <v>1554</v>
      </c>
      <c r="B1555">
        <v>40</v>
      </c>
      <c r="C1555" t="s">
        <v>12</v>
      </c>
      <c r="D1555" s="1">
        <v>45405</v>
      </c>
      <c r="E1555" s="1">
        <v>45408</v>
      </c>
      <c r="F1555" t="s">
        <v>18</v>
      </c>
      <c r="G1555" t="s">
        <v>23</v>
      </c>
      <c r="H1555">
        <v>3</v>
      </c>
      <c r="I1555" t="s">
        <v>20</v>
      </c>
      <c r="J1555">
        <v>0</v>
      </c>
      <c r="K1555" t="s">
        <v>24</v>
      </c>
      <c r="L1555" t="s">
        <v>29</v>
      </c>
    </row>
    <row r="1556" spans="1:12" x14ac:dyDescent="0.25">
      <c r="A1556">
        <v>1555</v>
      </c>
      <c r="B1556">
        <v>86</v>
      </c>
      <c r="C1556" t="s">
        <v>26</v>
      </c>
      <c r="D1556" s="1">
        <v>45399</v>
      </c>
      <c r="E1556" s="1">
        <v>45410</v>
      </c>
      <c r="F1556" t="s">
        <v>28</v>
      </c>
      <c r="G1556" t="s">
        <v>19</v>
      </c>
      <c r="H1556">
        <v>11</v>
      </c>
      <c r="I1556" t="s">
        <v>20</v>
      </c>
      <c r="J1556">
        <v>2</v>
      </c>
      <c r="K1556" t="s">
        <v>24</v>
      </c>
      <c r="L1556" t="s">
        <v>29</v>
      </c>
    </row>
    <row r="1557" spans="1:12" x14ac:dyDescent="0.25">
      <c r="A1557">
        <v>1556</v>
      </c>
      <c r="B1557">
        <v>69</v>
      </c>
      <c r="C1557" t="s">
        <v>12</v>
      </c>
      <c r="D1557" s="1">
        <v>45317</v>
      </c>
      <c r="E1557" s="1">
        <v>45331</v>
      </c>
      <c r="F1557" t="s">
        <v>13</v>
      </c>
      <c r="G1557" t="s">
        <v>19</v>
      </c>
      <c r="H1557">
        <v>14</v>
      </c>
      <c r="I1557" t="s">
        <v>15</v>
      </c>
      <c r="J1557">
        <v>4</v>
      </c>
      <c r="K1557" t="s">
        <v>16</v>
      </c>
      <c r="L1557" t="s">
        <v>22</v>
      </c>
    </row>
    <row r="1558" spans="1:12" x14ac:dyDescent="0.25">
      <c r="A1558">
        <v>1557</v>
      </c>
      <c r="B1558">
        <v>28</v>
      </c>
      <c r="C1558" t="s">
        <v>26</v>
      </c>
      <c r="D1558" s="1">
        <v>45390</v>
      </c>
      <c r="E1558" s="1">
        <v>45396</v>
      </c>
      <c r="F1558" t="s">
        <v>27</v>
      </c>
      <c r="G1558" t="s">
        <v>23</v>
      </c>
      <c r="H1558">
        <v>6</v>
      </c>
      <c r="I1558" t="s">
        <v>20</v>
      </c>
      <c r="J1558">
        <v>3</v>
      </c>
      <c r="K1558" t="s">
        <v>24</v>
      </c>
      <c r="L1558" t="s">
        <v>30</v>
      </c>
    </row>
    <row r="1559" spans="1:12" x14ac:dyDescent="0.25">
      <c r="A1559">
        <v>1558</v>
      </c>
      <c r="B1559">
        <v>42</v>
      </c>
      <c r="C1559" t="s">
        <v>12</v>
      </c>
      <c r="D1559" s="1">
        <v>45349</v>
      </c>
      <c r="E1559" s="1">
        <v>45362</v>
      </c>
      <c r="F1559" t="s">
        <v>18</v>
      </c>
      <c r="G1559" t="s">
        <v>19</v>
      </c>
      <c r="H1559">
        <v>13</v>
      </c>
      <c r="I1559" t="s">
        <v>15</v>
      </c>
      <c r="J1559">
        <v>0</v>
      </c>
      <c r="K1559" t="s">
        <v>21</v>
      </c>
      <c r="L1559" t="s">
        <v>17</v>
      </c>
    </row>
    <row r="1560" spans="1:12" x14ac:dyDescent="0.25">
      <c r="A1560">
        <v>1559</v>
      </c>
      <c r="B1560">
        <v>30</v>
      </c>
      <c r="C1560" t="s">
        <v>12</v>
      </c>
      <c r="D1560" s="1">
        <v>45544</v>
      </c>
      <c r="E1560" s="1">
        <v>45545</v>
      </c>
      <c r="F1560" t="s">
        <v>31</v>
      </c>
      <c r="G1560" t="s">
        <v>19</v>
      </c>
      <c r="H1560">
        <v>1</v>
      </c>
      <c r="I1560" t="s">
        <v>20</v>
      </c>
      <c r="J1560">
        <v>2</v>
      </c>
      <c r="K1560" t="s">
        <v>16</v>
      </c>
      <c r="L1560" t="s">
        <v>29</v>
      </c>
    </row>
    <row r="1561" spans="1:12" x14ac:dyDescent="0.25">
      <c r="A1561">
        <v>1560</v>
      </c>
      <c r="B1561">
        <v>61</v>
      </c>
      <c r="C1561" t="s">
        <v>12</v>
      </c>
      <c r="D1561" s="1">
        <v>45557</v>
      </c>
      <c r="E1561" s="1">
        <v>45558</v>
      </c>
      <c r="F1561" t="s">
        <v>31</v>
      </c>
      <c r="G1561" t="s">
        <v>19</v>
      </c>
      <c r="H1561">
        <v>1</v>
      </c>
      <c r="I1561" t="s">
        <v>20</v>
      </c>
      <c r="J1561">
        <v>1</v>
      </c>
      <c r="K1561" t="s">
        <v>21</v>
      </c>
      <c r="L1561" t="s">
        <v>22</v>
      </c>
    </row>
    <row r="1562" spans="1:12" x14ac:dyDescent="0.25">
      <c r="A1562">
        <v>1561</v>
      </c>
      <c r="B1562">
        <v>22</v>
      </c>
      <c r="C1562" t="s">
        <v>12</v>
      </c>
      <c r="D1562" s="1">
        <v>45644</v>
      </c>
      <c r="E1562" s="1">
        <v>45652</v>
      </c>
      <c r="F1562" t="s">
        <v>28</v>
      </c>
      <c r="G1562" t="s">
        <v>19</v>
      </c>
      <c r="H1562">
        <v>8</v>
      </c>
      <c r="I1562" t="s">
        <v>20</v>
      </c>
      <c r="J1562">
        <v>3</v>
      </c>
      <c r="K1562" t="s">
        <v>24</v>
      </c>
      <c r="L1562" t="s">
        <v>22</v>
      </c>
    </row>
    <row r="1563" spans="1:12" x14ac:dyDescent="0.25">
      <c r="A1563">
        <v>1562</v>
      </c>
      <c r="B1563">
        <v>78</v>
      </c>
      <c r="C1563" t="s">
        <v>26</v>
      </c>
      <c r="D1563" s="1">
        <v>45499</v>
      </c>
      <c r="E1563" s="1">
        <v>45507</v>
      </c>
      <c r="F1563" t="s">
        <v>28</v>
      </c>
      <c r="G1563" t="s">
        <v>14</v>
      </c>
      <c r="H1563">
        <v>8</v>
      </c>
      <c r="I1563" t="s">
        <v>15</v>
      </c>
      <c r="J1563">
        <v>0</v>
      </c>
      <c r="K1563" t="s">
        <v>16</v>
      </c>
      <c r="L1563" t="s">
        <v>29</v>
      </c>
    </row>
    <row r="1564" spans="1:12" x14ac:dyDescent="0.25">
      <c r="A1564">
        <v>1563</v>
      </c>
      <c r="B1564">
        <v>45</v>
      </c>
      <c r="C1564" t="s">
        <v>26</v>
      </c>
      <c r="D1564" s="1">
        <v>45645</v>
      </c>
      <c r="E1564" s="1">
        <v>45646</v>
      </c>
      <c r="F1564" t="s">
        <v>13</v>
      </c>
      <c r="G1564" t="s">
        <v>23</v>
      </c>
      <c r="H1564">
        <v>1</v>
      </c>
      <c r="I1564" t="s">
        <v>15</v>
      </c>
      <c r="J1564">
        <v>3</v>
      </c>
      <c r="K1564" t="s">
        <v>24</v>
      </c>
      <c r="L1564" t="s">
        <v>17</v>
      </c>
    </row>
    <row r="1565" spans="1:12" x14ac:dyDescent="0.25">
      <c r="A1565">
        <v>1564</v>
      </c>
      <c r="B1565">
        <v>35</v>
      </c>
      <c r="C1565" t="s">
        <v>26</v>
      </c>
      <c r="D1565" s="1">
        <v>45482</v>
      </c>
      <c r="E1565" s="1">
        <v>45492</v>
      </c>
      <c r="F1565" t="s">
        <v>31</v>
      </c>
      <c r="G1565" t="s">
        <v>14</v>
      </c>
      <c r="H1565">
        <v>10</v>
      </c>
      <c r="I1565" t="s">
        <v>15</v>
      </c>
      <c r="J1565">
        <v>4</v>
      </c>
      <c r="K1565" t="s">
        <v>21</v>
      </c>
      <c r="L1565" t="s">
        <v>22</v>
      </c>
    </row>
    <row r="1566" spans="1:12" x14ac:dyDescent="0.25">
      <c r="A1566">
        <v>1565</v>
      </c>
      <c r="B1566">
        <v>49</v>
      </c>
      <c r="C1566" t="s">
        <v>12</v>
      </c>
      <c r="D1566" s="1">
        <v>45583</v>
      </c>
      <c r="E1566" s="1">
        <v>45593</v>
      </c>
      <c r="F1566" t="s">
        <v>31</v>
      </c>
      <c r="G1566" t="s">
        <v>23</v>
      </c>
      <c r="H1566">
        <v>10</v>
      </c>
      <c r="I1566" t="s">
        <v>20</v>
      </c>
      <c r="J1566">
        <v>0</v>
      </c>
      <c r="K1566" t="s">
        <v>21</v>
      </c>
      <c r="L1566" t="s">
        <v>25</v>
      </c>
    </row>
    <row r="1567" spans="1:12" x14ac:dyDescent="0.25">
      <c r="A1567">
        <v>1566</v>
      </c>
      <c r="B1567">
        <v>85</v>
      </c>
      <c r="C1567" t="s">
        <v>26</v>
      </c>
      <c r="D1567" s="1">
        <v>45604</v>
      </c>
      <c r="E1567" s="1">
        <v>45613</v>
      </c>
      <c r="F1567" t="s">
        <v>28</v>
      </c>
      <c r="G1567" t="s">
        <v>19</v>
      </c>
      <c r="H1567">
        <v>9</v>
      </c>
      <c r="I1567" t="s">
        <v>15</v>
      </c>
      <c r="J1567">
        <v>0</v>
      </c>
      <c r="K1567" t="s">
        <v>21</v>
      </c>
      <c r="L1567" t="s">
        <v>29</v>
      </c>
    </row>
    <row r="1568" spans="1:12" x14ac:dyDescent="0.25">
      <c r="A1568">
        <v>1567</v>
      </c>
      <c r="B1568">
        <v>68</v>
      </c>
      <c r="C1568" t="s">
        <v>12</v>
      </c>
      <c r="D1568" s="1">
        <v>45485</v>
      </c>
      <c r="E1568" s="1">
        <v>45487</v>
      </c>
      <c r="F1568" t="s">
        <v>27</v>
      </c>
      <c r="G1568" t="s">
        <v>19</v>
      </c>
      <c r="H1568">
        <v>2</v>
      </c>
      <c r="I1568" t="s">
        <v>20</v>
      </c>
      <c r="J1568">
        <v>0</v>
      </c>
      <c r="K1568" t="s">
        <v>16</v>
      </c>
      <c r="L1568" t="s">
        <v>29</v>
      </c>
    </row>
    <row r="1569" spans="1:12" x14ac:dyDescent="0.25">
      <c r="A1569">
        <v>1568</v>
      </c>
      <c r="B1569">
        <v>65</v>
      </c>
      <c r="C1569" t="s">
        <v>12</v>
      </c>
      <c r="D1569" s="1">
        <v>45537</v>
      </c>
      <c r="E1569" s="1">
        <v>45540</v>
      </c>
      <c r="F1569" t="s">
        <v>18</v>
      </c>
      <c r="G1569" t="s">
        <v>23</v>
      </c>
      <c r="H1569">
        <v>3</v>
      </c>
      <c r="I1569" t="s">
        <v>15</v>
      </c>
      <c r="J1569">
        <v>2</v>
      </c>
      <c r="K1569" t="s">
        <v>16</v>
      </c>
      <c r="L1569" t="s">
        <v>29</v>
      </c>
    </row>
    <row r="1570" spans="1:12" x14ac:dyDescent="0.25">
      <c r="A1570">
        <v>1569</v>
      </c>
      <c r="B1570">
        <v>49</v>
      </c>
      <c r="C1570" t="s">
        <v>12</v>
      </c>
      <c r="D1570" s="1">
        <v>45448</v>
      </c>
      <c r="E1570" s="1">
        <v>45454</v>
      </c>
      <c r="F1570" t="s">
        <v>13</v>
      </c>
      <c r="G1570" t="s">
        <v>23</v>
      </c>
      <c r="H1570">
        <v>6</v>
      </c>
      <c r="I1570" t="s">
        <v>15</v>
      </c>
      <c r="J1570">
        <v>1</v>
      </c>
      <c r="K1570" t="s">
        <v>21</v>
      </c>
      <c r="L1570" t="s">
        <v>17</v>
      </c>
    </row>
    <row r="1571" spans="1:12" x14ac:dyDescent="0.25">
      <c r="A1571">
        <v>1570</v>
      </c>
      <c r="B1571">
        <v>77</v>
      </c>
      <c r="C1571" t="s">
        <v>26</v>
      </c>
      <c r="D1571" s="1">
        <v>45531</v>
      </c>
      <c r="E1571" s="1">
        <v>45533</v>
      </c>
      <c r="F1571" t="s">
        <v>13</v>
      </c>
      <c r="G1571" t="s">
        <v>14</v>
      </c>
      <c r="H1571">
        <v>2</v>
      </c>
      <c r="I1571" t="s">
        <v>20</v>
      </c>
      <c r="J1571">
        <v>3</v>
      </c>
      <c r="K1571" t="s">
        <v>24</v>
      </c>
      <c r="L1571" t="s">
        <v>29</v>
      </c>
    </row>
    <row r="1572" spans="1:12" x14ac:dyDescent="0.25">
      <c r="A1572">
        <v>1571</v>
      </c>
      <c r="B1572">
        <v>65</v>
      </c>
      <c r="C1572" t="s">
        <v>12</v>
      </c>
      <c r="D1572" s="1">
        <v>45520</v>
      </c>
      <c r="E1572" s="1">
        <v>45531</v>
      </c>
      <c r="F1572" t="s">
        <v>18</v>
      </c>
      <c r="G1572" t="s">
        <v>19</v>
      </c>
      <c r="H1572">
        <v>11</v>
      </c>
      <c r="I1572" t="s">
        <v>15</v>
      </c>
      <c r="J1572">
        <v>0</v>
      </c>
      <c r="K1572" t="s">
        <v>16</v>
      </c>
      <c r="L1572" t="s">
        <v>30</v>
      </c>
    </row>
    <row r="1573" spans="1:12" x14ac:dyDescent="0.25">
      <c r="A1573">
        <v>1572</v>
      </c>
      <c r="B1573">
        <v>32</v>
      </c>
      <c r="C1573" t="s">
        <v>26</v>
      </c>
      <c r="D1573" s="1">
        <v>45422</v>
      </c>
      <c r="E1573" s="1">
        <v>45425</v>
      </c>
      <c r="F1573" t="s">
        <v>27</v>
      </c>
      <c r="G1573" t="s">
        <v>19</v>
      </c>
      <c r="H1573">
        <v>3</v>
      </c>
      <c r="I1573" t="s">
        <v>15</v>
      </c>
      <c r="J1573">
        <v>0</v>
      </c>
      <c r="K1573" t="s">
        <v>16</v>
      </c>
      <c r="L1573" t="s">
        <v>29</v>
      </c>
    </row>
    <row r="1574" spans="1:12" x14ac:dyDescent="0.25">
      <c r="A1574">
        <v>1573</v>
      </c>
      <c r="B1574">
        <v>86</v>
      </c>
      <c r="C1574" t="s">
        <v>26</v>
      </c>
      <c r="D1574" s="1">
        <v>45547</v>
      </c>
      <c r="E1574" s="1">
        <v>45553</v>
      </c>
      <c r="F1574" t="s">
        <v>28</v>
      </c>
      <c r="G1574" t="s">
        <v>19</v>
      </c>
      <c r="H1574">
        <v>6</v>
      </c>
      <c r="I1574" t="s">
        <v>15</v>
      </c>
      <c r="J1574">
        <v>4</v>
      </c>
      <c r="K1574" t="s">
        <v>16</v>
      </c>
      <c r="L1574" t="s">
        <v>22</v>
      </c>
    </row>
    <row r="1575" spans="1:12" x14ac:dyDescent="0.25">
      <c r="A1575">
        <v>1574</v>
      </c>
      <c r="B1575">
        <v>73</v>
      </c>
      <c r="C1575" t="s">
        <v>12</v>
      </c>
      <c r="D1575" s="1">
        <v>45375</v>
      </c>
      <c r="E1575" s="1">
        <v>45386</v>
      </c>
      <c r="F1575" t="s">
        <v>31</v>
      </c>
      <c r="G1575" t="s">
        <v>14</v>
      </c>
      <c r="H1575">
        <v>11</v>
      </c>
      <c r="I1575" t="s">
        <v>15</v>
      </c>
      <c r="J1575">
        <v>1</v>
      </c>
      <c r="K1575" t="s">
        <v>21</v>
      </c>
      <c r="L1575" t="s">
        <v>29</v>
      </c>
    </row>
    <row r="1576" spans="1:12" x14ac:dyDescent="0.25">
      <c r="A1576">
        <v>1575</v>
      </c>
      <c r="B1576">
        <v>64</v>
      </c>
      <c r="C1576" t="s">
        <v>26</v>
      </c>
      <c r="D1576" s="1">
        <v>45549</v>
      </c>
      <c r="E1576" s="1">
        <v>45561</v>
      </c>
      <c r="F1576" t="s">
        <v>27</v>
      </c>
      <c r="G1576" t="s">
        <v>14</v>
      </c>
      <c r="H1576">
        <v>12</v>
      </c>
      <c r="I1576" t="s">
        <v>15</v>
      </c>
      <c r="J1576">
        <v>2</v>
      </c>
      <c r="K1576" t="s">
        <v>16</v>
      </c>
      <c r="L1576" t="s">
        <v>17</v>
      </c>
    </row>
    <row r="1577" spans="1:12" x14ac:dyDescent="0.25">
      <c r="A1577">
        <v>1576</v>
      </c>
      <c r="B1577">
        <v>59</v>
      </c>
      <c r="C1577" t="s">
        <v>26</v>
      </c>
      <c r="D1577" s="1">
        <v>45439</v>
      </c>
      <c r="E1577" s="1">
        <v>45442</v>
      </c>
      <c r="F1577" t="s">
        <v>13</v>
      </c>
      <c r="G1577" t="s">
        <v>23</v>
      </c>
      <c r="H1577">
        <v>3</v>
      </c>
      <c r="I1577" t="s">
        <v>15</v>
      </c>
      <c r="J1577">
        <v>3</v>
      </c>
      <c r="K1577" t="s">
        <v>24</v>
      </c>
      <c r="L1577" t="s">
        <v>25</v>
      </c>
    </row>
    <row r="1578" spans="1:12" x14ac:dyDescent="0.25">
      <c r="A1578">
        <v>1577</v>
      </c>
      <c r="B1578">
        <v>51</v>
      </c>
      <c r="C1578" t="s">
        <v>26</v>
      </c>
      <c r="D1578" s="1">
        <v>45394</v>
      </c>
      <c r="E1578" s="1">
        <v>45403</v>
      </c>
      <c r="F1578" t="s">
        <v>18</v>
      </c>
      <c r="G1578" t="s">
        <v>14</v>
      </c>
      <c r="H1578">
        <v>9</v>
      </c>
      <c r="I1578" t="s">
        <v>15</v>
      </c>
      <c r="J1578">
        <v>0</v>
      </c>
      <c r="K1578" t="s">
        <v>16</v>
      </c>
      <c r="L1578" t="s">
        <v>17</v>
      </c>
    </row>
    <row r="1579" spans="1:12" x14ac:dyDescent="0.25">
      <c r="A1579">
        <v>1578</v>
      </c>
      <c r="B1579">
        <v>34</v>
      </c>
      <c r="C1579" t="s">
        <v>26</v>
      </c>
      <c r="D1579" s="1">
        <v>45378</v>
      </c>
      <c r="E1579" s="1">
        <v>45383</v>
      </c>
      <c r="F1579" t="s">
        <v>18</v>
      </c>
      <c r="G1579" t="s">
        <v>23</v>
      </c>
      <c r="H1579">
        <v>5</v>
      </c>
      <c r="I1579" t="s">
        <v>15</v>
      </c>
      <c r="J1579">
        <v>4</v>
      </c>
      <c r="K1579" t="s">
        <v>21</v>
      </c>
      <c r="L1579" t="s">
        <v>25</v>
      </c>
    </row>
    <row r="1580" spans="1:12" x14ac:dyDescent="0.25">
      <c r="A1580">
        <v>1579</v>
      </c>
      <c r="B1580">
        <v>45</v>
      </c>
      <c r="C1580" t="s">
        <v>12</v>
      </c>
      <c r="D1580" s="1">
        <v>45375</v>
      </c>
      <c r="E1580" s="1">
        <v>45379</v>
      </c>
      <c r="F1580" t="s">
        <v>13</v>
      </c>
      <c r="G1580" t="s">
        <v>14</v>
      </c>
      <c r="H1580">
        <v>4</v>
      </c>
      <c r="I1580" t="s">
        <v>15</v>
      </c>
      <c r="J1580">
        <v>3</v>
      </c>
      <c r="K1580" t="s">
        <v>16</v>
      </c>
      <c r="L1580" t="s">
        <v>30</v>
      </c>
    </row>
    <row r="1581" spans="1:12" x14ac:dyDescent="0.25">
      <c r="A1581">
        <v>1580</v>
      </c>
      <c r="B1581">
        <v>88</v>
      </c>
      <c r="C1581" t="s">
        <v>12</v>
      </c>
      <c r="D1581" s="1">
        <v>45435</v>
      </c>
      <c r="E1581" s="1">
        <v>45437</v>
      </c>
      <c r="F1581" t="s">
        <v>31</v>
      </c>
      <c r="G1581" t="s">
        <v>14</v>
      </c>
      <c r="H1581">
        <v>2</v>
      </c>
      <c r="I1581" t="s">
        <v>15</v>
      </c>
      <c r="J1581">
        <v>2</v>
      </c>
      <c r="K1581" t="s">
        <v>16</v>
      </c>
      <c r="L1581" t="s">
        <v>25</v>
      </c>
    </row>
    <row r="1582" spans="1:12" x14ac:dyDescent="0.25">
      <c r="A1582">
        <v>1581</v>
      </c>
      <c r="B1582">
        <v>80</v>
      </c>
      <c r="C1582" t="s">
        <v>26</v>
      </c>
      <c r="D1582" s="1">
        <v>45292</v>
      </c>
      <c r="E1582" s="1">
        <v>45307</v>
      </c>
      <c r="F1582" t="s">
        <v>18</v>
      </c>
      <c r="G1582" t="s">
        <v>23</v>
      </c>
      <c r="H1582">
        <v>15</v>
      </c>
      <c r="I1582" t="s">
        <v>15</v>
      </c>
      <c r="J1582">
        <v>2</v>
      </c>
      <c r="K1582" t="s">
        <v>21</v>
      </c>
      <c r="L1582" t="s">
        <v>25</v>
      </c>
    </row>
    <row r="1583" spans="1:12" x14ac:dyDescent="0.25">
      <c r="A1583">
        <v>1582</v>
      </c>
      <c r="B1583">
        <v>42</v>
      </c>
      <c r="C1583" t="s">
        <v>12</v>
      </c>
      <c r="D1583" s="1">
        <v>45346</v>
      </c>
      <c r="E1583" s="1">
        <v>45358</v>
      </c>
      <c r="F1583" t="s">
        <v>27</v>
      </c>
      <c r="G1583" t="s">
        <v>14</v>
      </c>
      <c r="H1583">
        <v>12</v>
      </c>
      <c r="I1583" t="s">
        <v>20</v>
      </c>
      <c r="J1583">
        <v>1</v>
      </c>
      <c r="K1583" t="s">
        <v>16</v>
      </c>
      <c r="L1583" t="s">
        <v>29</v>
      </c>
    </row>
    <row r="1584" spans="1:12" x14ac:dyDescent="0.25">
      <c r="A1584">
        <v>1583</v>
      </c>
      <c r="B1584">
        <v>45</v>
      </c>
      <c r="C1584" t="s">
        <v>12</v>
      </c>
      <c r="D1584" s="1">
        <v>45362</v>
      </c>
      <c r="E1584" s="1">
        <v>45370</v>
      </c>
      <c r="F1584" t="s">
        <v>28</v>
      </c>
      <c r="G1584" t="s">
        <v>14</v>
      </c>
      <c r="H1584">
        <v>8</v>
      </c>
      <c r="I1584" t="s">
        <v>20</v>
      </c>
      <c r="J1584">
        <v>3</v>
      </c>
      <c r="K1584" t="s">
        <v>21</v>
      </c>
      <c r="L1584" t="s">
        <v>29</v>
      </c>
    </row>
    <row r="1585" spans="1:12" x14ac:dyDescent="0.25">
      <c r="A1585">
        <v>1584</v>
      </c>
      <c r="B1585">
        <v>51</v>
      </c>
      <c r="C1585" t="s">
        <v>12</v>
      </c>
      <c r="D1585" s="1">
        <v>45626</v>
      </c>
      <c r="E1585" s="1">
        <v>45635</v>
      </c>
      <c r="F1585" t="s">
        <v>18</v>
      </c>
      <c r="G1585" t="s">
        <v>19</v>
      </c>
      <c r="H1585">
        <v>9</v>
      </c>
      <c r="I1585" t="s">
        <v>15</v>
      </c>
      <c r="J1585">
        <v>0</v>
      </c>
      <c r="K1585" t="s">
        <v>21</v>
      </c>
      <c r="L1585" t="s">
        <v>25</v>
      </c>
    </row>
    <row r="1586" spans="1:12" x14ac:dyDescent="0.25">
      <c r="A1586">
        <v>1585</v>
      </c>
      <c r="B1586">
        <v>21</v>
      </c>
      <c r="C1586" t="s">
        <v>12</v>
      </c>
      <c r="D1586" s="1">
        <v>45563</v>
      </c>
      <c r="E1586" s="1">
        <v>45571</v>
      </c>
      <c r="F1586" t="s">
        <v>27</v>
      </c>
      <c r="G1586" t="s">
        <v>23</v>
      </c>
      <c r="H1586">
        <v>8</v>
      </c>
      <c r="I1586" t="s">
        <v>15</v>
      </c>
      <c r="J1586">
        <v>0</v>
      </c>
      <c r="K1586" t="s">
        <v>24</v>
      </c>
      <c r="L1586" t="s">
        <v>17</v>
      </c>
    </row>
    <row r="1587" spans="1:12" x14ac:dyDescent="0.25">
      <c r="A1587">
        <v>1586</v>
      </c>
      <c r="B1587">
        <v>27</v>
      </c>
      <c r="C1587" t="s">
        <v>26</v>
      </c>
      <c r="D1587" s="1">
        <v>45443</v>
      </c>
      <c r="E1587" s="1">
        <v>45455</v>
      </c>
      <c r="F1587" t="s">
        <v>31</v>
      </c>
      <c r="G1587" t="s">
        <v>14</v>
      </c>
      <c r="H1587">
        <v>12</v>
      </c>
      <c r="I1587" t="s">
        <v>15</v>
      </c>
      <c r="J1587">
        <v>3</v>
      </c>
      <c r="K1587" t="s">
        <v>24</v>
      </c>
      <c r="L1587" t="s">
        <v>29</v>
      </c>
    </row>
    <row r="1588" spans="1:12" x14ac:dyDescent="0.25">
      <c r="A1588">
        <v>1587</v>
      </c>
      <c r="B1588">
        <v>63</v>
      </c>
      <c r="C1588" t="s">
        <v>12</v>
      </c>
      <c r="D1588" s="1">
        <v>45304</v>
      </c>
      <c r="E1588" s="1">
        <v>45305</v>
      </c>
      <c r="F1588" t="s">
        <v>28</v>
      </c>
      <c r="G1588" t="s">
        <v>23</v>
      </c>
      <c r="H1588">
        <v>1</v>
      </c>
      <c r="I1588" t="s">
        <v>15</v>
      </c>
      <c r="J1588">
        <v>2</v>
      </c>
      <c r="K1588" t="s">
        <v>16</v>
      </c>
      <c r="L1588" t="s">
        <v>22</v>
      </c>
    </row>
    <row r="1589" spans="1:12" x14ac:dyDescent="0.25">
      <c r="A1589">
        <v>1588</v>
      </c>
      <c r="B1589">
        <v>78</v>
      </c>
      <c r="C1589" t="s">
        <v>12</v>
      </c>
      <c r="D1589" s="1">
        <v>45446</v>
      </c>
      <c r="E1589" s="1">
        <v>45458</v>
      </c>
      <c r="F1589" t="s">
        <v>18</v>
      </c>
      <c r="G1589" t="s">
        <v>14</v>
      </c>
      <c r="H1589">
        <v>12</v>
      </c>
      <c r="I1589" t="s">
        <v>15</v>
      </c>
      <c r="J1589">
        <v>3</v>
      </c>
      <c r="K1589" t="s">
        <v>16</v>
      </c>
      <c r="L1589" t="s">
        <v>25</v>
      </c>
    </row>
    <row r="1590" spans="1:12" x14ac:dyDescent="0.25">
      <c r="A1590">
        <v>1589</v>
      </c>
      <c r="B1590">
        <v>21</v>
      </c>
      <c r="C1590" t="s">
        <v>26</v>
      </c>
      <c r="D1590" s="1">
        <v>45319</v>
      </c>
      <c r="E1590" s="1">
        <v>45332</v>
      </c>
      <c r="F1590" t="s">
        <v>27</v>
      </c>
      <c r="G1590" t="s">
        <v>19</v>
      </c>
      <c r="H1590">
        <v>13</v>
      </c>
      <c r="I1590" t="s">
        <v>20</v>
      </c>
      <c r="J1590">
        <v>4</v>
      </c>
      <c r="K1590" t="s">
        <v>24</v>
      </c>
      <c r="L1590" t="s">
        <v>25</v>
      </c>
    </row>
    <row r="1591" spans="1:12" x14ac:dyDescent="0.25">
      <c r="A1591">
        <v>1590</v>
      </c>
      <c r="B1591">
        <v>57</v>
      </c>
      <c r="C1591" t="s">
        <v>26</v>
      </c>
      <c r="D1591" s="1">
        <v>45482</v>
      </c>
      <c r="E1591" s="1">
        <v>45487</v>
      </c>
      <c r="F1591" t="s">
        <v>18</v>
      </c>
      <c r="G1591" t="s">
        <v>14</v>
      </c>
      <c r="H1591">
        <v>5</v>
      </c>
      <c r="I1591" t="s">
        <v>15</v>
      </c>
      <c r="J1591">
        <v>4</v>
      </c>
      <c r="K1591" t="s">
        <v>21</v>
      </c>
      <c r="L1591" t="s">
        <v>29</v>
      </c>
    </row>
    <row r="1592" spans="1:12" x14ac:dyDescent="0.25">
      <c r="A1592">
        <v>1591</v>
      </c>
      <c r="B1592">
        <v>43</v>
      </c>
      <c r="C1592" t="s">
        <v>26</v>
      </c>
      <c r="D1592" s="1">
        <v>45603</v>
      </c>
      <c r="E1592" s="1">
        <v>45611</v>
      </c>
      <c r="F1592" t="s">
        <v>13</v>
      </c>
      <c r="G1592" t="s">
        <v>23</v>
      </c>
      <c r="H1592">
        <v>8</v>
      </c>
      <c r="I1592" t="s">
        <v>15</v>
      </c>
      <c r="J1592">
        <v>4</v>
      </c>
      <c r="K1592" t="s">
        <v>16</v>
      </c>
      <c r="L1592" t="s">
        <v>29</v>
      </c>
    </row>
    <row r="1593" spans="1:12" x14ac:dyDescent="0.25">
      <c r="A1593">
        <v>1592</v>
      </c>
      <c r="B1593">
        <v>40</v>
      </c>
      <c r="C1593" t="s">
        <v>26</v>
      </c>
      <c r="D1593" s="1">
        <v>45470</v>
      </c>
      <c r="E1593" s="1">
        <v>45476</v>
      </c>
      <c r="F1593" t="s">
        <v>31</v>
      </c>
      <c r="G1593" t="s">
        <v>23</v>
      </c>
      <c r="H1593">
        <v>6</v>
      </c>
      <c r="I1593" t="s">
        <v>15</v>
      </c>
      <c r="J1593">
        <v>3</v>
      </c>
      <c r="K1593" t="s">
        <v>24</v>
      </c>
      <c r="L1593" t="s">
        <v>17</v>
      </c>
    </row>
    <row r="1594" spans="1:12" x14ac:dyDescent="0.25">
      <c r="A1594">
        <v>1593</v>
      </c>
      <c r="B1594">
        <v>70</v>
      </c>
      <c r="C1594" t="s">
        <v>26</v>
      </c>
      <c r="D1594" s="1">
        <v>45522</v>
      </c>
      <c r="E1594" s="1">
        <v>45528</v>
      </c>
      <c r="F1594" t="s">
        <v>13</v>
      </c>
      <c r="G1594" t="s">
        <v>14</v>
      </c>
      <c r="H1594">
        <v>6</v>
      </c>
      <c r="I1594" t="s">
        <v>15</v>
      </c>
      <c r="J1594">
        <v>3</v>
      </c>
      <c r="K1594" t="s">
        <v>16</v>
      </c>
      <c r="L1594" t="s">
        <v>29</v>
      </c>
    </row>
    <row r="1595" spans="1:12" x14ac:dyDescent="0.25">
      <c r="A1595">
        <v>1594</v>
      </c>
      <c r="B1595">
        <v>63</v>
      </c>
      <c r="C1595" t="s">
        <v>12</v>
      </c>
      <c r="D1595" s="1">
        <v>45472</v>
      </c>
      <c r="E1595" s="1">
        <v>45480</v>
      </c>
      <c r="F1595" t="s">
        <v>31</v>
      </c>
      <c r="G1595" t="s">
        <v>14</v>
      </c>
      <c r="H1595">
        <v>8</v>
      </c>
      <c r="I1595" t="s">
        <v>15</v>
      </c>
      <c r="J1595">
        <v>1</v>
      </c>
      <c r="K1595" t="s">
        <v>24</v>
      </c>
      <c r="L1595" t="s">
        <v>17</v>
      </c>
    </row>
    <row r="1596" spans="1:12" x14ac:dyDescent="0.25">
      <c r="A1596">
        <v>1595</v>
      </c>
      <c r="B1596">
        <v>48</v>
      </c>
      <c r="C1596" t="s">
        <v>26</v>
      </c>
      <c r="D1596" s="1">
        <v>45367</v>
      </c>
      <c r="E1596" s="1">
        <v>45368</v>
      </c>
      <c r="F1596" t="s">
        <v>31</v>
      </c>
      <c r="G1596" t="s">
        <v>23</v>
      </c>
      <c r="H1596">
        <v>1</v>
      </c>
      <c r="I1596" t="s">
        <v>15</v>
      </c>
      <c r="J1596">
        <v>1</v>
      </c>
      <c r="K1596" t="s">
        <v>24</v>
      </c>
      <c r="L1596" t="s">
        <v>29</v>
      </c>
    </row>
    <row r="1597" spans="1:12" x14ac:dyDescent="0.25">
      <c r="A1597">
        <v>1596</v>
      </c>
      <c r="B1597">
        <v>53</v>
      </c>
      <c r="C1597" t="s">
        <v>12</v>
      </c>
      <c r="D1597" s="1">
        <v>45567</v>
      </c>
      <c r="E1597" s="1">
        <v>45580</v>
      </c>
      <c r="F1597" t="s">
        <v>28</v>
      </c>
      <c r="G1597" t="s">
        <v>14</v>
      </c>
      <c r="H1597">
        <v>13</v>
      </c>
      <c r="I1597" t="s">
        <v>15</v>
      </c>
      <c r="J1597">
        <v>1</v>
      </c>
      <c r="K1597" t="s">
        <v>24</v>
      </c>
      <c r="L1597" t="s">
        <v>29</v>
      </c>
    </row>
    <row r="1598" spans="1:12" x14ac:dyDescent="0.25">
      <c r="A1598">
        <v>1597</v>
      </c>
      <c r="B1598">
        <v>51</v>
      </c>
      <c r="C1598" t="s">
        <v>26</v>
      </c>
      <c r="D1598" s="1">
        <v>45418</v>
      </c>
      <c r="E1598" s="1">
        <v>45420</v>
      </c>
      <c r="F1598" t="s">
        <v>18</v>
      </c>
      <c r="G1598" t="s">
        <v>23</v>
      </c>
      <c r="H1598">
        <v>2</v>
      </c>
      <c r="I1598" t="s">
        <v>15</v>
      </c>
      <c r="J1598">
        <v>3</v>
      </c>
      <c r="K1598" t="s">
        <v>24</v>
      </c>
      <c r="L1598" t="s">
        <v>30</v>
      </c>
    </row>
    <row r="1599" spans="1:12" x14ac:dyDescent="0.25">
      <c r="A1599">
        <v>1598</v>
      </c>
      <c r="B1599">
        <v>64</v>
      </c>
      <c r="C1599" t="s">
        <v>26</v>
      </c>
      <c r="D1599" s="1">
        <v>45314</v>
      </c>
      <c r="E1599" s="1">
        <v>45329</v>
      </c>
      <c r="F1599" t="s">
        <v>27</v>
      </c>
      <c r="G1599" t="s">
        <v>14</v>
      </c>
      <c r="H1599">
        <v>15</v>
      </c>
      <c r="I1599" t="s">
        <v>20</v>
      </c>
      <c r="J1599">
        <v>0</v>
      </c>
      <c r="K1599" t="s">
        <v>21</v>
      </c>
      <c r="L1599" t="s">
        <v>25</v>
      </c>
    </row>
    <row r="1600" spans="1:12" x14ac:dyDescent="0.25">
      <c r="A1600">
        <v>1599</v>
      </c>
      <c r="B1600">
        <v>64</v>
      </c>
      <c r="C1600" t="s">
        <v>26</v>
      </c>
      <c r="D1600" s="1">
        <v>45496</v>
      </c>
      <c r="E1600" s="1">
        <v>45497</v>
      </c>
      <c r="F1600" t="s">
        <v>13</v>
      </c>
      <c r="G1600" t="s">
        <v>19</v>
      </c>
      <c r="H1600">
        <v>1</v>
      </c>
      <c r="I1600" t="s">
        <v>15</v>
      </c>
      <c r="J1600">
        <v>4</v>
      </c>
      <c r="K1600" t="s">
        <v>16</v>
      </c>
      <c r="L1600" t="s">
        <v>22</v>
      </c>
    </row>
    <row r="1601" spans="1:12" x14ac:dyDescent="0.25">
      <c r="A1601">
        <v>1600</v>
      </c>
      <c r="B1601">
        <v>42</v>
      </c>
      <c r="C1601" t="s">
        <v>12</v>
      </c>
      <c r="D1601" s="1">
        <v>45386</v>
      </c>
      <c r="E1601" s="1">
        <v>45398</v>
      </c>
      <c r="F1601" t="s">
        <v>18</v>
      </c>
      <c r="G1601" t="s">
        <v>19</v>
      </c>
      <c r="H1601">
        <v>12</v>
      </c>
      <c r="I1601" t="s">
        <v>20</v>
      </c>
      <c r="J1601">
        <v>2</v>
      </c>
      <c r="K1601" t="s">
        <v>16</v>
      </c>
      <c r="L1601" t="s">
        <v>30</v>
      </c>
    </row>
    <row r="1602" spans="1:12" x14ac:dyDescent="0.25">
      <c r="A1602">
        <v>1601</v>
      </c>
      <c r="B1602">
        <v>81</v>
      </c>
      <c r="C1602" t="s">
        <v>12</v>
      </c>
      <c r="D1602" s="1">
        <v>45591</v>
      </c>
      <c r="E1602" s="1">
        <v>45598</v>
      </c>
      <c r="F1602" t="s">
        <v>27</v>
      </c>
      <c r="G1602" t="s">
        <v>23</v>
      </c>
      <c r="H1602">
        <v>7</v>
      </c>
      <c r="I1602" t="s">
        <v>15</v>
      </c>
      <c r="J1602">
        <v>2</v>
      </c>
      <c r="K1602" t="s">
        <v>16</v>
      </c>
      <c r="L1602" t="s">
        <v>25</v>
      </c>
    </row>
    <row r="1603" spans="1:12" x14ac:dyDescent="0.25">
      <c r="A1603">
        <v>1602</v>
      </c>
      <c r="B1603">
        <v>32</v>
      </c>
      <c r="C1603" t="s">
        <v>12</v>
      </c>
      <c r="D1603" s="1">
        <v>45495</v>
      </c>
      <c r="E1603" s="1">
        <v>45504</v>
      </c>
      <c r="F1603" t="s">
        <v>31</v>
      </c>
      <c r="G1603" t="s">
        <v>14</v>
      </c>
      <c r="H1603">
        <v>9</v>
      </c>
      <c r="I1603" t="s">
        <v>15</v>
      </c>
      <c r="J1603">
        <v>2</v>
      </c>
      <c r="K1603" t="s">
        <v>21</v>
      </c>
      <c r="L1603" t="s">
        <v>22</v>
      </c>
    </row>
    <row r="1604" spans="1:12" x14ac:dyDescent="0.25">
      <c r="A1604">
        <v>1603</v>
      </c>
      <c r="B1604">
        <v>82</v>
      </c>
      <c r="C1604" t="s">
        <v>26</v>
      </c>
      <c r="D1604" s="1">
        <v>45464</v>
      </c>
      <c r="E1604" s="1">
        <v>45472</v>
      </c>
      <c r="F1604" t="s">
        <v>28</v>
      </c>
      <c r="G1604" t="s">
        <v>19</v>
      </c>
      <c r="H1604">
        <v>8</v>
      </c>
      <c r="I1604" t="s">
        <v>20</v>
      </c>
      <c r="J1604">
        <v>4</v>
      </c>
      <c r="K1604" t="s">
        <v>24</v>
      </c>
      <c r="L1604" t="s">
        <v>29</v>
      </c>
    </row>
    <row r="1605" spans="1:12" x14ac:dyDescent="0.25">
      <c r="A1605">
        <v>1604</v>
      </c>
      <c r="B1605">
        <v>47</v>
      </c>
      <c r="C1605" t="s">
        <v>12</v>
      </c>
      <c r="D1605" s="1">
        <v>45604</v>
      </c>
      <c r="E1605" s="1">
        <v>45606</v>
      </c>
      <c r="F1605" t="s">
        <v>31</v>
      </c>
      <c r="G1605" t="s">
        <v>23</v>
      </c>
      <c r="H1605">
        <v>2</v>
      </c>
      <c r="I1605" t="s">
        <v>15</v>
      </c>
      <c r="J1605">
        <v>3</v>
      </c>
      <c r="K1605" t="s">
        <v>16</v>
      </c>
      <c r="L1605" t="s">
        <v>29</v>
      </c>
    </row>
    <row r="1606" spans="1:12" x14ac:dyDescent="0.25">
      <c r="A1606">
        <v>1605</v>
      </c>
      <c r="B1606">
        <v>80</v>
      </c>
      <c r="C1606" t="s">
        <v>26</v>
      </c>
      <c r="D1606" s="1">
        <v>45346</v>
      </c>
      <c r="E1606" s="1">
        <v>45349</v>
      </c>
      <c r="F1606" t="s">
        <v>13</v>
      </c>
      <c r="G1606" t="s">
        <v>23</v>
      </c>
      <c r="H1606">
        <v>3</v>
      </c>
      <c r="I1606" t="s">
        <v>15</v>
      </c>
      <c r="J1606">
        <v>1</v>
      </c>
      <c r="K1606" t="s">
        <v>16</v>
      </c>
      <c r="L1606" t="s">
        <v>22</v>
      </c>
    </row>
    <row r="1607" spans="1:12" x14ac:dyDescent="0.25">
      <c r="A1607">
        <v>1606</v>
      </c>
      <c r="B1607">
        <v>73</v>
      </c>
      <c r="C1607" t="s">
        <v>26</v>
      </c>
      <c r="D1607" s="1">
        <v>45601</v>
      </c>
      <c r="E1607" s="1">
        <v>45615</v>
      </c>
      <c r="F1607" t="s">
        <v>18</v>
      </c>
      <c r="G1607" t="s">
        <v>14</v>
      </c>
      <c r="H1607">
        <v>14</v>
      </c>
      <c r="I1607" t="s">
        <v>15</v>
      </c>
      <c r="J1607">
        <v>2</v>
      </c>
      <c r="K1607" t="s">
        <v>21</v>
      </c>
      <c r="L1607" t="s">
        <v>29</v>
      </c>
    </row>
    <row r="1608" spans="1:12" x14ac:dyDescent="0.25">
      <c r="A1608">
        <v>1607</v>
      </c>
      <c r="B1608">
        <v>43</v>
      </c>
      <c r="C1608" t="s">
        <v>26</v>
      </c>
      <c r="D1608" s="1">
        <v>45358</v>
      </c>
      <c r="E1608" s="1">
        <v>45370</v>
      </c>
      <c r="F1608" t="s">
        <v>18</v>
      </c>
      <c r="G1608" t="s">
        <v>14</v>
      </c>
      <c r="H1608">
        <v>12</v>
      </c>
      <c r="I1608" t="s">
        <v>15</v>
      </c>
      <c r="J1608">
        <v>3</v>
      </c>
      <c r="K1608" t="s">
        <v>16</v>
      </c>
      <c r="L1608" t="s">
        <v>25</v>
      </c>
    </row>
    <row r="1609" spans="1:12" x14ac:dyDescent="0.25">
      <c r="A1609">
        <v>1608</v>
      </c>
      <c r="B1609">
        <v>40</v>
      </c>
      <c r="C1609" t="s">
        <v>12</v>
      </c>
      <c r="D1609" s="1">
        <v>45578</v>
      </c>
      <c r="E1609" s="1">
        <v>45585</v>
      </c>
      <c r="F1609" t="s">
        <v>28</v>
      </c>
      <c r="G1609" t="s">
        <v>23</v>
      </c>
      <c r="H1609">
        <v>7</v>
      </c>
      <c r="I1609" t="s">
        <v>15</v>
      </c>
      <c r="J1609">
        <v>4</v>
      </c>
      <c r="K1609" t="s">
        <v>21</v>
      </c>
      <c r="L1609" t="s">
        <v>25</v>
      </c>
    </row>
    <row r="1610" spans="1:12" x14ac:dyDescent="0.25">
      <c r="A1610">
        <v>1609</v>
      </c>
      <c r="B1610">
        <v>90</v>
      </c>
      <c r="C1610" t="s">
        <v>26</v>
      </c>
      <c r="D1610" s="1">
        <v>45386</v>
      </c>
      <c r="E1610" s="1">
        <v>45388</v>
      </c>
      <c r="F1610" t="s">
        <v>28</v>
      </c>
      <c r="G1610" t="s">
        <v>23</v>
      </c>
      <c r="H1610">
        <v>2</v>
      </c>
      <c r="I1610" t="s">
        <v>20</v>
      </c>
      <c r="J1610">
        <v>0</v>
      </c>
      <c r="K1610" t="s">
        <v>16</v>
      </c>
      <c r="L1610" t="s">
        <v>30</v>
      </c>
    </row>
    <row r="1611" spans="1:12" x14ac:dyDescent="0.25">
      <c r="A1611">
        <v>1610</v>
      </c>
      <c r="B1611">
        <v>76</v>
      </c>
      <c r="C1611" t="s">
        <v>12</v>
      </c>
      <c r="D1611" s="1">
        <v>45363</v>
      </c>
      <c r="E1611" s="1">
        <v>45369</v>
      </c>
      <c r="F1611" t="s">
        <v>28</v>
      </c>
      <c r="G1611" t="s">
        <v>14</v>
      </c>
      <c r="H1611">
        <v>6</v>
      </c>
      <c r="I1611" t="s">
        <v>15</v>
      </c>
      <c r="J1611">
        <v>4</v>
      </c>
      <c r="K1611" t="s">
        <v>21</v>
      </c>
      <c r="L1611" t="s">
        <v>22</v>
      </c>
    </row>
    <row r="1612" spans="1:12" x14ac:dyDescent="0.25">
      <c r="A1612">
        <v>1611</v>
      </c>
      <c r="B1612">
        <v>52</v>
      </c>
      <c r="C1612" t="s">
        <v>26</v>
      </c>
      <c r="D1612" s="1">
        <v>45594</v>
      </c>
      <c r="E1612" s="1">
        <v>45609</v>
      </c>
      <c r="F1612" t="s">
        <v>27</v>
      </c>
      <c r="G1612" t="s">
        <v>14</v>
      </c>
      <c r="H1612">
        <v>15</v>
      </c>
      <c r="I1612" t="s">
        <v>15</v>
      </c>
      <c r="J1612">
        <v>2</v>
      </c>
      <c r="K1612" t="s">
        <v>21</v>
      </c>
      <c r="L1612" t="s">
        <v>30</v>
      </c>
    </row>
    <row r="1613" spans="1:12" x14ac:dyDescent="0.25">
      <c r="A1613">
        <v>1612</v>
      </c>
      <c r="B1613">
        <v>75</v>
      </c>
      <c r="C1613" t="s">
        <v>26</v>
      </c>
      <c r="D1613" s="1">
        <v>45472</v>
      </c>
      <c r="E1613" s="1">
        <v>45482</v>
      </c>
      <c r="F1613" t="s">
        <v>31</v>
      </c>
      <c r="G1613" t="s">
        <v>19</v>
      </c>
      <c r="H1613">
        <v>10</v>
      </c>
      <c r="I1613" t="s">
        <v>15</v>
      </c>
      <c r="J1613">
        <v>1</v>
      </c>
      <c r="K1613" t="s">
        <v>24</v>
      </c>
      <c r="L1613" t="s">
        <v>30</v>
      </c>
    </row>
    <row r="1614" spans="1:12" x14ac:dyDescent="0.25">
      <c r="A1614">
        <v>1613</v>
      </c>
      <c r="B1614">
        <v>63</v>
      </c>
      <c r="C1614" t="s">
        <v>26</v>
      </c>
      <c r="D1614" s="1">
        <v>45594</v>
      </c>
      <c r="E1614" s="1">
        <v>45608</v>
      </c>
      <c r="F1614" t="s">
        <v>28</v>
      </c>
      <c r="G1614" t="s">
        <v>19</v>
      </c>
      <c r="H1614">
        <v>14</v>
      </c>
      <c r="I1614" t="s">
        <v>15</v>
      </c>
      <c r="J1614">
        <v>2</v>
      </c>
      <c r="K1614" t="s">
        <v>21</v>
      </c>
      <c r="L1614" t="s">
        <v>25</v>
      </c>
    </row>
    <row r="1615" spans="1:12" x14ac:dyDescent="0.25">
      <c r="A1615">
        <v>1614</v>
      </c>
      <c r="B1615">
        <v>26</v>
      </c>
      <c r="C1615" t="s">
        <v>26</v>
      </c>
      <c r="D1615" s="1">
        <v>45303</v>
      </c>
      <c r="E1615" s="1">
        <v>45315</v>
      </c>
      <c r="F1615" t="s">
        <v>28</v>
      </c>
      <c r="G1615" t="s">
        <v>14</v>
      </c>
      <c r="H1615">
        <v>12</v>
      </c>
      <c r="I1615" t="s">
        <v>15</v>
      </c>
      <c r="J1615">
        <v>3</v>
      </c>
      <c r="K1615" t="s">
        <v>21</v>
      </c>
      <c r="L1615" t="s">
        <v>25</v>
      </c>
    </row>
    <row r="1616" spans="1:12" x14ac:dyDescent="0.25">
      <c r="A1616">
        <v>1615</v>
      </c>
      <c r="B1616">
        <v>51</v>
      </c>
      <c r="C1616" t="s">
        <v>26</v>
      </c>
      <c r="D1616" s="1">
        <v>45505</v>
      </c>
      <c r="E1616" s="1">
        <v>45511</v>
      </c>
      <c r="F1616" t="s">
        <v>28</v>
      </c>
      <c r="G1616" t="s">
        <v>19</v>
      </c>
      <c r="H1616">
        <v>6</v>
      </c>
      <c r="I1616" t="s">
        <v>20</v>
      </c>
      <c r="J1616">
        <v>0</v>
      </c>
      <c r="K1616" t="s">
        <v>16</v>
      </c>
      <c r="L1616" t="s">
        <v>25</v>
      </c>
    </row>
    <row r="1617" spans="1:12" x14ac:dyDescent="0.25">
      <c r="A1617">
        <v>1616</v>
      </c>
      <c r="B1617">
        <v>60</v>
      </c>
      <c r="C1617" t="s">
        <v>26</v>
      </c>
      <c r="D1617" s="1">
        <v>45535</v>
      </c>
      <c r="E1617" s="1">
        <v>45542</v>
      </c>
      <c r="F1617" t="s">
        <v>31</v>
      </c>
      <c r="G1617" t="s">
        <v>14</v>
      </c>
      <c r="H1617">
        <v>7</v>
      </c>
      <c r="I1617" t="s">
        <v>15</v>
      </c>
      <c r="J1617">
        <v>1</v>
      </c>
      <c r="K1617" t="s">
        <v>21</v>
      </c>
      <c r="L1617" t="s">
        <v>17</v>
      </c>
    </row>
    <row r="1618" spans="1:12" x14ac:dyDescent="0.25">
      <c r="A1618">
        <v>1617</v>
      </c>
      <c r="B1618">
        <v>42</v>
      </c>
      <c r="C1618" t="s">
        <v>26</v>
      </c>
      <c r="D1618" s="1">
        <v>45564</v>
      </c>
      <c r="E1618" s="1">
        <v>45569</v>
      </c>
      <c r="F1618" t="s">
        <v>31</v>
      </c>
      <c r="G1618" t="s">
        <v>14</v>
      </c>
      <c r="H1618">
        <v>5</v>
      </c>
      <c r="I1618" t="s">
        <v>15</v>
      </c>
      <c r="J1618">
        <v>4</v>
      </c>
      <c r="K1618" t="s">
        <v>16</v>
      </c>
      <c r="L1618" t="s">
        <v>29</v>
      </c>
    </row>
    <row r="1619" spans="1:12" x14ac:dyDescent="0.25">
      <c r="A1619">
        <v>1618</v>
      </c>
      <c r="B1619">
        <v>65</v>
      </c>
      <c r="C1619" t="s">
        <v>26</v>
      </c>
      <c r="D1619" s="1">
        <v>45387</v>
      </c>
      <c r="E1619" s="1">
        <v>45393</v>
      </c>
      <c r="F1619" t="s">
        <v>28</v>
      </c>
      <c r="G1619" t="s">
        <v>14</v>
      </c>
      <c r="H1619">
        <v>6</v>
      </c>
      <c r="I1619" t="s">
        <v>15</v>
      </c>
      <c r="J1619">
        <v>1</v>
      </c>
      <c r="K1619" t="s">
        <v>21</v>
      </c>
      <c r="L1619" t="s">
        <v>25</v>
      </c>
    </row>
    <row r="1620" spans="1:12" x14ac:dyDescent="0.25">
      <c r="A1620">
        <v>1619</v>
      </c>
      <c r="B1620">
        <v>59</v>
      </c>
      <c r="C1620" t="s">
        <v>12</v>
      </c>
      <c r="D1620" s="1">
        <v>45443</v>
      </c>
      <c r="E1620" s="1">
        <v>45446</v>
      </c>
      <c r="F1620" t="s">
        <v>31</v>
      </c>
      <c r="G1620" t="s">
        <v>23</v>
      </c>
      <c r="H1620">
        <v>3</v>
      </c>
      <c r="I1620" t="s">
        <v>20</v>
      </c>
      <c r="J1620">
        <v>2</v>
      </c>
      <c r="K1620" t="s">
        <v>24</v>
      </c>
      <c r="L1620" t="s">
        <v>29</v>
      </c>
    </row>
    <row r="1621" spans="1:12" x14ac:dyDescent="0.25">
      <c r="A1621">
        <v>1620</v>
      </c>
      <c r="B1621">
        <v>64</v>
      </c>
      <c r="C1621" t="s">
        <v>12</v>
      </c>
      <c r="D1621" s="1">
        <v>45389</v>
      </c>
      <c r="E1621" s="1">
        <v>45404</v>
      </c>
      <c r="F1621" t="s">
        <v>27</v>
      </c>
      <c r="G1621" t="s">
        <v>19</v>
      </c>
      <c r="H1621">
        <v>15</v>
      </c>
      <c r="I1621" t="s">
        <v>15</v>
      </c>
      <c r="J1621">
        <v>0</v>
      </c>
      <c r="K1621" t="s">
        <v>21</v>
      </c>
      <c r="L1621" t="s">
        <v>25</v>
      </c>
    </row>
    <row r="1622" spans="1:12" x14ac:dyDescent="0.25">
      <c r="A1622">
        <v>1621</v>
      </c>
      <c r="B1622">
        <v>88</v>
      </c>
      <c r="C1622" t="s">
        <v>12</v>
      </c>
      <c r="D1622" s="1">
        <v>45418</v>
      </c>
      <c r="E1622" s="1">
        <v>45429</v>
      </c>
      <c r="F1622" t="s">
        <v>13</v>
      </c>
      <c r="G1622" t="s">
        <v>23</v>
      </c>
      <c r="H1622">
        <v>11</v>
      </c>
      <c r="I1622" t="s">
        <v>15</v>
      </c>
      <c r="J1622">
        <v>2</v>
      </c>
      <c r="K1622" t="s">
        <v>21</v>
      </c>
      <c r="L1622" t="s">
        <v>29</v>
      </c>
    </row>
    <row r="1623" spans="1:12" x14ac:dyDescent="0.25">
      <c r="A1623">
        <v>1622</v>
      </c>
      <c r="B1623">
        <v>55</v>
      </c>
      <c r="C1623" t="s">
        <v>12</v>
      </c>
      <c r="D1623" s="1">
        <v>45557</v>
      </c>
      <c r="E1623" s="1">
        <v>45566</v>
      </c>
      <c r="F1623" t="s">
        <v>31</v>
      </c>
      <c r="G1623" t="s">
        <v>23</v>
      </c>
      <c r="H1623">
        <v>9</v>
      </c>
      <c r="I1623" t="s">
        <v>15</v>
      </c>
      <c r="J1623">
        <v>2</v>
      </c>
      <c r="K1623" t="s">
        <v>24</v>
      </c>
      <c r="L1623" t="s">
        <v>30</v>
      </c>
    </row>
    <row r="1624" spans="1:12" x14ac:dyDescent="0.25">
      <c r="A1624">
        <v>1623</v>
      </c>
      <c r="B1624">
        <v>46</v>
      </c>
      <c r="C1624" t="s">
        <v>26</v>
      </c>
      <c r="D1624" s="1">
        <v>45446</v>
      </c>
      <c r="E1624" s="1">
        <v>45449</v>
      </c>
      <c r="F1624" t="s">
        <v>28</v>
      </c>
      <c r="G1624" t="s">
        <v>19</v>
      </c>
      <c r="H1624">
        <v>3</v>
      </c>
      <c r="I1624" t="s">
        <v>15</v>
      </c>
      <c r="J1624">
        <v>0</v>
      </c>
      <c r="K1624" t="s">
        <v>21</v>
      </c>
      <c r="L1624" t="s">
        <v>22</v>
      </c>
    </row>
    <row r="1625" spans="1:12" x14ac:dyDescent="0.25">
      <c r="A1625">
        <v>1624</v>
      </c>
      <c r="B1625">
        <v>32</v>
      </c>
      <c r="C1625" t="s">
        <v>26</v>
      </c>
      <c r="D1625" s="1">
        <v>45560</v>
      </c>
      <c r="E1625" s="1">
        <v>45566</v>
      </c>
      <c r="F1625" t="s">
        <v>31</v>
      </c>
      <c r="G1625" t="s">
        <v>19</v>
      </c>
      <c r="H1625">
        <v>6</v>
      </c>
      <c r="I1625" t="s">
        <v>15</v>
      </c>
      <c r="J1625">
        <v>1</v>
      </c>
      <c r="K1625" t="s">
        <v>21</v>
      </c>
      <c r="L1625" t="s">
        <v>17</v>
      </c>
    </row>
    <row r="1626" spans="1:12" x14ac:dyDescent="0.25">
      <c r="A1626">
        <v>1625</v>
      </c>
      <c r="B1626">
        <v>46</v>
      </c>
      <c r="C1626" t="s">
        <v>26</v>
      </c>
      <c r="D1626" s="1">
        <v>45475</v>
      </c>
      <c r="E1626" s="1">
        <v>45489</v>
      </c>
      <c r="F1626" t="s">
        <v>28</v>
      </c>
      <c r="G1626" t="s">
        <v>19</v>
      </c>
      <c r="H1626">
        <v>14</v>
      </c>
      <c r="I1626" t="s">
        <v>20</v>
      </c>
      <c r="J1626">
        <v>4</v>
      </c>
      <c r="K1626" t="s">
        <v>21</v>
      </c>
      <c r="L1626" t="s">
        <v>22</v>
      </c>
    </row>
    <row r="1627" spans="1:12" x14ac:dyDescent="0.25">
      <c r="A1627">
        <v>1626</v>
      </c>
      <c r="B1627">
        <v>84</v>
      </c>
      <c r="C1627" t="s">
        <v>26</v>
      </c>
      <c r="D1627" s="1">
        <v>45609</v>
      </c>
      <c r="E1627" s="1">
        <v>45620</v>
      </c>
      <c r="F1627" t="s">
        <v>27</v>
      </c>
      <c r="G1627" t="s">
        <v>23</v>
      </c>
      <c r="H1627">
        <v>11</v>
      </c>
      <c r="I1627" t="s">
        <v>15</v>
      </c>
      <c r="J1627">
        <v>2</v>
      </c>
      <c r="K1627" t="s">
        <v>16</v>
      </c>
      <c r="L1627" t="s">
        <v>30</v>
      </c>
    </row>
    <row r="1628" spans="1:12" x14ac:dyDescent="0.25">
      <c r="A1628">
        <v>1627</v>
      </c>
      <c r="B1628">
        <v>69</v>
      </c>
      <c r="C1628" t="s">
        <v>12</v>
      </c>
      <c r="D1628" s="1">
        <v>45574</v>
      </c>
      <c r="E1628" s="1">
        <v>45577</v>
      </c>
      <c r="F1628" t="s">
        <v>18</v>
      </c>
      <c r="G1628" t="s">
        <v>14</v>
      </c>
      <c r="H1628">
        <v>3</v>
      </c>
      <c r="I1628" t="s">
        <v>15</v>
      </c>
      <c r="J1628">
        <v>1</v>
      </c>
      <c r="K1628" t="s">
        <v>21</v>
      </c>
      <c r="L1628" t="s">
        <v>22</v>
      </c>
    </row>
    <row r="1629" spans="1:12" x14ac:dyDescent="0.25">
      <c r="A1629">
        <v>1628</v>
      </c>
      <c r="B1629">
        <v>79</v>
      </c>
      <c r="C1629" t="s">
        <v>26</v>
      </c>
      <c r="D1629" s="1">
        <v>45474</v>
      </c>
      <c r="E1629" s="1">
        <v>45483</v>
      </c>
      <c r="F1629" t="s">
        <v>18</v>
      </c>
      <c r="G1629" t="s">
        <v>23</v>
      </c>
      <c r="H1629">
        <v>9</v>
      </c>
      <c r="I1629" t="s">
        <v>15</v>
      </c>
      <c r="J1629">
        <v>4</v>
      </c>
      <c r="K1629" t="s">
        <v>21</v>
      </c>
      <c r="L1629" t="s">
        <v>29</v>
      </c>
    </row>
    <row r="1630" spans="1:12" x14ac:dyDescent="0.25">
      <c r="A1630">
        <v>1629</v>
      </c>
      <c r="B1630">
        <v>30</v>
      </c>
      <c r="C1630" t="s">
        <v>12</v>
      </c>
      <c r="D1630" s="1">
        <v>45313</v>
      </c>
      <c r="E1630" s="1">
        <v>45327</v>
      </c>
      <c r="F1630" t="s">
        <v>18</v>
      </c>
      <c r="G1630" t="s">
        <v>19</v>
      </c>
      <c r="H1630">
        <v>14</v>
      </c>
      <c r="I1630" t="s">
        <v>15</v>
      </c>
      <c r="J1630">
        <v>1</v>
      </c>
      <c r="K1630" t="s">
        <v>21</v>
      </c>
      <c r="L1630" t="s">
        <v>17</v>
      </c>
    </row>
    <row r="1631" spans="1:12" x14ac:dyDescent="0.25">
      <c r="A1631">
        <v>1630</v>
      </c>
      <c r="B1631">
        <v>42</v>
      </c>
      <c r="C1631" t="s">
        <v>26</v>
      </c>
      <c r="D1631" s="1">
        <v>45563</v>
      </c>
      <c r="E1631" s="1">
        <v>45573</v>
      </c>
      <c r="F1631" t="s">
        <v>31</v>
      </c>
      <c r="G1631" t="s">
        <v>19</v>
      </c>
      <c r="H1631">
        <v>10</v>
      </c>
      <c r="I1631" t="s">
        <v>15</v>
      </c>
      <c r="J1631">
        <v>4</v>
      </c>
      <c r="K1631" t="s">
        <v>21</v>
      </c>
      <c r="L1631" t="s">
        <v>29</v>
      </c>
    </row>
    <row r="1632" spans="1:12" x14ac:dyDescent="0.25">
      <c r="A1632">
        <v>1631</v>
      </c>
      <c r="B1632">
        <v>28</v>
      </c>
      <c r="C1632" t="s">
        <v>12</v>
      </c>
      <c r="D1632" s="1">
        <v>45397</v>
      </c>
      <c r="E1632" s="1">
        <v>45409</v>
      </c>
      <c r="F1632" t="s">
        <v>13</v>
      </c>
      <c r="G1632" t="s">
        <v>14</v>
      </c>
      <c r="H1632">
        <v>12</v>
      </c>
      <c r="I1632" t="s">
        <v>20</v>
      </c>
      <c r="J1632">
        <v>2</v>
      </c>
      <c r="K1632" t="s">
        <v>16</v>
      </c>
      <c r="L1632" t="s">
        <v>22</v>
      </c>
    </row>
    <row r="1633" spans="1:12" x14ac:dyDescent="0.25">
      <c r="A1633">
        <v>1632</v>
      </c>
      <c r="B1633">
        <v>32</v>
      </c>
      <c r="C1633" t="s">
        <v>26</v>
      </c>
      <c r="D1633" s="1">
        <v>45482</v>
      </c>
      <c r="E1633" s="1">
        <v>45492</v>
      </c>
      <c r="F1633" t="s">
        <v>27</v>
      </c>
      <c r="G1633" t="s">
        <v>23</v>
      </c>
      <c r="H1633">
        <v>10</v>
      </c>
      <c r="I1633" t="s">
        <v>15</v>
      </c>
      <c r="J1633">
        <v>3</v>
      </c>
      <c r="K1633" t="s">
        <v>21</v>
      </c>
      <c r="L1633" t="s">
        <v>30</v>
      </c>
    </row>
    <row r="1634" spans="1:12" x14ac:dyDescent="0.25">
      <c r="A1634">
        <v>1633</v>
      </c>
      <c r="B1634">
        <v>79</v>
      </c>
      <c r="C1634" t="s">
        <v>26</v>
      </c>
      <c r="D1634" s="1">
        <v>45328</v>
      </c>
      <c r="E1634" s="1">
        <v>45338</v>
      </c>
      <c r="F1634" t="s">
        <v>31</v>
      </c>
      <c r="G1634" t="s">
        <v>14</v>
      </c>
      <c r="H1634">
        <v>10</v>
      </c>
      <c r="I1634" t="s">
        <v>15</v>
      </c>
      <c r="J1634">
        <v>0</v>
      </c>
      <c r="K1634" t="s">
        <v>24</v>
      </c>
      <c r="L1634" t="s">
        <v>25</v>
      </c>
    </row>
    <row r="1635" spans="1:12" x14ac:dyDescent="0.25">
      <c r="A1635">
        <v>1634</v>
      </c>
      <c r="B1635">
        <v>43</v>
      </c>
      <c r="C1635" t="s">
        <v>12</v>
      </c>
      <c r="D1635" s="1">
        <v>45536</v>
      </c>
      <c r="E1635" s="1">
        <v>45545</v>
      </c>
      <c r="F1635" t="s">
        <v>31</v>
      </c>
      <c r="G1635" t="s">
        <v>19</v>
      </c>
      <c r="H1635">
        <v>9</v>
      </c>
      <c r="I1635" t="s">
        <v>15</v>
      </c>
      <c r="J1635">
        <v>0</v>
      </c>
      <c r="K1635" t="s">
        <v>24</v>
      </c>
      <c r="L1635" t="s">
        <v>30</v>
      </c>
    </row>
    <row r="1636" spans="1:12" x14ac:dyDescent="0.25">
      <c r="A1636">
        <v>1635</v>
      </c>
      <c r="B1636">
        <v>89</v>
      </c>
      <c r="C1636" t="s">
        <v>26</v>
      </c>
      <c r="D1636" s="1">
        <v>45649</v>
      </c>
      <c r="E1636" s="1">
        <v>45663</v>
      </c>
      <c r="F1636" t="s">
        <v>31</v>
      </c>
      <c r="G1636" t="s">
        <v>14</v>
      </c>
      <c r="H1636">
        <v>14</v>
      </c>
      <c r="I1636" t="s">
        <v>15</v>
      </c>
      <c r="J1636">
        <v>4</v>
      </c>
      <c r="K1636" t="s">
        <v>21</v>
      </c>
      <c r="L1636" t="s">
        <v>25</v>
      </c>
    </row>
    <row r="1637" spans="1:12" x14ac:dyDescent="0.25">
      <c r="A1637">
        <v>1636</v>
      </c>
      <c r="B1637">
        <v>81</v>
      </c>
      <c r="C1637" t="s">
        <v>26</v>
      </c>
      <c r="D1637" s="1">
        <v>45434</v>
      </c>
      <c r="E1637" s="1">
        <v>45437</v>
      </c>
      <c r="F1637" t="s">
        <v>13</v>
      </c>
      <c r="G1637" t="s">
        <v>14</v>
      </c>
      <c r="H1637">
        <v>3</v>
      </c>
      <c r="I1637" t="s">
        <v>15</v>
      </c>
      <c r="J1637">
        <v>4</v>
      </c>
      <c r="K1637" t="s">
        <v>21</v>
      </c>
      <c r="L1637" t="s">
        <v>29</v>
      </c>
    </row>
    <row r="1638" spans="1:12" x14ac:dyDescent="0.25">
      <c r="A1638">
        <v>1637</v>
      </c>
      <c r="B1638">
        <v>39</v>
      </c>
      <c r="C1638" t="s">
        <v>26</v>
      </c>
      <c r="D1638" s="1">
        <v>45457</v>
      </c>
      <c r="E1638" s="1">
        <v>45464</v>
      </c>
      <c r="F1638" t="s">
        <v>13</v>
      </c>
      <c r="G1638" t="s">
        <v>19</v>
      </c>
      <c r="H1638">
        <v>7</v>
      </c>
      <c r="I1638" t="s">
        <v>15</v>
      </c>
      <c r="J1638">
        <v>1</v>
      </c>
      <c r="K1638" t="s">
        <v>24</v>
      </c>
      <c r="L1638" t="s">
        <v>22</v>
      </c>
    </row>
    <row r="1639" spans="1:12" x14ac:dyDescent="0.25">
      <c r="A1639">
        <v>1638</v>
      </c>
      <c r="B1639">
        <v>64</v>
      </c>
      <c r="C1639" t="s">
        <v>26</v>
      </c>
      <c r="D1639" s="1">
        <v>45406</v>
      </c>
      <c r="E1639" s="1">
        <v>45408</v>
      </c>
      <c r="F1639" t="s">
        <v>18</v>
      </c>
      <c r="G1639" t="s">
        <v>23</v>
      </c>
      <c r="H1639">
        <v>2</v>
      </c>
      <c r="I1639" t="s">
        <v>15</v>
      </c>
      <c r="J1639">
        <v>4</v>
      </c>
      <c r="K1639" t="s">
        <v>24</v>
      </c>
      <c r="L1639" t="s">
        <v>29</v>
      </c>
    </row>
    <row r="1640" spans="1:12" x14ac:dyDescent="0.25">
      <c r="A1640">
        <v>1639</v>
      </c>
      <c r="B1640">
        <v>64</v>
      </c>
      <c r="C1640" t="s">
        <v>12</v>
      </c>
      <c r="D1640" s="1">
        <v>45556</v>
      </c>
      <c r="E1640" s="1">
        <v>45564</v>
      </c>
      <c r="F1640" t="s">
        <v>27</v>
      </c>
      <c r="G1640" t="s">
        <v>23</v>
      </c>
      <c r="H1640">
        <v>8</v>
      </c>
      <c r="I1640" t="s">
        <v>20</v>
      </c>
      <c r="J1640">
        <v>0</v>
      </c>
      <c r="K1640" t="s">
        <v>16</v>
      </c>
      <c r="L1640" t="s">
        <v>29</v>
      </c>
    </row>
    <row r="1641" spans="1:12" x14ac:dyDescent="0.25">
      <c r="A1641">
        <v>1640</v>
      </c>
      <c r="B1641">
        <v>78</v>
      </c>
      <c r="C1641" t="s">
        <v>26</v>
      </c>
      <c r="D1641" s="1">
        <v>45630</v>
      </c>
      <c r="E1641" s="1">
        <v>45635</v>
      </c>
      <c r="F1641" t="s">
        <v>18</v>
      </c>
      <c r="G1641" t="s">
        <v>19</v>
      </c>
      <c r="H1641">
        <v>5</v>
      </c>
      <c r="I1641" t="s">
        <v>15</v>
      </c>
      <c r="J1641">
        <v>3</v>
      </c>
      <c r="K1641" t="s">
        <v>24</v>
      </c>
      <c r="L1641" t="s">
        <v>17</v>
      </c>
    </row>
    <row r="1642" spans="1:12" x14ac:dyDescent="0.25">
      <c r="A1642">
        <v>1641</v>
      </c>
      <c r="B1642">
        <v>66</v>
      </c>
      <c r="C1642" t="s">
        <v>26</v>
      </c>
      <c r="D1642" s="1">
        <v>45611</v>
      </c>
      <c r="E1642" s="1">
        <v>45616</v>
      </c>
      <c r="F1642" t="s">
        <v>13</v>
      </c>
      <c r="G1642" t="s">
        <v>14</v>
      </c>
      <c r="H1642">
        <v>5</v>
      </c>
      <c r="I1642" t="s">
        <v>15</v>
      </c>
      <c r="J1642">
        <v>3</v>
      </c>
      <c r="K1642" t="s">
        <v>16</v>
      </c>
      <c r="L1642" t="s">
        <v>25</v>
      </c>
    </row>
    <row r="1643" spans="1:12" x14ac:dyDescent="0.25">
      <c r="A1643">
        <v>1642</v>
      </c>
      <c r="B1643">
        <v>63</v>
      </c>
      <c r="C1643" t="s">
        <v>26</v>
      </c>
      <c r="D1643" s="1">
        <v>45422</v>
      </c>
      <c r="E1643" s="1">
        <v>45434</v>
      </c>
      <c r="F1643" t="s">
        <v>28</v>
      </c>
      <c r="G1643" t="s">
        <v>14</v>
      </c>
      <c r="H1643">
        <v>12</v>
      </c>
      <c r="I1643" t="s">
        <v>15</v>
      </c>
      <c r="J1643">
        <v>4</v>
      </c>
      <c r="K1643" t="s">
        <v>21</v>
      </c>
      <c r="L1643" t="s">
        <v>30</v>
      </c>
    </row>
    <row r="1644" spans="1:12" x14ac:dyDescent="0.25">
      <c r="A1644">
        <v>1643</v>
      </c>
      <c r="B1644">
        <v>45</v>
      </c>
      <c r="C1644" t="s">
        <v>26</v>
      </c>
      <c r="D1644" s="1">
        <v>45336</v>
      </c>
      <c r="E1644" s="1">
        <v>45339</v>
      </c>
      <c r="F1644" t="s">
        <v>18</v>
      </c>
      <c r="G1644" t="s">
        <v>23</v>
      </c>
      <c r="H1644">
        <v>3</v>
      </c>
      <c r="I1644" t="s">
        <v>15</v>
      </c>
      <c r="J1644">
        <v>0</v>
      </c>
      <c r="K1644" t="s">
        <v>24</v>
      </c>
      <c r="L1644" t="s">
        <v>22</v>
      </c>
    </row>
    <row r="1645" spans="1:12" x14ac:dyDescent="0.25">
      <c r="A1645">
        <v>1644</v>
      </c>
      <c r="B1645">
        <v>77</v>
      </c>
      <c r="C1645" t="s">
        <v>26</v>
      </c>
      <c r="D1645" s="1">
        <v>45469</v>
      </c>
      <c r="E1645" s="1">
        <v>45481</v>
      </c>
      <c r="F1645" t="s">
        <v>18</v>
      </c>
      <c r="G1645" t="s">
        <v>19</v>
      </c>
      <c r="H1645">
        <v>12</v>
      </c>
      <c r="I1645" t="s">
        <v>15</v>
      </c>
      <c r="J1645">
        <v>1</v>
      </c>
      <c r="K1645" t="s">
        <v>16</v>
      </c>
      <c r="L1645" t="s">
        <v>17</v>
      </c>
    </row>
    <row r="1646" spans="1:12" x14ac:dyDescent="0.25">
      <c r="A1646">
        <v>1645</v>
      </c>
      <c r="B1646">
        <v>77</v>
      </c>
      <c r="C1646" t="s">
        <v>26</v>
      </c>
      <c r="D1646" s="1">
        <v>45386</v>
      </c>
      <c r="E1646" s="1">
        <v>45398</v>
      </c>
      <c r="F1646" t="s">
        <v>13</v>
      </c>
      <c r="G1646" t="s">
        <v>23</v>
      </c>
      <c r="H1646">
        <v>12</v>
      </c>
      <c r="I1646" t="s">
        <v>20</v>
      </c>
      <c r="J1646">
        <v>2</v>
      </c>
      <c r="K1646" t="s">
        <v>21</v>
      </c>
      <c r="L1646" t="s">
        <v>17</v>
      </c>
    </row>
    <row r="1647" spans="1:12" x14ac:dyDescent="0.25">
      <c r="A1647">
        <v>1646</v>
      </c>
      <c r="B1647">
        <v>48</v>
      </c>
      <c r="C1647" t="s">
        <v>12</v>
      </c>
      <c r="D1647" s="1">
        <v>45638</v>
      </c>
      <c r="E1647" s="1">
        <v>45645</v>
      </c>
      <c r="F1647" t="s">
        <v>18</v>
      </c>
      <c r="G1647" t="s">
        <v>23</v>
      </c>
      <c r="H1647">
        <v>7</v>
      </c>
      <c r="I1647" t="s">
        <v>20</v>
      </c>
      <c r="J1647">
        <v>0</v>
      </c>
      <c r="K1647" t="s">
        <v>24</v>
      </c>
      <c r="L1647" t="s">
        <v>25</v>
      </c>
    </row>
    <row r="1648" spans="1:12" x14ac:dyDescent="0.25">
      <c r="A1648">
        <v>1647</v>
      </c>
      <c r="B1648">
        <v>86</v>
      </c>
      <c r="C1648" t="s">
        <v>26</v>
      </c>
      <c r="D1648" s="1">
        <v>45301</v>
      </c>
      <c r="E1648" s="1">
        <v>45303</v>
      </c>
      <c r="F1648" t="s">
        <v>13</v>
      </c>
      <c r="G1648" t="s">
        <v>23</v>
      </c>
      <c r="H1648">
        <v>2</v>
      </c>
      <c r="I1648" t="s">
        <v>15</v>
      </c>
      <c r="J1648">
        <v>3</v>
      </c>
      <c r="K1648" t="s">
        <v>21</v>
      </c>
      <c r="L1648" t="s">
        <v>29</v>
      </c>
    </row>
    <row r="1649" spans="1:12" x14ac:dyDescent="0.25">
      <c r="A1649">
        <v>1648</v>
      </c>
      <c r="B1649">
        <v>29</v>
      </c>
      <c r="C1649" t="s">
        <v>12</v>
      </c>
      <c r="D1649" s="1">
        <v>45645</v>
      </c>
      <c r="E1649" s="1">
        <v>45651</v>
      </c>
      <c r="F1649" t="s">
        <v>28</v>
      </c>
      <c r="G1649" t="s">
        <v>14</v>
      </c>
      <c r="H1649">
        <v>6</v>
      </c>
      <c r="I1649" t="s">
        <v>15</v>
      </c>
      <c r="J1649">
        <v>1</v>
      </c>
      <c r="K1649" t="s">
        <v>21</v>
      </c>
      <c r="L1649" t="s">
        <v>25</v>
      </c>
    </row>
    <row r="1650" spans="1:12" x14ac:dyDescent="0.25">
      <c r="A1650">
        <v>1649</v>
      </c>
      <c r="B1650">
        <v>36</v>
      </c>
      <c r="C1650" t="s">
        <v>26</v>
      </c>
      <c r="D1650" s="1">
        <v>45553</v>
      </c>
      <c r="E1650" s="1">
        <v>45566</v>
      </c>
      <c r="F1650" t="s">
        <v>31</v>
      </c>
      <c r="G1650" t="s">
        <v>23</v>
      </c>
      <c r="H1650">
        <v>13</v>
      </c>
      <c r="I1650" t="s">
        <v>20</v>
      </c>
      <c r="J1650">
        <v>3</v>
      </c>
      <c r="K1650" t="s">
        <v>21</v>
      </c>
      <c r="L1650" t="s">
        <v>25</v>
      </c>
    </row>
    <row r="1651" spans="1:12" x14ac:dyDescent="0.25">
      <c r="A1651">
        <v>1650</v>
      </c>
      <c r="B1651">
        <v>22</v>
      </c>
      <c r="C1651" t="s">
        <v>12</v>
      </c>
      <c r="D1651" s="1">
        <v>45305</v>
      </c>
      <c r="E1651" s="1">
        <v>45313</v>
      </c>
      <c r="F1651" t="s">
        <v>13</v>
      </c>
      <c r="G1651" t="s">
        <v>14</v>
      </c>
      <c r="H1651">
        <v>8</v>
      </c>
      <c r="I1651" t="s">
        <v>15</v>
      </c>
      <c r="J1651">
        <v>0</v>
      </c>
      <c r="K1651" t="s">
        <v>16</v>
      </c>
      <c r="L1651" t="s">
        <v>30</v>
      </c>
    </row>
    <row r="1652" spans="1:12" x14ac:dyDescent="0.25">
      <c r="A1652">
        <v>1651</v>
      </c>
      <c r="B1652">
        <v>39</v>
      </c>
      <c r="C1652" t="s">
        <v>26</v>
      </c>
      <c r="D1652" s="1">
        <v>45313</v>
      </c>
      <c r="E1652" s="1">
        <v>45326</v>
      </c>
      <c r="F1652" t="s">
        <v>13</v>
      </c>
      <c r="G1652" t="s">
        <v>14</v>
      </c>
      <c r="H1652">
        <v>13</v>
      </c>
      <c r="I1652" t="s">
        <v>15</v>
      </c>
      <c r="J1652">
        <v>2</v>
      </c>
      <c r="K1652" t="s">
        <v>16</v>
      </c>
      <c r="L1652" t="s">
        <v>30</v>
      </c>
    </row>
    <row r="1653" spans="1:12" x14ac:dyDescent="0.25">
      <c r="A1653">
        <v>1652</v>
      </c>
      <c r="B1653">
        <v>80</v>
      </c>
      <c r="C1653" t="s">
        <v>12</v>
      </c>
      <c r="D1653" s="1">
        <v>45400</v>
      </c>
      <c r="E1653" s="1">
        <v>45404</v>
      </c>
      <c r="F1653" t="s">
        <v>27</v>
      </c>
      <c r="G1653" t="s">
        <v>14</v>
      </c>
      <c r="H1653">
        <v>4</v>
      </c>
      <c r="I1653" t="s">
        <v>15</v>
      </c>
      <c r="J1653">
        <v>3</v>
      </c>
      <c r="K1653" t="s">
        <v>16</v>
      </c>
      <c r="L1653" t="s">
        <v>17</v>
      </c>
    </row>
    <row r="1654" spans="1:12" x14ac:dyDescent="0.25">
      <c r="A1654">
        <v>1653</v>
      </c>
      <c r="B1654">
        <v>24</v>
      </c>
      <c r="C1654" t="s">
        <v>12</v>
      </c>
      <c r="D1654" s="1">
        <v>45335</v>
      </c>
      <c r="E1654" s="1">
        <v>45348</v>
      </c>
      <c r="F1654" t="s">
        <v>18</v>
      </c>
      <c r="G1654" t="s">
        <v>19</v>
      </c>
      <c r="H1654">
        <v>13</v>
      </c>
      <c r="I1654" t="s">
        <v>15</v>
      </c>
      <c r="J1654">
        <v>3</v>
      </c>
      <c r="K1654" t="s">
        <v>24</v>
      </c>
      <c r="L1654" t="s">
        <v>29</v>
      </c>
    </row>
    <row r="1655" spans="1:12" x14ac:dyDescent="0.25">
      <c r="A1655">
        <v>1654</v>
      </c>
      <c r="B1655">
        <v>55</v>
      </c>
      <c r="C1655" t="s">
        <v>26</v>
      </c>
      <c r="D1655" s="1">
        <v>45511</v>
      </c>
      <c r="E1655" s="1">
        <v>45524</v>
      </c>
      <c r="F1655" t="s">
        <v>31</v>
      </c>
      <c r="G1655" t="s">
        <v>23</v>
      </c>
      <c r="H1655">
        <v>13</v>
      </c>
      <c r="I1655" t="s">
        <v>20</v>
      </c>
      <c r="J1655">
        <v>2</v>
      </c>
      <c r="K1655" t="s">
        <v>21</v>
      </c>
      <c r="L1655" t="s">
        <v>25</v>
      </c>
    </row>
    <row r="1656" spans="1:12" x14ac:dyDescent="0.25">
      <c r="A1656">
        <v>1655</v>
      </c>
      <c r="B1656">
        <v>80</v>
      </c>
      <c r="C1656" t="s">
        <v>12</v>
      </c>
      <c r="D1656" s="1">
        <v>45460</v>
      </c>
      <c r="E1656" s="1">
        <v>45469</v>
      </c>
      <c r="F1656" t="s">
        <v>13</v>
      </c>
      <c r="G1656" t="s">
        <v>14</v>
      </c>
      <c r="H1656">
        <v>9</v>
      </c>
      <c r="I1656" t="s">
        <v>20</v>
      </c>
      <c r="J1656">
        <v>4</v>
      </c>
      <c r="K1656" t="s">
        <v>21</v>
      </c>
      <c r="L1656" t="s">
        <v>30</v>
      </c>
    </row>
    <row r="1657" spans="1:12" x14ac:dyDescent="0.25">
      <c r="A1657">
        <v>1656</v>
      </c>
      <c r="B1657">
        <v>39</v>
      </c>
      <c r="C1657" t="s">
        <v>12</v>
      </c>
      <c r="D1657" s="1">
        <v>45431</v>
      </c>
      <c r="E1657" s="1">
        <v>45445</v>
      </c>
      <c r="F1657" t="s">
        <v>31</v>
      </c>
      <c r="G1657" t="s">
        <v>23</v>
      </c>
      <c r="H1657">
        <v>14</v>
      </c>
      <c r="I1657" t="s">
        <v>15</v>
      </c>
      <c r="J1657">
        <v>4</v>
      </c>
      <c r="K1657" t="s">
        <v>21</v>
      </c>
      <c r="L1657" t="s">
        <v>25</v>
      </c>
    </row>
    <row r="1658" spans="1:12" x14ac:dyDescent="0.25">
      <c r="A1658">
        <v>1657</v>
      </c>
      <c r="B1658">
        <v>35</v>
      </c>
      <c r="C1658" t="s">
        <v>12</v>
      </c>
      <c r="D1658" s="1">
        <v>45371</v>
      </c>
      <c r="E1658" s="1">
        <v>45382</v>
      </c>
      <c r="F1658" t="s">
        <v>18</v>
      </c>
      <c r="G1658" t="s">
        <v>23</v>
      </c>
      <c r="H1658">
        <v>11</v>
      </c>
      <c r="I1658" t="s">
        <v>15</v>
      </c>
      <c r="J1658">
        <v>2</v>
      </c>
      <c r="K1658" t="s">
        <v>16</v>
      </c>
      <c r="L1658" t="s">
        <v>29</v>
      </c>
    </row>
    <row r="1659" spans="1:12" x14ac:dyDescent="0.25">
      <c r="A1659">
        <v>1658</v>
      </c>
      <c r="B1659">
        <v>64</v>
      </c>
      <c r="C1659" t="s">
        <v>26</v>
      </c>
      <c r="D1659" s="1">
        <v>45438</v>
      </c>
      <c r="E1659" s="1">
        <v>45441</v>
      </c>
      <c r="F1659" t="s">
        <v>18</v>
      </c>
      <c r="G1659" t="s">
        <v>19</v>
      </c>
      <c r="H1659">
        <v>3</v>
      </c>
      <c r="I1659" t="s">
        <v>15</v>
      </c>
      <c r="J1659">
        <v>3</v>
      </c>
      <c r="K1659" t="s">
        <v>21</v>
      </c>
      <c r="L1659" t="s">
        <v>29</v>
      </c>
    </row>
    <row r="1660" spans="1:12" x14ac:dyDescent="0.25">
      <c r="A1660">
        <v>1659</v>
      </c>
      <c r="B1660">
        <v>32</v>
      </c>
      <c r="C1660" t="s">
        <v>12</v>
      </c>
      <c r="D1660" s="1">
        <v>45500</v>
      </c>
      <c r="E1660" s="1">
        <v>45509</v>
      </c>
      <c r="F1660" t="s">
        <v>13</v>
      </c>
      <c r="G1660" t="s">
        <v>23</v>
      </c>
      <c r="H1660">
        <v>9</v>
      </c>
      <c r="I1660" t="s">
        <v>20</v>
      </c>
      <c r="J1660">
        <v>0</v>
      </c>
      <c r="K1660" t="s">
        <v>24</v>
      </c>
      <c r="L1660" t="s">
        <v>30</v>
      </c>
    </row>
    <row r="1661" spans="1:12" x14ac:dyDescent="0.25">
      <c r="A1661">
        <v>1660</v>
      </c>
      <c r="B1661">
        <v>63</v>
      </c>
      <c r="C1661" t="s">
        <v>26</v>
      </c>
      <c r="D1661" s="1">
        <v>45436</v>
      </c>
      <c r="E1661" s="1">
        <v>45439</v>
      </c>
      <c r="F1661" t="s">
        <v>18</v>
      </c>
      <c r="G1661" t="s">
        <v>14</v>
      </c>
      <c r="H1661">
        <v>3</v>
      </c>
      <c r="I1661" t="s">
        <v>15</v>
      </c>
      <c r="J1661">
        <v>2</v>
      </c>
      <c r="K1661" t="s">
        <v>16</v>
      </c>
      <c r="L1661" t="s">
        <v>30</v>
      </c>
    </row>
    <row r="1662" spans="1:12" x14ac:dyDescent="0.25">
      <c r="A1662">
        <v>1661</v>
      </c>
      <c r="B1662">
        <v>30</v>
      </c>
      <c r="C1662" t="s">
        <v>26</v>
      </c>
      <c r="D1662" s="1">
        <v>45422</v>
      </c>
      <c r="E1662" s="1">
        <v>45435</v>
      </c>
      <c r="F1662" t="s">
        <v>27</v>
      </c>
      <c r="G1662" t="s">
        <v>14</v>
      </c>
      <c r="H1662">
        <v>13</v>
      </c>
      <c r="I1662" t="s">
        <v>15</v>
      </c>
      <c r="J1662">
        <v>0</v>
      </c>
      <c r="K1662" t="s">
        <v>21</v>
      </c>
      <c r="L1662" t="s">
        <v>30</v>
      </c>
    </row>
    <row r="1663" spans="1:12" x14ac:dyDescent="0.25">
      <c r="A1663">
        <v>1662</v>
      </c>
      <c r="B1663">
        <v>47</v>
      </c>
      <c r="C1663" t="s">
        <v>12</v>
      </c>
      <c r="D1663" s="1">
        <v>45330</v>
      </c>
      <c r="E1663" s="1">
        <v>45338</v>
      </c>
      <c r="F1663" t="s">
        <v>31</v>
      </c>
      <c r="G1663" t="s">
        <v>23</v>
      </c>
      <c r="H1663">
        <v>8</v>
      </c>
      <c r="I1663" t="s">
        <v>20</v>
      </c>
      <c r="J1663">
        <v>1</v>
      </c>
      <c r="K1663" t="s">
        <v>16</v>
      </c>
      <c r="L1663" t="s">
        <v>30</v>
      </c>
    </row>
    <row r="1664" spans="1:12" x14ac:dyDescent="0.25">
      <c r="A1664">
        <v>1663</v>
      </c>
      <c r="B1664">
        <v>66</v>
      </c>
      <c r="C1664" t="s">
        <v>12</v>
      </c>
      <c r="D1664" s="1">
        <v>45403</v>
      </c>
      <c r="E1664" s="1">
        <v>45413</v>
      </c>
      <c r="F1664" t="s">
        <v>18</v>
      </c>
      <c r="G1664" t="s">
        <v>19</v>
      </c>
      <c r="H1664">
        <v>10</v>
      </c>
      <c r="I1664" t="s">
        <v>20</v>
      </c>
      <c r="J1664">
        <v>2</v>
      </c>
      <c r="K1664" t="s">
        <v>21</v>
      </c>
      <c r="L1664" t="s">
        <v>17</v>
      </c>
    </row>
    <row r="1665" spans="1:12" x14ac:dyDescent="0.25">
      <c r="A1665">
        <v>1664</v>
      </c>
      <c r="B1665">
        <v>58</v>
      </c>
      <c r="C1665" t="s">
        <v>12</v>
      </c>
      <c r="D1665" s="1">
        <v>45318</v>
      </c>
      <c r="E1665" s="1">
        <v>45331</v>
      </c>
      <c r="F1665" t="s">
        <v>28</v>
      </c>
      <c r="G1665" t="s">
        <v>23</v>
      </c>
      <c r="H1665">
        <v>13</v>
      </c>
      <c r="I1665" t="s">
        <v>15</v>
      </c>
      <c r="J1665">
        <v>2</v>
      </c>
      <c r="K1665" t="s">
        <v>21</v>
      </c>
      <c r="L1665" t="s">
        <v>29</v>
      </c>
    </row>
    <row r="1666" spans="1:12" x14ac:dyDescent="0.25">
      <c r="A1666">
        <v>1665</v>
      </c>
      <c r="B1666">
        <v>43</v>
      </c>
      <c r="C1666" t="s">
        <v>26</v>
      </c>
      <c r="D1666" s="1">
        <v>45382</v>
      </c>
      <c r="E1666" s="1">
        <v>45393</v>
      </c>
      <c r="F1666" t="s">
        <v>18</v>
      </c>
      <c r="G1666" t="s">
        <v>14</v>
      </c>
      <c r="H1666">
        <v>11</v>
      </c>
      <c r="I1666" t="s">
        <v>15</v>
      </c>
      <c r="J1666">
        <v>3</v>
      </c>
      <c r="K1666" t="s">
        <v>16</v>
      </c>
      <c r="L1666" t="s">
        <v>29</v>
      </c>
    </row>
    <row r="1667" spans="1:12" x14ac:dyDescent="0.25">
      <c r="A1667">
        <v>1666</v>
      </c>
      <c r="B1667">
        <v>89</v>
      </c>
      <c r="C1667" t="s">
        <v>12</v>
      </c>
      <c r="D1667" s="1">
        <v>45515</v>
      </c>
      <c r="E1667" s="1">
        <v>45523</v>
      </c>
      <c r="F1667" t="s">
        <v>27</v>
      </c>
      <c r="G1667" t="s">
        <v>23</v>
      </c>
      <c r="H1667">
        <v>8</v>
      </c>
      <c r="I1667" t="s">
        <v>15</v>
      </c>
      <c r="J1667">
        <v>2</v>
      </c>
      <c r="K1667" t="s">
        <v>16</v>
      </c>
      <c r="L1667" t="s">
        <v>29</v>
      </c>
    </row>
    <row r="1668" spans="1:12" x14ac:dyDescent="0.25">
      <c r="A1668">
        <v>1667</v>
      </c>
      <c r="B1668">
        <v>23</v>
      </c>
      <c r="C1668" t="s">
        <v>26</v>
      </c>
      <c r="D1668" s="1">
        <v>45434</v>
      </c>
      <c r="E1668" s="1">
        <v>45435</v>
      </c>
      <c r="F1668" t="s">
        <v>27</v>
      </c>
      <c r="G1668" t="s">
        <v>14</v>
      </c>
      <c r="H1668">
        <v>1</v>
      </c>
      <c r="I1668" t="s">
        <v>20</v>
      </c>
      <c r="J1668">
        <v>2</v>
      </c>
      <c r="K1668" t="s">
        <v>21</v>
      </c>
      <c r="L1668" t="s">
        <v>22</v>
      </c>
    </row>
    <row r="1669" spans="1:12" x14ac:dyDescent="0.25">
      <c r="A1669">
        <v>1668</v>
      </c>
      <c r="B1669">
        <v>41</v>
      </c>
      <c r="C1669" t="s">
        <v>26</v>
      </c>
      <c r="D1669" s="1">
        <v>45382</v>
      </c>
      <c r="E1669" s="1">
        <v>45394</v>
      </c>
      <c r="F1669" t="s">
        <v>13</v>
      </c>
      <c r="G1669" t="s">
        <v>23</v>
      </c>
      <c r="H1669">
        <v>12</v>
      </c>
      <c r="I1669" t="s">
        <v>15</v>
      </c>
      <c r="J1669">
        <v>2</v>
      </c>
      <c r="K1669" t="s">
        <v>24</v>
      </c>
      <c r="L1669" t="s">
        <v>17</v>
      </c>
    </row>
    <row r="1670" spans="1:12" x14ac:dyDescent="0.25">
      <c r="A1670">
        <v>1669</v>
      </c>
      <c r="B1670">
        <v>67</v>
      </c>
      <c r="C1670" t="s">
        <v>26</v>
      </c>
      <c r="D1670" s="1">
        <v>45577</v>
      </c>
      <c r="E1670" s="1">
        <v>45585</v>
      </c>
      <c r="F1670" t="s">
        <v>31</v>
      </c>
      <c r="G1670" t="s">
        <v>14</v>
      </c>
      <c r="H1670">
        <v>8</v>
      </c>
      <c r="I1670" t="s">
        <v>15</v>
      </c>
      <c r="J1670">
        <v>2</v>
      </c>
      <c r="K1670" t="s">
        <v>16</v>
      </c>
      <c r="L1670" t="s">
        <v>17</v>
      </c>
    </row>
    <row r="1671" spans="1:12" x14ac:dyDescent="0.25">
      <c r="A1671">
        <v>1670</v>
      </c>
      <c r="B1671">
        <v>70</v>
      </c>
      <c r="C1671" t="s">
        <v>26</v>
      </c>
      <c r="D1671" s="1">
        <v>45344</v>
      </c>
      <c r="E1671" s="1">
        <v>45357</v>
      </c>
      <c r="F1671" t="s">
        <v>13</v>
      </c>
      <c r="G1671" t="s">
        <v>23</v>
      </c>
      <c r="H1671">
        <v>13</v>
      </c>
      <c r="I1671" t="s">
        <v>15</v>
      </c>
      <c r="J1671">
        <v>3</v>
      </c>
      <c r="K1671" t="s">
        <v>24</v>
      </c>
      <c r="L1671" t="s">
        <v>22</v>
      </c>
    </row>
    <row r="1672" spans="1:12" x14ac:dyDescent="0.25">
      <c r="A1672">
        <v>1671</v>
      </c>
      <c r="B1672">
        <v>35</v>
      </c>
      <c r="C1672" t="s">
        <v>12</v>
      </c>
      <c r="D1672" s="1">
        <v>45499</v>
      </c>
      <c r="E1672" s="1">
        <v>45501</v>
      </c>
      <c r="F1672" t="s">
        <v>31</v>
      </c>
      <c r="G1672" t="s">
        <v>19</v>
      </c>
      <c r="H1672">
        <v>2</v>
      </c>
      <c r="I1672" t="s">
        <v>20</v>
      </c>
      <c r="J1672">
        <v>1</v>
      </c>
      <c r="K1672" t="s">
        <v>24</v>
      </c>
      <c r="L1672" t="s">
        <v>17</v>
      </c>
    </row>
    <row r="1673" spans="1:12" x14ac:dyDescent="0.25">
      <c r="A1673">
        <v>1672</v>
      </c>
      <c r="B1673">
        <v>33</v>
      </c>
      <c r="C1673" t="s">
        <v>12</v>
      </c>
      <c r="D1673" s="1">
        <v>45504</v>
      </c>
      <c r="E1673" s="1">
        <v>45512</v>
      </c>
      <c r="F1673" t="s">
        <v>13</v>
      </c>
      <c r="G1673" t="s">
        <v>23</v>
      </c>
      <c r="H1673">
        <v>8</v>
      </c>
      <c r="I1673" t="s">
        <v>15</v>
      </c>
      <c r="J1673">
        <v>4</v>
      </c>
      <c r="K1673" t="s">
        <v>21</v>
      </c>
      <c r="L1673" t="s">
        <v>30</v>
      </c>
    </row>
    <row r="1674" spans="1:12" x14ac:dyDescent="0.25">
      <c r="A1674">
        <v>1673</v>
      </c>
      <c r="B1674">
        <v>65</v>
      </c>
      <c r="C1674" t="s">
        <v>26</v>
      </c>
      <c r="D1674" s="1">
        <v>45652</v>
      </c>
      <c r="E1674" s="1">
        <v>45653</v>
      </c>
      <c r="F1674" t="s">
        <v>13</v>
      </c>
      <c r="G1674" t="s">
        <v>19</v>
      </c>
      <c r="H1674">
        <v>1</v>
      </c>
      <c r="I1674" t="s">
        <v>15</v>
      </c>
      <c r="J1674">
        <v>2</v>
      </c>
      <c r="K1674" t="s">
        <v>16</v>
      </c>
      <c r="L1674" t="s">
        <v>30</v>
      </c>
    </row>
    <row r="1675" spans="1:12" x14ac:dyDescent="0.25">
      <c r="A1675">
        <v>1674</v>
      </c>
      <c r="B1675">
        <v>49</v>
      </c>
      <c r="C1675" t="s">
        <v>26</v>
      </c>
      <c r="D1675" s="1">
        <v>45467</v>
      </c>
      <c r="E1675" s="1">
        <v>45468</v>
      </c>
      <c r="F1675" t="s">
        <v>27</v>
      </c>
      <c r="G1675" t="s">
        <v>19</v>
      </c>
      <c r="H1675">
        <v>1</v>
      </c>
      <c r="I1675" t="s">
        <v>15</v>
      </c>
      <c r="J1675">
        <v>2</v>
      </c>
      <c r="K1675" t="s">
        <v>16</v>
      </c>
      <c r="L1675" t="s">
        <v>22</v>
      </c>
    </row>
    <row r="1676" spans="1:12" x14ac:dyDescent="0.25">
      <c r="A1676">
        <v>1675</v>
      </c>
      <c r="B1676">
        <v>32</v>
      </c>
      <c r="C1676" t="s">
        <v>26</v>
      </c>
      <c r="D1676" s="1">
        <v>45579</v>
      </c>
      <c r="E1676" s="1">
        <v>45586</v>
      </c>
      <c r="F1676" t="s">
        <v>28</v>
      </c>
      <c r="G1676" t="s">
        <v>19</v>
      </c>
      <c r="H1676">
        <v>7</v>
      </c>
      <c r="I1676" t="s">
        <v>15</v>
      </c>
      <c r="J1676">
        <v>3</v>
      </c>
      <c r="K1676" t="s">
        <v>21</v>
      </c>
      <c r="L1676" t="s">
        <v>22</v>
      </c>
    </row>
    <row r="1677" spans="1:12" x14ac:dyDescent="0.25">
      <c r="A1677">
        <v>1676</v>
      </c>
      <c r="B1677">
        <v>34</v>
      </c>
      <c r="C1677" t="s">
        <v>26</v>
      </c>
      <c r="D1677" s="1">
        <v>45309</v>
      </c>
      <c r="E1677" s="1">
        <v>45310</v>
      </c>
      <c r="F1677" t="s">
        <v>27</v>
      </c>
      <c r="G1677" t="s">
        <v>23</v>
      </c>
      <c r="H1677">
        <v>1</v>
      </c>
      <c r="I1677" t="s">
        <v>20</v>
      </c>
      <c r="J1677">
        <v>1</v>
      </c>
      <c r="K1677" t="s">
        <v>24</v>
      </c>
      <c r="L1677" t="s">
        <v>17</v>
      </c>
    </row>
    <row r="1678" spans="1:12" x14ac:dyDescent="0.25">
      <c r="A1678">
        <v>1677</v>
      </c>
      <c r="B1678">
        <v>41</v>
      </c>
      <c r="C1678" t="s">
        <v>26</v>
      </c>
      <c r="D1678" s="1">
        <v>45595</v>
      </c>
      <c r="E1678" s="1">
        <v>45605</v>
      </c>
      <c r="F1678" t="s">
        <v>18</v>
      </c>
      <c r="G1678" t="s">
        <v>23</v>
      </c>
      <c r="H1678">
        <v>10</v>
      </c>
      <c r="I1678" t="s">
        <v>20</v>
      </c>
      <c r="J1678">
        <v>1</v>
      </c>
      <c r="K1678" t="s">
        <v>21</v>
      </c>
      <c r="L1678" t="s">
        <v>17</v>
      </c>
    </row>
    <row r="1679" spans="1:12" x14ac:dyDescent="0.25">
      <c r="A1679">
        <v>1678</v>
      </c>
      <c r="B1679">
        <v>43</v>
      </c>
      <c r="C1679" t="s">
        <v>12</v>
      </c>
      <c r="D1679" s="1">
        <v>45510</v>
      </c>
      <c r="E1679" s="1">
        <v>45520</v>
      </c>
      <c r="F1679" t="s">
        <v>27</v>
      </c>
      <c r="G1679" t="s">
        <v>23</v>
      </c>
      <c r="H1679">
        <v>10</v>
      </c>
      <c r="I1679" t="s">
        <v>15</v>
      </c>
      <c r="J1679">
        <v>1</v>
      </c>
      <c r="K1679" t="s">
        <v>24</v>
      </c>
      <c r="L1679" t="s">
        <v>17</v>
      </c>
    </row>
    <row r="1680" spans="1:12" x14ac:dyDescent="0.25">
      <c r="A1680">
        <v>1679</v>
      </c>
      <c r="B1680">
        <v>74</v>
      </c>
      <c r="C1680" t="s">
        <v>26</v>
      </c>
      <c r="D1680" s="1">
        <v>45402</v>
      </c>
      <c r="E1680" s="1">
        <v>45406</v>
      </c>
      <c r="F1680" t="s">
        <v>27</v>
      </c>
      <c r="G1680" t="s">
        <v>19</v>
      </c>
      <c r="H1680">
        <v>4</v>
      </c>
      <c r="I1680" t="s">
        <v>15</v>
      </c>
      <c r="J1680">
        <v>1</v>
      </c>
      <c r="K1680" t="s">
        <v>21</v>
      </c>
      <c r="L1680" t="s">
        <v>17</v>
      </c>
    </row>
    <row r="1681" spans="1:12" x14ac:dyDescent="0.25">
      <c r="A1681">
        <v>1680</v>
      </c>
      <c r="B1681">
        <v>77</v>
      </c>
      <c r="C1681" t="s">
        <v>12</v>
      </c>
      <c r="D1681" s="1">
        <v>45313</v>
      </c>
      <c r="E1681" s="1">
        <v>45328</v>
      </c>
      <c r="F1681" t="s">
        <v>27</v>
      </c>
      <c r="G1681" t="s">
        <v>14</v>
      </c>
      <c r="H1681">
        <v>15</v>
      </c>
      <c r="I1681" t="s">
        <v>20</v>
      </c>
      <c r="J1681">
        <v>4</v>
      </c>
      <c r="K1681" t="s">
        <v>16</v>
      </c>
      <c r="L1681" t="s">
        <v>22</v>
      </c>
    </row>
    <row r="1682" spans="1:12" x14ac:dyDescent="0.25">
      <c r="A1682">
        <v>1681</v>
      </c>
      <c r="B1682">
        <v>56</v>
      </c>
      <c r="C1682" t="s">
        <v>12</v>
      </c>
      <c r="D1682" s="1">
        <v>45508</v>
      </c>
      <c r="E1682" s="1">
        <v>45514</v>
      </c>
      <c r="F1682" t="s">
        <v>13</v>
      </c>
      <c r="G1682" t="s">
        <v>19</v>
      </c>
      <c r="H1682">
        <v>6</v>
      </c>
      <c r="I1682" t="s">
        <v>20</v>
      </c>
      <c r="J1682">
        <v>0</v>
      </c>
      <c r="K1682" t="s">
        <v>21</v>
      </c>
      <c r="L1682" t="s">
        <v>17</v>
      </c>
    </row>
    <row r="1683" spans="1:12" x14ac:dyDescent="0.25">
      <c r="A1683">
        <v>1682</v>
      </c>
      <c r="B1683">
        <v>38</v>
      </c>
      <c r="C1683" t="s">
        <v>26</v>
      </c>
      <c r="D1683" s="1">
        <v>45639</v>
      </c>
      <c r="E1683" s="1">
        <v>45650</v>
      </c>
      <c r="F1683" t="s">
        <v>13</v>
      </c>
      <c r="G1683" t="s">
        <v>23</v>
      </c>
      <c r="H1683">
        <v>11</v>
      </c>
      <c r="I1683" t="s">
        <v>15</v>
      </c>
      <c r="J1683">
        <v>1</v>
      </c>
      <c r="K1683" t="s">
        <v>24</v>
      </c>
      <c r="L1683" t="s">
        <v>25</v>
      </c>
    </row>
    <row r="1684" spans="1:12" x14ac:dyDescent="0.25">
      <c r="A1684">
        <v>1683</v>
      </c>
      <c r="B1684">
        <v>55</v>
      </c>
      <c r="C1684" t="s">
        <v>12</v>
      </c>
      <c r="D1684" s="1">
        <v>45315</v>
      </c>
      <c r="E1684" s="1">
        <v>45325</v>
      </c>
      <c r="F1684" t="s">
        <v>18</v>
      </c>
      <c r="G1684" t="s">
        <v>14</v>
      </c>
      <c r="H1684">
        <v>10</v>
      </c>
      <c r="I1684" t="s">
        <v>15</v>
      </c>
      <c r="J1684">
        <v>0</v>
      </c>
      <c r="K1684" t="s">
        <v>16</v>
      </c>
      <c r="L1684" t="s">
        <v>17</v>
      </c>
    </row>
    <row r="1685" spans="1:12" x14ac:dyDescent="0.25">
      <c r="A1685">
        <v>1684</v>
      </c>
      <c r="B1685">
        <v>86</v>
      </c>
      <c r="C1685" t="s">
        <v>12</v>
      </c>
      <c r="D1685" s="1">
        <v>45626</v>
      </c>
      <c r="E1685" s="1">
        <v>45630</v>
      </c>
      <c r="F1685" t="s">
        <v>28</v>
      </c>
      <c r="G1685" t="s">
        <v>23</v>
      </c>
      <c r="H1685">
        <v>4</v>
      </c>
      <c r="I1685" t="s">
        <v>15</v>
      </c>
      <c r="J1685">
        <v>1</v>
      </c>
      <c r="K1685" t="s">
        <v>16</v>
      </c>
      <c r="L1685" t="s">
        <v>30</v>
      </c>
    </row>
    <row r="1686" spans="1:12" x14ac:dyDescent="0.25">
      <c r="A1686">
        <v>1685</v>
      </c>
      <c r="B1686">
        <v>40</v>
      </c>
      <c r="C1686" t="s">
        <v>12</v>
      </c>
      <c r="D1686" s="1">
        <v>45483</v>
      </c>
      <c r="E1686" s="1">
        <v>45497</v>
      </c>
      <c r="F1686" t="s">
        <v>28</v>
      </c>
      <c r="G1686" t="s">
        <v>19</v>
      </c>
      <c r="H1686">
        <v>14</v>
      </c>
      <c r="I1686" t="s">
        <v>15</v>
      </c>
      <c r="J1686">
        <v>2</v>
      </c>
      <c r="K1686" t="s">
        <v>24</v>
      </c>
      <c r="L1686" t="s">
        <v>17</v>
      </c>
    </row>
    <row r="1687" spans="1:12" x14ac:dyDescent="0.25">
      <c r="A1687">
        <v>1686</v>
      </c>
      <c r="B1687">
        <v>57</v>
      </c>
      <c r="C1687" t="s">
        <v>12</v>
      </c>
      <c r="D1687" s="1">
        <v>45432</v>
      </c>
      <c r="E1687" s="1">
        <v>45447</v>
      </c>
      <c r="F1687" t="s">
        <v>28</v>
      </c>
      <c r="G1687" t="s">
        <v>14</v>
      </c>
      <c r="H1687">
        <v>15</v>
      </c>
      <c r="I1687" t="s">
        <v>15</v>
      </c>
      <c r="J1687">
        <v>4</v>
      </c>
      <c r="K1687" t="s">
        <v>24</v>
      </c>
      <c r="L1687" t="s">
        <v>17</v>
      </c>
    </row>
    <row r="1688" spans="1:12" x14ac:dyDescent="0.25">
      <c r="A1688">
        <v>1687</v>
      </c>
      <c r="B1688">
        <v>23</v>
      </c>
      <c r="C1688" t="s">
        <v>26</v>
      </c>
      <c r="D1688" s="1">
        <v>45527</v>
      </c>
      <c r="E1688" s="1">
        <v>45539</v>
      </c>
      <c r="F1688" t="s">
        <v>13</v>
      </c>
      <c r="G1688" t="s">
        <v>23</v>
      </c>
      <c r="H1688">
        <v>12</v>
      </c>
      <c r="I1688" t="s">
        <v>15</v>
      </c>
      <c r="J1688">
        <v>3</v>
      </c>
      <c r="K1688" t="s">
        <v>24</v>
      </c>
      <c r="L1688" t="s">
        <v>25</v>
      </c>
    </row>
    <row r="1689" spans="1:12" x14ac:dyDescent="0.25">
      <c r="A1689">
        <v>1688</v>
      </c>
      <c r="B1689">
        <v>41</v>
      </c>
      <c r="C1689" t="s">
        <v>12</v>
      </c>
      <c r="D1689" s="1">
        <v>45318</v>
      </c>
      <c r="E1689" s="1">
        <v>45333</v>
      </c>
      <c r="F1689" t="s">
        <v>28</v>
      </c>
      <c r="G1689" t="s">
        <v>19</v>
      </c>
      <c r="H1689">
        <v>15</v>
      </c>
      <c r="I1689" t="s">
        <v>15</v>
      </c>
      <c r="J1689">
        <v>4</v>
      </c>
      <c r="K1689" t="s">
        <v>16</v>
      </c>
      <c r="L1689" t="s">
        <v>29</v>
      </c>
    </row>
    <row r="1690" spans="1:12" x14ac:dyDescent="0.25">
      <c r="A1690">
        <v>1689</v>
      </c>
      <c r="B1690">
        <v>25</v>
      </c>
      <c r="C1690" t="s">
        <v>26</v>
      </c>
      <c r="D1690" s="1">
        <v>45579</v>
      </c>
      <c r="E1690" s="1">
        <v>45589</v>
      </c>
      <c r="F1690" t="s">
        <v>13</v>
      </c>
      <c r="G1690" t="s">
        <v>19</v>
      </c>
      <c r="H1690">
        <v>10</v>
      </c>
      <c r="I1690" t="s">
        <v>15</v>
      </c>
      <c r="J1690">
        <v>3</v>
      </c>
      <c r="K1690" t="s">
        <v>21</v>
      </c>
      <c r="L1690" t="s">
        <v>22</v>
      </c>
    </row>
    <row r="1691" spans="1:12" x14ac:dyDescent="0.25">
      <c r="A1691">
        <v>1690</v>
      </c>
      <c r="B1691">
        <v>20</v>
      </c>
      <c r="C1691" t="s">
        <v>26</v>
      </c>
      <c r="D1691" s="1">
        <v>45360</v>
      </c>
      <c r="E1691" s="1">
        <v>45363</v>
      </c>
      <c r="F1691" t="s">
        <v>28</v>
      </c>
      <c r="G1691" t="s">
        <v>19</v>
      </c>
      <c r="H1691">
        <v>3</v>
      </c>
      <c r="I1691" t="s">
        <v>15</v>
      </c>
      <c r="J1691">
        <v>0</v>
      </c>
      <c r="K1691" t="s">
        <v>21</v>
      </c>
      <c r="L1691" t="s">
        <v>22</v>
      </c>
    </row>
    <row r="1692" spans="1:12" x14ac:dyDescent="0.25">
      <c r="A1692">
        <v>1691</v>
      </c>
      <c r="B1692">
        <v>66</v>
      </c>
      <c r="C1692" t="s">
        <v>26</v>
      </c>
      <c r="D1692" s="1">
        <v>45350</v>
      </c>
      <c r="E1692" s="1">
        <v>45361</v>
      </c>
      <c r="F1692" t="s">
        <v>31</v>
      </c>
      <c r="G1692" t="s">
        <v>14</v>
      </c>
      <c r="H1692">
        <v>11</v>
      </c>
      <c r="I1692" t="s">
        <v>20</v>
      </c>
      <c r="J1692">
        <v>3</v>
      </c>
      <c r="K1692" t="s">
        <v>16</v>
      </c>
      <c r="L1692" t="s">
        <v>30</v>
      </c>
    </row>
    <row r="1693" spans="1:12" x14ac:dyDescent="0.25">
      <c r="A1693">
        <v>1692</v>
      </c>
      <c r="B1693">
        <v>23</v>
      </c>
      <c r="C1693" t="s">
        <v>26</v>
      </c>
      <c r="D1693" s="1">
        <v>45323</v>
      </c>
      <c r="E1693" s="1">
        <v>45335</v>
      </c>
      <c r="F1693" t="s">
        <v>28</v>
      </c>
      <c r="G1693" t="s">
        <v>23</v>
      </c>
      <c r="H1693">
        <v>12</v>
      </c>
      <c r="I1693" t="s">
        <v>15</v>
      </c>
      <c r="J1693">
        <v>2</v>
      </c>
      <c r="K1693" t="s">
        <v>16</v>
      </c>
      <c r="L1693" t="s">
        <v>29</v>
      </c>
    </row>
    <row r="1694" spans="1:12" x14ac:dyDescent="0.25">
      <c r="A1694">
        <v>1693</v>
      </c>
      <c r="B1694">
        <v>47</v>
      </c>
      <c r="C1694" t="s">
        <v>12</v>
      </c>
      <c r="D1694" s="1">
        <v>45520</v>
      </c>
      <c r="E1694" s="1">
        <v>45531</v>
      </c>
      <c r="F1694" t="s">
        <v>27</v>
      </c>
      <c r="G1694" t="s">
        <v>23</v>
      </c>
      <c r="H1694">
        <v>11</v>
      </c>
      <c r="I1694" t="s">
        <v>15</v>
      </c>
      <c r="J1694">
        <v>0</v>
      </c>
      <c r="K1694" t="s">
        <v>24</v>
      </c>
      <c r="L1694" t="s">
        <v>25</v>
      </c>
    </row>
    <row r="1695" spans="1:12" x14ac:dyDescent="0.25">
      <c r="A1695">
        <v>1694</v>
      </c>
      <c r="B1695">
        <v>69</v>
      </c>
      <c r="C1695" t="s">
        <v>12</v>
      </c>
      <c r="D1695" s="1">
        <v>45392</v>
      </c>
      <c r="E1695" s="1">
        <v>45400</v>
      </c>
      <c r="F1695" t="s">
        <v>28</v>
      </c>
      <c r="G1695" t="s">
        <v>14</v>
      </c>
      <c r="H1695">
        <v>8</v>
      </c>
      <c r="I1695" t="s">
        <v>15</v>
      </c>
      <c r="J1695">
        <v>4</v>
      </c>
      <c r="K1695" t="s">
        <v>16</v>
      </c>
      <c r="L1695" t="s">
        <v>29</v>
      </c>
    </row>
    <row r="1696" spans="1:12" x14ac:dyDescent="0.25">
      <c r="A1696">
        <v>1695</v>
      </c>
      <c r="B1696">
        <v>60</v>
      </c>
      <c r="C1696" t="s">
        <v>12</v>
      </c>
      <c r="D1696" s="1">
        <v>45491</v>
      </c>
      <c r="E1696" s="1">
        <v>45492</v>
      </c>
      <c r="F1696" t="s">
        <v>27</v>
      </c>
      <c r="G1696" t="s">
        <v>23</v>
      </c>
      <c r="H1696">
        <v>1</v>
      </c>
      <c r="I1696" t="s">
        <v>15</v>
      </c>
      <c r="J1696">
        <v>2</v>
      </c>
      <c r="K1696" t="s">
        <v>16</v>
      </c>
      <c r="L1696" t="s">
        <v>17</v>
      </c>
    </row>
    <row r="1697" spans="1:12" x14ac:dyDescent="0.25">
      <c r="A1697">
        <v>1696</v>
      </c>
      <c r="B1697">
        <v>50</v>
      </c>
      <c r="C1697" t="s">
        <v>12</v>
      </c>
      <c r="D1697" s="1">
        <v>45344</v>
      </c>
      <c r="E1697" s="1">
        <v>45350</v>
      </c>
      <c r="F1697" t="s">
        <v>28</v>
      </c>
      <c r="G1697" t="s">
        <v>23</v>
      </c>
      <c r="H1697">
        <v>6</v>
      </c>
      <c r="I1697" t="s">
        <v>20</v>
      </c>
      <c r="J1697">
        <v>0</v>
      </c>
      <c r="K1697" t="s">
        <v>21</v>
      </c>
      <c r="L1697" t="s">
        <v>17</v>
      </c>
    </row>
    <row r="1698" spans="1:12" x14ac:dyDescent="0.25">
      <c r="A1698">
        <v>1697</v>
      </c>
      <c r="B1698">
        <v>61</v>
      </c>
      <c r="C1698" t="s">
        <v>12</v>
      </c>
      <c r="D1698" s="1">
        <v>45401</v>
      </c>
      <c r="E1698" s="1">
        <v>45407</v>
      </c>
      <c r="F1698" t="s">
        <v>28</v>
      </c>
      <c r="G1698" t="s">
        <v>23</v>
      </c>
      <c r="H1698">
        <v>6</v>
      </c>
      <c r="I1698" t="s">
        <v>20</v>
      </c>
      <c r="J1698">
        <v>1</v>
      </c>
      <c r="K1698" t="s">
        <v>21</v>
      </c>
      <c r="L1698" t="s">
        <v>17</v>
      </c>
    </row>
    <row r="1699" spans="1:12" x14ac:dyDescent="0.25">
      <c r="A1699">
        <v>1698</v>
      </c>
      <c r="B1699">
        <v>72</v>
      </c>
      <c r="C1699" t="s">
        <v>26</v>
      </c>
      <c r="D1699" s="1">
        <v>45559</v>
      </c>
      <c r="E1699" s="1">
        <v>45565</v>
      </c>
      <c r="F1699" t="s">
        <v>27</v>
      </c>
      <c r="G1699" t="s">
        <v>14</v>
      </c>
      <c r="H1699">
        <v>6</v>
      </c>
      <c r="I1699" t="s">
        <v>20</v>
      </c>
      <c r="J1699">
        <v>3</v>
      </c>
      <c r="K1699" t="s">
        <v>21</v>
      </c>
      <c r="L1699" t="s">
        <v>25</v>
      </c>
    </row>
    <row r="1700" spans="1:12" x14ac:dyDescent="0.25">
      <c r="A1700">
        <v>1699</v>
      </c>
      <c r="B1700">
        <v>85</v>
      </c>
      <c r="C1700" t="s">
        <v>12</v>
      </c>
      <c r="D1700" s="1">
        <v>45611</v>
      </c>
      <c r="E1700" s="1">
        <v>45616</v>
      </c>
      <c r="F1700" t="s">
        <v>18</v>
      </c>
      <c r="G1700" t="s">
        <v>19</v>
      </c>
      <c r="H1700">
        <v>5</v>
      </c>
      <c r="I1700" t="s">
        <v>20</v>
      </c>
      <c r="J1700">
        <v>2</v>
      </c>
      <c r="K1700" t="s">
        <v>24</v>
      </c>
      <c r="L1700" t="s">
        <v>30</v>
      </c>
    </row>
    <row r="1701" spans="1:12" x14ac:dyDescent="0.25">
      <c r="A1701">
        <v>1700</v>
      </c>
      <c r="B1701">
        <v>47</v>
      </c>
      <c r="C1701" t="s">
        <v>12</v>
      </c>
      <c r="D1701" s="1">
        <v>45466</v>
      </c>
      <c r="E1701" s="1">
        <v>45473</v>
      </c>
      <c r="F1701" t="s">
        <v>13</v>
      </c>
      <c r="G1701" t="s">
        <v>23</v>
      </c>
      <c r="H1701">
        <v>7</v>
      </c>
      <c r="I1701" t="s">
        <v>15</v>
      </c>
      <c r="J1701">
        <v>3</v>
      </c>
      <c r="K1701" t="s">
        <v>16</v>
      </c>
      <c r="L1701" t="s">
        <v>17</v>
      </c>
    </row>
    <row r="1702" spans="1:12" x14ac:dyDescent="0.25">
      <c r="A1702">
        <v>1701</v>
      </c>
      <c r="B1702">
        <v>66</v>
      </c>
      <c r="C1702" t="s">
        <v>12</v>
      </c>
      <c r="D1702" s="1">
        <v>45528</v>
      </c>
      <c r="E1702" s="1">
        <v>45533</v>
      </c>
      <c r="F1702" t="s">
        <v>27</v>
      </c>
      <c r="G1702" t="s">
        <v>23</v>
      </c>
      <c r="H1702">
        <v>5</v>
      </c>
      <c r="I1702" t="s">
        <v>15</v>
      </c>
      <c r="J1702">
        <v>3</v>
      </c>
      <c r="K1702" t="s">
        <v>24</v>
      </c>
      <c r="L1702" t="s">
        <v>30</v>
      </c>
    </row>
    <row r="1703" spans="1:12" x14ac:dyDescent="0.25">
      <c r="A1703">
        <v>1702</v>
      </c>
      <c r="B1703">
        <v>72</v>
      </c>
      <c r="C1703" t="s">
        <v>26</v>
      </c>
      <c r="D1703" s="1">
        <v>45333</v>
      </c>
      <c r="E1703" s="1">
        <v>45347</v>
      </c>
      <c r="F1703" t="s">
        <v>13</v>
      </c>
      <c r="G1703" t="s">
        <v>14</v>
      </c>
      <c r="H1703">
        <v>14</v>
      </c>
      <c r="I1703" t="s">
        <v>15</v>
      </c>
      <c r="J1703">
        <v>2</v>
      </c>
      <c r="K1703" t="s">
        <v>21</v>
      </c>
      <c r="L1703" t="s">
        <v>25</v>
      </c>
    </row>
    <row r="1704" spans="1:12" x14ac:dyDescent="0.25">
      <c r="A1704">
        <v>1703</v>
      </c>
      <c r="B1704">
        <v>50</v>
      </c>
      <c r="C1704" t="s">
        <v>12</v>
      </c>
      <c r="D1704" s="1">
        <v>45449</v>
      </c>
      <c r="E1704" s="1">
        <v>45457</v>
      </c>
      <c r="F1704" t="s">
        <v>18</v>
      </c>
      <c r="G1704" t="s">
        <v>14</v>
      </c>
      <c r="H1704">
        <v>8</v>
      </c>
      <c r="I1704" t="s">
        <v>15</v>
      </c>
      <c r="J1704">
        <v>3</v>
      </c>
      <c r="K1704" t="s">
        <v>16</v>
      </c>
      <c r="L1704" t="s">
        <v>17</v>
      </c>
    </row>
    <row r="1705" spans="1:12" x14ac:dyDescent="0.25">
      <c r="A1705">
        <v>1704</v>
      </c>
      <c r="B1705">
        <v>29</v>
      </c>
      <c r="C1705" t="s">
        <v>12</v>
      </c>
      <c r="D1705" s="1">
        <v>45552</v>
      </c>
      <c r="E1705" s="1">
        <v>45560</v>
      </c>
      <c r="F1705" t="s">
        <v>27</v>
      </c>
      <c r="G1705" t="s">
        <v>23</v>
      </c>
      <c r="H1705">
        <v>8</v>
      </c>
      <c r="I1705" t="s">
        <v>15</v>
      </c>
      <c r="J1705">
        <v>1</v>
      </c>
      <c r="K1705" t="s">
        <v>21</v>
      </c>
      <c r="L1705" t="s">
        <v>17</v>
      </c>
    </row>
    <row r="1706" spans="1:12" x14ac:dyDescent="0.25">
      <c r="A1706">
        <v>1705</v>
      </c>
      <c r="B1706">
        <v>76</v>
      </c>
      <c r="C1706" t="s">
        <v>12</v>
      </c>
      <c r="D1706" s="1">
        <v>45311</v>
      </c>
      <c r="E1706" s="1">
        <v>45321</v>
      </c>
      <c r="F1706" t="s">
        <v>27</v>
      </c>
      <c r="G1706" t="s">
        <v>14</v>
      </c>
      <c r="H1706">
        <v>10</v>
      </c>
      <c r="I1706" t="s">
        <v>15</v>
      </c>
      <c r="J1706">
        <v>4</v>
      </c>
      <c r="K1706" t="s">
        <v>24</v>
      </c>
      <c r="L1706" t="s">
        <v>22</v>
      </c>
    </row>
    <row r="1707" spans="1:12" x14ac:dyDescent="0.25">
      <c r="A1707">
        <v>1706</v>
      </c>
      <c r="B1707">
        <v>71</v>
      </c>
      <c r="C1707" t="s">
        <v>12</v>
      </c>
      <c r="D1707" s="1">
        <v>45456</v>
      </c>
      <c r="E1707" s="1">
        <v>45457</v>
      </c>
      <c r="F1707" t="s">
        <v>28</v>
      </c>
      <c r="G1707" t="s">
        <v>23</v>
      </c>
      <c r="H1707">
        <v>1</v>
      </c>
      <c r="I1707" t="s">
        <v>15</v>
      </c>
      <c r="J1707">
        <v>0</v>
      </c>
      <c r="K1707" t="s">
        <v>16</v>
      </c>
      <c r="L1707" t="s">
        <v>30</v>
      </c>
    </row>
    <row r="1708" spans="1:12" x14ac:dyDescent="0.25">
      <c r="A1708">
        <v>1707</v>
      </c>
      <c r="B1708">
        <v>61</v>
      </c>
      <c r="C1708" t="s">
        <v>12</v>
      </c>
      <c r="D1708" s="1">
        <v>45345</v>
      </c>
      <c r="E1708" s="1">
        <v>45355</v>
      </c>
      <c r="F1708" t="s">
        <v>28</v>
      </c>
      <c r="G1708" t="s">
        <v>19</v>
      </c>
      <c r="H1708">
        <v>10</v>
      </c>
      <c r="I1708" t="s">
        <v>20</v>
      </c>
      <c r="J1708">
        <v>3</v>
      </c>
      <c r="K1708" t="s">
        <v>16</v>
      </c>
      <c r="L1708" t="s">
        <v>30</v>
      </c>
    </row>
    <row r="1709" spans="1:12" x14ac:dyDescent="0.25">
      <c r="A1709">
        <v>1708</v>
      </c>
      <c r="B1709">
        <v>61</v>
      </c>
      <c r="C1709" t="s">
        <v>12</v>
      </c>
      <c r="D1709" s="1">
        <v>45530</v>
      </c>
      <c r="E1709" s="1">
        <v>45539</v>
      </c>
      <c r="F1709" t="s">
        <v>31</v>
      </c>
      <c r="G1709" t="s">
        <v>23</v>
      </c>
      <c r="H1709">
        <v>9</v>
      </c>
      <c r="I1709" t="s">
        <v>15</v>
      </c>
      <c r="J1709">
        <v>3</v>
      </c>
      <c r="K1709" t="s">
        <v>24</v>
      </c>
      <c r="L1709" t="s">
        <v>22</v>
      </c>
    </row>
    <row r="1710" spans="1:12" x14ac:dyDescent="0.25">
      <c r="A1710">
        <v>1709</v>
      </c>
      <c r="B1710">
        <v>27</v>
      </c>
      <c r="C1710" t="s">
        <v>12</v>
      </c>
      <c r="D1710" s="1">
        <v>45520</v>
      </c>
      <c r="E1710" s="1">
        <v>45528</v>
      </c>
      <c r="F1710" t="s">
        <v>28</v>
      </c>
      <c r="G1710" t="s">
        <v>23</v>
      </c>
      <c r="H1710">
        <v>8</v>
      </c>
      <c r="I1710" t="s">
        <v>15</v>
      </c>
      <c r="J1710">
        <v>2</v>
      </c>
      <c r="K1710" t="s">
        <v>21</v>
      </c>
      <c r="L1710" t="s">
        <v>29</v>
      </c>
    </row>
    <row r="1711" spans="1:12" x14ac:dyDescent="0.25">
      <c r="A1711">
        <v>1710</v>
      </c>
      <c r="B1711">
        <v>72</v>
      </c>
      <c r="C1711" t="s">
        <v>12</v>
      </c>
      <c r="D1711" s="1">
        <v>45556</v>
      </c>
      <c r="E1711" s="1">
        <v>45568</v>
      </c>
      <c r="F1711" t="s">
        <v>18</v>
      </c>
      <c r="G1711" t="s">
        <v>19</v>
      </c>
      <c r="H1711">
        <v>12</v>
      </c>
      <c r="I1711" t="s">
        <v>15</v>
      </c>
      <c r="J1711">
        <v>1</v>
      </c>
      <c r="K1711" t="s">
        <v>16</v>
      </c>
      <c r="L1711" t="s">
        <v>25</v>
      </c>
    </row>
    <row r="1712" spans="1:12" x14ac:dyDescent="0.25">
      <c r="A1712">
        <v>1711</v>
      </c>
      <c r="B1712">
        <v>69</v>
      </c>
      <c r="C1712" t="s">
        <v>26</v>
      </c>
      <c r="D1712" s="1">
        <v>45507</v>
      </c>
      <c r="E1712" s="1">
        <v>45519</v>
      </c>
      <c r="F1712" t="s">
        <v>28</v>
      </c>
      <c r="G1712" t="s">
        <v>19</v>
      </c>
      <c r="H1712">
        <v>12</v>
      </c>
      <c r="I1712" t="s">
        <v>15</v>
      </c>
      <c r="J1712">
        <v>4</v>
      </c>
      <c r="K1712" t="s">
        <v>16</v>
      </c>
      <c r="L1712" t="s">
        <v>22</v>
      </c>
    </row>
    <row r="1713" spans="1:12" x14ac:dyDescent="0.25">
      <c r="A1713">
        <v>1712</v>
      </c>
      <c r="B1713">
        <v>77</v>
      </c>
      <c r="C1713" t="s">
        <v>26</v>
      </c>
      <c r="D1713" s="1">
        <v>45328</v>
      </c>
      <c r="E1713" s="1">
        <v>45343</v>
      </c>
      <c r="F1713" t="s">
        <v>27</v>
      </c>
      <c r="G1713" t="s">
        <v>23</v>
      </c>
      <c r="H1713">
        <v>15</v>
      </c>
      <c r="I1713" t="s">
        <v>20</v>
      </c>
      <c r="J1713">
        <v>2</v>
      </c>
      <c r="K1713" t="s">
        <v>21</v>
      </c>
      <c r="L1713" t="s">
        <v>17</v>
      </c>
    </row>
    <row r="1714" spans="1:12" x14ac:dyDescent="0.25">
      <c r="A1714">
        <v>1713</v>
      </c>
      <c r="B1714">
        <v>29</v>
      </c>
      <c r="C1714" t="s">
        <v>26</v>
      </c>
      <c r="D1714" s="1">
        <v>45391</v>
      </c>
      <c r="E1714" s="1">
        <v>45406</v>
      </c>
      <c r="F1714" t="s">
        <v>13</v>
      </c>
      <c r="G1714" t="s">
        <v>14</v>
      </c>
      <c r="H1714">
        <v>15</v>
      </c>
      <c r="I1714" t="s">
        <v>15</v>
      </c>
      <c r="J1714">
        <v>2</v>
      </c>
      <c r="K1714" t="s">
        <v>16</v>
      </c>
      <c r="L1714" t="s">
        <v>29</v>
      </c>
    </row>
    <row r="1715" spans="1:12" x14ac:dyDescent="0.25">
      <c r="A1715">
        <v>1714</v>
      </c>
      <c r="B1715">
        <v>42</v>
      </c>
      <c r="C1715" t="s">
        <v>12</v>
      </c>
      <c r="D1715" s="1">
        <v>45616</v>
      </c>
      <c r="E1715" s="1">
        <v>45625</v>
      </c>
      <c r="F1715" t="s">
        <v>27</v>
      </c>
      <c r="G1715" t="s">
        <v>14</v>
      </c>
      <c r="H1715">
        <v>9</v>
      </c>
      <c r="I1715" t="s">
        <v>20</v>
      </c>
      <c r="J1715">
        <v>0</v>
      </c>
      <c r="K1715" t="s">
        <v>24</v>
      </c>
      <c r="L1715" t="s">
        <v>22</v>
      </c>
    </row>
    <row r="1716" spans="1:12" x14ac:dyDescent="0.25">
      <c r="A1716">
        <v>1715</v>
      </c>
      <c r="B1716">
        <v>37</v>
      </c>
      <c r="C1716" t="s">
        <v>26</v>
      </c>
      <c r="D1716" s="1">
        <v>45628</v>
      </c>
      <c r="E1716" s="1">
        <v>45638</v>
      </c>
      <c r="F1716" t="s">
        <v>13</v>
      </c>
      <c r="G1716" t="s">
        <v>14</v>
      </c>
      <c r="H1716">
        <v>10</v>
      </c>
      <c r="I1716" t="s">
        <v>15</v>
      </c>
      <c r="J1716">
        <v>0</v>
      </c>
      <c r="K1716" t="s">
        <v>16</v>
      </c>
      <c r="L1716" t="s">
        <v>30</v>
      </c>
    </row>
    <row r="1717" spans="1:12" x14ac:dyDescent="0.25">
      <c r="A1717">
        <v>1716</v>
      </c>
      <c r="B1717">
        <v>57</v>
      </c>
      <c r="C1717" t="s">
        <v>12</v>
      </c>
      <c r="D1717" s="1">
        <v>45636</v>
      </c>
      <c r="E1717" s="1">
        <v>45643</v>
      </c>
      <c r="F1717" t="s">
        <v>28</v>
      </c>
      <c r="G1717" t="s">
        <v>14</v>
      </c>
      <c r="H1717">
        <v>7</v>
      </c>
      <c r="I1717" t="s">
        <v>15</v>
      </c>
      <c r="J1717">
        <v>4</v>
      </c>
      <c r="K1717" t="s">
        <v>16</v>
      </c>
      <c r="L1717" t="s">
        <v>17</v>
      </c>
    </row>
    <row r="1718" spans="1:12" x14ac:dyDescent="0.25">
      <c r="A1718">
        <v>1717</v>
      </c>
      <c r="B1718">
        <v>87</v>
      </c>
      <c r="C1718" t="s">
        <v>26</v>
      </c>
      <c r="D1718" s="1">
        <v>45440</v>
      </c>
      <c r="E1718" s="1">
        <v>45445</v>
      </c>
      <c r="F1718" t="s">
        <v>18</v>
      </c>
      <c r="G1718" t="s">
        <v>14</v>
      </c>
      <c r="H1718">
        <v>5</v>
      </c>
      <c r="I1718" t="s">
        <v>15</v>
      </c>
      <c r="J1718">
        <v>4</v>
      </c>
      <c r="K1718" t="s">
        <v>24</v>
      </c>
      <c r="L1718" t="s">
        <v>29</v>
      </c>
    </row>
    <row r="1719" spans="1:12" x14ac:dyDescent="0.25">
      <c r="A1719">
        <v>1718</v>
      </c>
      <c r="B1719">
        <v>86</v>
      </c>
      <c r="C1719" t="s">
        <v>12</v>
      </c>
      <c r="D1719" s="1">
        <v>45383</v>
      </c>
      <c r="E1719" s="1">
        <v>45397</v>
      </c>
      <c r="F1719" t="s">
        <v>28</v>
      </c>
      <c r="G1719" t="s">
        <v>14</v>
      </c>
      <c r="H1719">
        <v>14</v>
      </c>
      <c r="I1719" t="s">
        <v>15</v>
      </c>
      <c r="J1719">
        <v>4</v>
      </c>
      <c r="K1719" t="s">
        <v>16</v>
      </c>
      <c r="L1719" t="s">
        <v>22</v>
      </c>
    </row>
    <row r="1720" spans="1:12" x14ac:dyDescent="0.25">
      <c r="A1720">
        <v>1719</v>
      </c>
      <c r="B1720">
        <v>49</v>
      </c>
      <c r="C1720" t="s">
        <v>12</v>
      </c>
      <c r="D1720" s="1">
        <v>45311</v>
      </c>
      <c r="E1720" s="1">
        <v>45321</v>
      </c>
      <c r="F1720" t="s">
        <v>28</v>
      </c>
      <c r="G1720" t="s">
        <v>19</v>
      </c>
      <c r="H1720">
        <v>10</v>
      </c>
      <c r="I1720" t="s">
        <v>15</v>
      </c>
      <c r="J1720">
        <v>3</v>
      </c>
      <c r="K1720" t="s">
        <v>24</v>
      </c>
      <c r="L1720" t="s">
        <v>25</v>
      </c>
    </row>
    <row r="1721" spans="1:12" x14ac:dyDescent="0.25">
      <c r="A1721">
        <v>1720</v>
      </c>
      <c r="B1721">
        <v>69</v>
      </c>
      <c r="C1721" t="s">
        <v>26</v>
      </c>
      <c r="D1721" s="1">
        <v>45341</v>
      </c>
      <c r="E1721" s="1">
        <v>45355</v>
      </c>
      <c r="F1721" t="s">
        <v>28</v>
      </c>
      <c r="G1721" t="s">
        <v>14</v>
      </c>
      <c r="H1721">
        <v>14</v>
      </c>
      <c r="I1721" t="s">
        <v>20</v>
      </c>
      <c r="J1721">
        <v>2</v>
      </c>
      <c r="K1721" t="s">
        <v>21</v>
      </c>
      <c r="L1721" t="s">
        <v>30</v>
      </c>
    </row>
    <row r="1722" spans="1:12" x14ac:dyDescent="0.25">
      <c r="A1722">
        <v>1721</v>
      </c>
      <c r="B1722">
        <v>77</v>
      </c>
      <c r="C1722" t="s">
        <v>12</v>
      </c>
      <c r="D1722" s="1">
        <v>45613</v>
      </c>
      <c r="E1722" s="1">
        <v>45619</v>
      </c>
      <c r="F1722" t="s">
        <v>31</v>
      </c>
      <c r="G1722" t="s">
        <v>23</v>
      </c>
      <c r="H1722">
        <v>6</v>
      </c>
      <c r="I1722" t="s">
        <v>15</v>
      </c>
      <c r="J1722">
        <v>2</v>
      </c>
      <c r="K1722" t="s">
        <v>21</v>
      </c>
      <c r="L1722" t="s">
        <v>17</v>
      </c>
    </row>
    <row r="1723" spans="1:12" x14ac:dyDescent="0.25">
      <c r="A1723">
        <v>1722</v>
      </c>
      <c r="B1723">
        <v>46</v>
      </c>
      <c r="C1723" t="s">
        <v>26</v>
      </c>
      <c r="D1723" s="1">
        <v>45566</v>
      </c>
      <c r="E1723" s="1">
        <v>45570</v>
      </c>
      <c r="F1723" t="s">
        <v>31</v>
      </c>
      <c r="G1723" t="s">
        <v>14</v>
      </c>
      <c r="H1723">
        <v>4</v>
      </c>
      <c r="I1723" t="s">
        <v>20</v>
      </c>
      <c r="J1723">
        <v>1</v>
      </c>
      <c r="K1723" t="s">
        <v>16</v>
      </c>
      <c r="L1723" t="s">
        <v>25</v>
      </c>
    </row>
    <row r="1724" spans="1:12" x14ac:dyDescent="0.25">
      <c r="A1724">
        <v>1723</v>
      </c>
      <c r="B1724">
        <v>34</v>
      </c>
      <c r="C1724" t="s">
        <v>12</v>
      </c>
      <c r="D1724" s="1">
        <v>45420</v>
      </c>
      <c r="E1724" s="1">
        <v>45430</v>
      </c>
      <c r="F1724" t="s">
        <v>27</v>
      </c>
      <c r="G1724" t="s">
        <v>14</v>
      </c>
      <c r="H1724">
        <v>10</v>
      </c>
      <c r="I1724" t="s">
        <v>15</v>
      </c>
      <c r="J1724">
        <v>4</v>
      </c>
      <c r="K1724" t="s">
        <v>21</v>
      </c>
      <c r="L1724" t="s">
        <v>29</v>
      </c>
    </row>
    <row r="1725" spans="1:12" x14ac:dyDescent="0.25">
      <c r="A1725">
        <v>1724</v>
      </c>
      <c r="B1725">
        <v>44</v>
      </c>
      <c r="C1725" t="s">
        <v>12</v>
      </c>
      <c r="D1725" s="1">
        <v>45440</v>
      </c>
      <c r="E1725" s="1">
        <v>45449</v>
      </c>
      <c r="F1725" t="s">
        <v>27</v>
      </c>
      <c r="G1725" t="s">
        <v>23</v>
      </c>
      <c r="H1725">
        <v>9</v>
      </c>
      <c r="I1725" t="s">
        <v>15</v>
      </c>
      <c r="J1725">
        <v>1</v>
      </c>
      <c r="K1725" t="s">
        <v>16</v>
      </c>
      <c r="L1725" t="s">
        <v>29</v>
      </c>
    </row>
    <row r="1726" spans="1:12" x14ac:dyDescent="0.25">
      <c r="A1726">
        <v>1725</v>
      </c>
      <c r="B1726">
        <v>46</v>
      </c>
      <c r="C1726" t="s">
        <v>26</v>
      </c>
      <c r="D1726" s="1">
        <v>45469</v>
      </c>
      <c r="E1726" s="1">
        <v>45476</v>
      </c>
      <c r="F1726" t="s">
        <v>31</v>
      </c>
      <c r="G1726" t="s">
        <v>19</v>
      </c>
      <c r="H1726">
        <v>7</v>
      </c>
      <c r="I1726" t="s">
        <v>15</v>
      </c>
      <c r="J1726">
        <v>0</v>
      </c>
      <c r="K1726" t="s">
        <v>21</v>
      </c>
      <c r="L1726" t="s">
        <v>22</v>
      </c>
    </row>
    <row r="1727" spans="1:12" x14ac:dyDescent="0.25">
      <c r="A1727">
        <v>1726</v>
      </c>
      <c r="B1727">
        <v>86</v>
      </c>
      <c r="C1727" t="s">
        <v>26</v>
      </c>
      <c r="D1727" s="1">
        <v>45463</v>
      </c>
      <c r="E1727" s="1">
        <v>45471</v>
      </c>
      <c r="F1727" t="s">
        <v>31</v>
      </c>
      <c r="G1727" t="s">
        <v>14</v>
      </c>
      <c r="H1727">
        <v>8</v>
      </c>
      <c r="I1727" t="s">
        <v>15</v>
      </c>
      <c r="J1727">
        <v>2</v>
      </c>
      <c r="K1727" t="s">
        <v>24</v>
      </c>
      <c r="L1727" t="s">
        <v>25</v>
      </c>
    </row>
    <row r="1728" spans="1:12" x14ac:dyDescent="0.25">
      <c r="A1728">
        <v>1727</v>
      </c>
      <c r="B1728">
        <v>51</v>
      </c>
      <c r="C1728" t="s">
        <v>26</v>
      </c>
      <c r="D1728" s="1">
        <v>45470</v>
      </c>
      <c r="E1728" s="1">
        <v>45477</v>
      </c>
      <c r="F1728" t="s">
        <v>13</v>
      </c>
      <c r="G1728" t="s">
        <v>23</v>
      </c>
      <c r="H1728">
        <v>7</v>
      </c>
      <c r="I1728" t="s">
        <v>15</v>
      </c>
      <c r="J1728">
        <v>2</v>
      </c>
      <c r="K1728" t="s">
        <v>16</v>
      </c>
      <c r="L1728" t="s">
        <v>22</v>
      </c>
    </row>
    <row r="1729" spans="1:12" x14ac:dyDescent="0.25">
      <c r="A1729">
        <v>1728</v>
      </c>
      <c r="B1729">
        <v>90</v>
      </c>
      <c r="C1729" t="s">
        <v>26</v>
      </c>
      <c r="D1729" s="1">
        <v>45305</v>
      </c>
      <c r="E1729" s="1">
        <v>45318</v>
      </c>
      <c r="F1729" t="s">
        <v>18</v>
      </c>
      <c r="G1729" t="s">
        <v>14</v>
      </c>
      <c r="H1729">
        <v>13</v>
      </c>
      <c r="I1729" t="s">
        <v>15</v>
      </c>
      <c r="J1729">
        <v>4</v>
      </c>
      <c r="K1729" t="s">
        <v>21</v>
      </c>
      <c r="L1729" t="s">
        <v>17</v>
      </c>
    </row>
    <row r="1730" spans="1:12" x14ac:dyDescent="0.25">
      <c r="A1730">
        <v>1729</v>
      </c>
      <c r="B1730">
        <v>62</v>
      </c>
      <c r="C1730" t="s">
        <v>12</v>
      </c>
      <c r="D1730" s="1">
        <v>45343</v>
      </c>
      <c r="E1730" s="1">
        <v>45349</v>
      </c>
      <c r="F1730" t="s">
        <v>28</v>
      </c>
      <c r="G1730" t="s">
        <v>23</v>
      </c>
      <c r="H1730">
        <v>6</v>
      </c>
      <c r="I1730" t="s">
        <v>15</v>
      </c>
      <c r="J1730">
        <v>1</v>
      </c>
      <c r="K1730" t="s">
        <v>16</v>
      </c>
      <c r="L1730" t="s">
        <v>30</v>
      </c>
    </row>
    <row r="1731" spans="1:12" x14ac:dyDescent="0.25">
      <c r="A1731">
        <v>1730</v>
      </c>
      <c r="B1731">
        <v>51</v>
      </c>
      <c r="C1731" t="s">
        <v>12</v>
      </c>
      <c r="D1731" s="1">
        <v>45537</v>
      </c>
      <c r="E1731" s="1">
        <v>45543</v>
      </c>
      <c r="F1731" t="s">
        <v>13</v>
      </c>
      <c r="G1731" t="s">
        <v>14</v>
      </c>
      <c r="H1731">
        <v>6</v>
      </c>
      <c r="I1731" t="s">
        <v>20</v>
      </c>
      <c r="J1731">
        <v>4</v>
      </c>
      <c r="K1731" t="s">
        <v>21</v>
      </c>
      <c r="L1731" t="s">
        <v>29</v>
      </c>
    </row>
    <row r="1732" spans="1:12" x14ac:dyDescent="0.25">
      <c r="A1732">
        <v>1731</v>
      </c>
      <c r="B1732">
        <v>43</v>
      </c>
      <c r="C1732" t="s">
        <v>12</v>
      </c>
      <c r="D1732" s="1">
        <v>45464</v>
      </c>
      <c r="E1732" s="1">
        <v>45478</v>
      </c>
      <c r="F1732" t="s">
        <v>31</v>
      </c>
      <c r="G1732" t="s">
        <v>19</v>
      </c>
      <c r="H1732">
        <v>14</v>
      </c>
      <c r="I1732" t="s">
        <v>15</v>
      </c>
      <c r="J1732">
        <v>2</v>
      </c>
      <c r="K1732" t="s">
        <v>24</v>
      </c>
      <c r="L1732" t="s">
        <v>25</v>
      </c>
    </row>
    <row r="1733" spans="1:12" x14ac:dyDescent="0.25">
      <c r="A1733">
        <v>1732</v>
      </c>
      <c r="B1733">
        <v>26</v>
      </c>
      <c r="C1733" t="s">
        <v>26</v>
      </c>
      <c r="D1733" s="1">
        <v>45382</v>
      </c>
      <c r="E1733" s="1">
        <v>45388</v>
      </c>
      <c r="F1733" t="s">
        <v>13</v>
      </c>
      <c r="G1733" t="s">
        <v>23</v>
      </c>
      <c r="H1733">
        <v>6</v>
      </c>
      <c r="I1733" t="s">
        <v>15</v>
      </c>
      <c r="J1733">
        <v>1</v>
      </c>
      <c r="K1733" t="s">
        <v>21</v>
      </c>
      <c r="L1733" t="s">
        <v>29</v>
      </c>
    </row>
    <row r="1734" spans="1:12" x14ac:dyDescent="0.25">
      <c r="A1734">
        <v>1733</v>
      </c>
      <c r="B1734">
        <v>71</v>
      </c>
      <c r="C1734" t="s">
        <v>26</v>
      </c>
      <c r="D1734" s="1">
        <v>45305</v>
      </c>
      <c r="E1734" s="1">
        <v>45317</v>
      </c>
      <c r="F1734" t="s">
        <v>27</v>
      </c>
      <c r="G1734" t="s">
        <v>23</v>
      </c>
      <c r="H1734">
        <v>12</v>
      </c>
      <c r="I1734" t="s">
        <v>20</v>
      </c>
      <c r="J1734">
        <v>0</v>
      </c>
      <c r="K1734" t="s">
        <v>21</v>
      </c>
      <c r="L1734" t="s">
        <v>17</v>
      </c>
    </row>
    <row r="1735" spans="1:12" x14ac:dyDescent="0.25">
      <c r="A1735">
        <v>1734</v>
      </c>
      <c r="B1735">
        <v>69</v>
      </c>
      <c r="C1735" t="s">
        <v>26</v>
      </c>
      <c r="D1735" s="1">
        <v>45336</v>
      </c>
      <c r="E1735" s="1">
        <v>45350</v>
      </c>
      <c r="F1735" t="s">
        <v>13</v>
      </c>
      <c r="G1735" t="s">
        <v>14</v>
      </c>
      <c r="H1735">
        <v>14</v>
      </c>
      <c r="I1735" t="s">
        <v>15</v>
      </c>
      <c r="J1735">
        <v>2</v>
      </c>
      <c r="K1735" t="s">
        <v>21</v>
      </c>
      <c r="L1735" t="s">
        <v>30</v>
      </c>
    </row>
    <row r="1736" spans="1:12" x14ac:dyDescent="0.25">
      <c r="A1736">
        <v>1735</v>
      </c>
      <c r="B1736">
        <v>25</v>
      </c>
      <c r="C1736" t="s">
        <v>12</v>
      </c>
      <c r="D1736" s="1">
        <v>45298</v>
      </c>
      <c r="E1736" s="1">
        <v>45307</v>
      </c>
      <c r="F1736" t="s">
        <v>27</v>
      </c>
      <c r="G1736" t="s">
        <v>14</v>
      </c>
      <c r="H1736">
        <v>9</v>
      </c>
      <c r="I1736" t="s">
        <v>15</v>
      </c>
      <c r="J1736">
        <v>3</v>
      </c>
      <c r="K1736" t="s">
        <v>16</v>
      </c>
      <c r="L1736" t="s">
        <v>25</v>
      </c>
    </row>
    <row r="1737" spans="1:12" x14ac:dyDescent="0.25">
      <c r="A1737">
        <v>1736</v>
      </c>
      <c r="B1737">
        <v>27</v>
      </c>
      <c r="C1737" t="s">
        <v>26</v>
      </c>
      <c r="D1737" s="1">
        <v>45426</v>
      </c>
      <c r="E1737" s="1">
        <v>45430</v>
      </c>
      <c r="F1737" t="s">
        <v>13</v>
      </c>
      <c r="G1737" t="s">
        <v>19</v>
      </c>
      <c r="H1737">
        <v>4</v>
      </c>
      <c r="I1737" t="s">
        <v>15</v>
      </c>
      <c r="J1737">
        <v>4</v>
      </c>
      <c r="K1737" t="s">
        <v>16</v>
      </c>
      <c r="L1737" t="s">
        <v>30</v>
      </c>
    </row>
    <row r="1738" spans="1:12" x14ac:dyDescent="0.25">
      <c r="A1738">
        <v>1737</v>
      </c>
      <c r="B1738">
        <v>90</v>
      </c>
      <c r="C1738" t="s">
        <v>26</v>
      </c>
      <c r="D1738" s="1">
        <v>45353</v>
      </c>
      <c r="E1738" s="1">
        <v>45359</v>
      </c>
      <c r="F1738" t="s">
        <v>13</v>
      </c>
      <c r="G1738" t="s">
        <v>14</v>
      </c>
      <c r="H1738">
        <v>6</v>
      </c>
      <c r="I1738" t="s">
        <v>15</v>
      </c>
      <c r="J1738">
        <v>4</v>
      </c>
      <c r="K1738" t="s">
        <v>24</v>
      </c>
      <c r="L1738" t="s">
        <v>17</v>
      </c>
    </row>
    <row r="1739" spans="1:12" x14ac:dyDescent="0.25">
      <c r="A1739">
        <v>1738</v>
      </c>
      <c r="B1739">
        <v>66</v>
      </c>
      <c r="C1739" t="s">
        <v>12</v>
      </c>
      <c r="D1739" s="1">
        <v>45650</v>
      </c>
      <c r="E1739" s="1">
        <v>45661</v>
      </c>
      <c r="F1739" t="s">
        <v>13</v>
      </c>
      <c r="G1739" t="s">
        <v>19</v>
      </c>
      <c r="H1739">
        <v>11</v>
      </c>
      <c r="I1739" t="s">
        <v>20</v>
      </c>
      <c r="J1739">
        <v>2</v>
      </c>
      <c r="K1739" t="s">
        <v>24</v>
      </c>
      <c r="L1739" t="s">
        <v>22</v>
      </c>
    </row>
    <row r="1740" spans="1:12" x14ac:dyDescent="0.25">
      <c r="A1740">
        <v>1739</v>
      </c>
      <c r="B1740">
        <v>60</v>
      </c>
      <c r="C1740" t="s">
        <v>26</v>
      </c>
      <c r="D1740" s="1">
        <v>45502</v>
      </c>
      <c r="E1740" s="1">
        <v>45504</v>
      </c>
      <c r="F1740" t="s">
        <v>27</v>
      </c>
      <c r="G1740" t="s">
        <v>14</v>
      </c>
      <c r="H1740">
        <v>2</v>
      </c>
      <c r="I1740" t="s">
        <v>15</v>
      </c>
      <c r="J1740">
        <v>1</v>
      </c>
      <c r="K1740" t="s">
        <v>21</v>
      </c>
      <c r="L1740" t="s">
        <v>30</v>
      </c>
    </row>
    <row r="1741" spans="1:12" x14ac:dyDescent="0.25">
      <c r="A1741">
        <v>1740</v>
      </c>
      <c r="B1741">
        <v>37</v>
      </c>
      <c r="C1741" t="s">
        <v>26</v>
      </c>
      <c r="D1741" s="1">
        <v>45569</v>
      </c>
      <c r="E1741" s="1">
        <v>45575</v>
      </c>
      <c r="F1741" t="s">
        <v>28</v>
      </c>
      <c r="G1741" t="s">
        <v>14</v>
      </c>
      <c r="H1741">
        <v>6</v>
      </c>
      <c r="I1741" t="s">
        <v>15</v>
      </c>
      <c r="J1741">
        <v>2</v>
      </c>
      <c r="K1741" t="s">
        <v>24</v>
      </c>
      <c r="L1741" t="s">
        <v>17</v>
      </c>
    </row>
    <row r="1742" spans="1:12" x14ac:dyDescent="0.25">
      <c r="A1742">
        <v>1741</v>
      </c>
      <c r="B1742">
        <v>60</v>
      </c>
      <c r="C1742" t="s">
        <v>12</v>
      </c>
      <c r="D1742" s="1">
        <v>45321</v>
      </c>
      <c r="E1742" s="1">
        <v>45324</v>
      </c>
      <c r="F1742" t="s">
        <v>13</v>
      </c>
      <c r="G1742" t="s">
        <v>14</v>
      </c>
      <c r="H1742">
        <v>3</v>
      </c>
      <c r="I1742" t="s">
        <v>20</v>
      </c>
      <c r="J1742">
        <v>0</v>
      </c>
      <c r="K1742" t="s">
        <v>16</v>
      </c>
      <c r="L1742" t="s">
        <v>22</v>
      </c>
    </row>
    <row r="1743" spans="1:12" x14ac:dyDescent="0.25">
      <c r="A1743">
        <v>1742</v>
      </c>
      <c r="B1743">
        <v>68</v>
      </c>
      <c r="C1743" t="s">
        <v>12</v>
      </c>
      <c r="D1743" s="1">
        <v>45309</v>
      </c>
      <c r="E1743" s="1">
        <v>45318</v>
      </c>
      <c r="F1743" t="s">
        <v>31</v>
      </c>
      <c r="G1743" t="s">
        <v>23</v>
      </c>
      <c r="H1743">
        <v>9</v>
      </c>
      <c r="I1743" t="s">
        <v>20</v>
      </c>
      <c r="J1743">
        <v>2</v>
      </c>
      <c r="K1743" t="s">
        <v>24</v>
      </c>
      <c r="L1743" t="s">
        <v>30</v>
      </c>
    </row>
    <row r="1744" spans="1:12" x14ac:dyDescent="0.25">
      <c r="A1744">
        <v>1743</v>
      </c>
      <c r="B1744">
        <v>60</v>
      </c>
      <c r="C1744" t="s">
        <v>26</v>
      </c>
      <c r="D1744" s="1">
        <v>45425</v>
      </c>
      <c r="E1744" s="1">
        <v>45435</v>
      </c>
      <c r="F1744" t="s">
        <v>28</v>
      </c>
      <c r="G1744" t="s">
        <v>19</v>
      </c>
      <c r="H1744">
        <v>10</v>
      </c>
      <c r="I1744" t="s">
        <v>20</v>
      </c>
      <c r="J1744">
        <v>0</v>
      </c>
      <c r="K1744" t="s">
        <v>16</v>
      </c>
      <c r="L1744" t="s">
        <v>25</v>
      </c>
    </row>
    <row r="1745" spans="1:12" x14ac:dyDescent="0.25">
      <c r="A1745">
        <v>1744</v>
      </c>
      <c r="B1745">
        <v>53</v>
      </c>
      <c r="C1745" t="s">
        <v>26</v>
      </c>
      <c r="D1745" s="1">
        <v>45566</v>
      </c>
      <c r="E1745" s="1">
        <v>45578</v>
      </c>
      <c r="F1745" t="s">
        <v>13</v>
      </c>
      <c r="G1745" t="s">
        <v>14</v>
      </c>
      <c r="H1745">
        <v>12</v>
      </c>
      <c r="I1745" t="s">
        <v>20</v>
      </c>
      <c r="J1745">
        <v>0</v>
      </c>
      <c r="K1745" t="s">
        <v>21</v>
      </c>
      <c r="L1745" t="s">
        <v>30</v>
      </c>
    </row>
    <row r="1746" spans="1:12" x14ac:dyDescent="0.25">
      <c r="A1746">
        <v>1745</v>
      </c>
      <c r="B1746">
        <v>68</v>
      </c>
      <c r="C1746" t="s">
        <v>26</v>
      </c>
      <c r="D1746" s="1">
        <v>45542</v>
      </c>
      <c r="E1746" s="1">
        <v>45552</v>
      </c>
      <c r="F1746" t="s">
        <v>31</v>
      </c>
      <c r="G1746" t="s">
        <v>19</v>
      </c>
      <c r="H1746">
        <v>10</v>
      </c>
      <c r="I1746" t="s">
        <v>15</v>
      </c>
      <c r="J1746">
        <v>4</v>
      </c>
      <c r="K1746" t="s">
        <v>16</v>
      </c>
      <c r="L1746" t="s">
        <v>29</v>
      </c>
    </row>
    <row r="1747" spans="1:12" x14ac:dyDescent="0.25">
      <c r="A1747">
        <v>1746</v>
      </c>
      <c r="B1747">
        <v>69</v>
      </c>
      <c r="C1747" t="s">
        <v>12</v>
      </c>
      <c r="D1747" s="1">
        <v>45520</v>
      </c>
      <c r="E1747" s="1">
        <v>45524</v>
      </c>
      <c r="F1747" t="s">
        <v>28</v>
      </c>
      <c r="G1747" t="s">
        <v>14</v>
      </c>
      <c r="H1747">
        <v>4</v>
      </c>
      <c r="I1747" t="s">
        <v>20</v>
      </c>
      <c r="J1747">
        <v>2</v>
      </c>
      <c r="K1747" t="s">
        <v>16</v>
      </c>
      <c r="L1747" t="s">
        <v>17</v>
      </c>
    </row>
    <row r="1748" spans="1:12" x14ac:dyDescent="0.25">
      <c r="A1748">
        <v>1747</v>
      </c>
      <c r="B1748">
        <v>39</v>
      </c>
      <c r="C1748" t="s">
        <v>12</v>
      </c>
      <c r="D1748" s="1">
        <v>45453</v>
      </c>
      <c r="E1748" s="1">
        <v>45462</v>
      </c>
      <c r="F1748" t="s">
        <v>27</v>
      </c>
      <c r="G1748" t="s">
        <v>14</v>
      </c>
      <c r="H1748">
        <v>9</v>
      </c>
      <c r="I1748" t="s">
        <v>15</v>
      </c>
      <c r="J1748">
        <v>0</v>
      </c>
      <c r="K1748" t="s">
        <v>16</v>
      </c>
      <c r="L1748" t="s">
        <v>30</v>
      </c>
    </row>
    <row r="1749" spans="1:12" x14ac:dyDescent="0.25">
      <c r="A1749">
        <v>1748</v>
      </c>
      <c r="B1749">
        <v>59</v>
      </c>
      <c r="C1749" t="s">
        <v>26</v>
      </c>
      <c r="D1749" s="1">
        <v>45527</v>
      </c>
      <c r="E1749" s="1">
        <v>45530</v>
      </c>
      <c r="F1749" t="s">
        <v>31</v>
      </c>
      <c r="G1749" t="s">
        <v>14</v>
      </c>
      <c r="H1749">
        <v>3</v>
      </c>
      <c r="I1749" t="s">
        <v>15</v>
      </c>
      <c r="J1749">
        <v>1</v>
      </c>
      <c r="K1749" t="s">
        <v>21</v>
      </c>
      <c r="L1749" t="s">
        <v>17</v>
      </c>
    </row>
    <row r="1750" spans="1:12" x14ac:dyDescent="0.25">
      <c r="A1750">
        <v>1749</v>
      </c>
      <c r="B1750">
        <v>68</v>
      </c>
      <c r="C1750" t="s">
        <v>26</v>
      </c>
      <c r="D1750" s="1">
        <v>45357</v>
      </c>
      <c r="E1750" s="1">
        <v>45369</v>
      </c>
      <c r="F1750" t="s">
        <v>31</v>
      </c>
      <c r="G1750" t="s">
        <v>23</v>
      </c>
      <c r="H1750">
        <v>12</v>
      </c>
      <c r="I1750" t="s">
        <v>20</v>
      </c>
      <c r="J1750">
        <v>3</v>
      </c>
      <c r="K1750" t="s">
        <v>16</v>
      </c>
      <c r="L1750" t="s">
        <v>29</v>
      </c>
    </row>
    <row r="1751" spans="1:12" x14ac:dyDescent="0.25">
      <c r="A1751">
        <v>1750</v>
      </c>
      <c r="B1751">
        <v>53</v>
      </c>
      <c r="C1751" t="s">
        <v>26</v>
      </c>
      <c r="D1751" s="1">
        <v>45340</v>
      </c>
      <c r="E1751" s="1">
        <v>45344</v>
      </c>
      <c r="F1751" t="s">
        <v>13</v>
      </c>
      <c r="G1751" t="s">
        <v>14</v>
      </c>
      <c r="H1751">
        <v>4</v>
      </c>
      <c r="I1751" t="s">
        <v>15</v>
      </c>
      <c r="J1751">
        <v>3</v>
      </c>
      <c r="K1751" t="s">
        <v>21</v>
      </c>
      <c r="L1751" t="s">
        <v>22</v>
      </c>
    </row>
    <row r="1752" spans="1:12" x14ac:dyDescent="0.25">
      <c r="A1752">
        <v>1751</v>
      </c>
      <c r="B1752">
        <v>33</v>
      </c>
      <c r="C1752" t="s">
        <v>12</v>
      </c>
      <c r="D1752" s="1">
        <v>45522</v>
      </c>
      <c r="E1752" s="1">
        <v>45527</v>
      </c>
      <c r="F1752" t="s">
        <v>31</v>
      </c>
      <c r="G1752" t="s">
        <v>23</v>
      </c>
      <c r="H1752">
        <v>5</v>
      </c>
      <c r="I1752" t="s">
        <v>20</v>
      </c>
      <c r="J1752">
        <v>0</v>
      </c>
      <c r="K1752" t="s">
        <v>24</v>
      </c>
      <c r="L1752" t="s">
        <v>22</v>
      </c>
    </row>
    <row r="1753" spans="1:12" x14ac:dyDescent="0.25">
      <c r="A1753">
        <v>1752</v>
      </c>
      <c r="B1753">
        <v>88</v>
      </c>
      <c r="C1753" t="s">
        <v>12</v>
      </c>
      <c r="D1753" s="1">
        <v>45457</v>
      </c>
      <c r="E1753" s="1">
        <v>45459</v>
      </c>
      <c r="F1753" t="s">
        <v>27</v>
      </c>
      <c r="G1753" t="s">
        <v>19</v>
      </c>
      <c r="H1753">
        <v>2</v>
      </c>
      <c r="I1753" t="s">
        <v>15</v>
      </c>
      <c r="J1753">
        <v>2</v>
      </c>
      <c r="K1753" t="s">
        <v>21</v>
      </c>
      <c r="L1753" t="s">
        <v>29</v>
      </c>
    </row>
    <row r="1754" spans="1:12" x14ac:dyDescent="0.25">
      <c r="A1754">
        <v>1753</v>
      </c>
      <c r="B1754">
        <v>84</v>
      </c>
      <c r="C1754" t="s">
        <v>26</v>
      </c>
      <c r="D1754" s="1">
        <v>45579</v>
      </c>
      <c r="E1754" s="1">
        <v>45584</v>
      </c>
      <c r="F1754" t="s">
        <v>28</v>
      </c>
      <c r="G1754" t="s">
        <v>14</v>
      </c>
      <c r="H1754">
        <v>5</v>
      </c>
      <c r="I1754" t="s">
        <v>15</v>
      </c>
      <c r="J1754">
        <v>3</v>
      </c>
      <c r="K1754" t="s">
        <v>16</v>
      </c>
      <c r="L1754" t="s">
        <v>29</v>
      </c>
    </row>
    <row r="1755" spans="1:12" x14ac:dyDescent="0.25">
      <c r="A1755">
        <v>1754</v>
      </c>
      <c r="B1755">
        <v>62</v>
      </c>
      <c r="C1755" t="s">
        <v>12</v>
      </c>
      <c r="D1755" s="1">
        <v>45383</v>
      </c>
      <c r="E1755" s="1">
        <v>45386</v>
      </c>
      <c r="F1755" t="s">
        <v>18</v>
      </c>
      <c r="G1755" t="s">
        <v>19</v>
      </c>
      <c r="H1755">
        <v>3</v>
      </c>
      <c r="I1755" t="s">
        <v>20</v>
      </c>
      <c r="J1755">
        <v>3</v>
      </c>
      <c r="K1755" t="s">
        <v>24</v>
      </c>
      <c r="L1755" t="s">
        <v>30</v>
      </c>
    </row>
    <row r="1756" spans="1:12" x14ac:dyDescent="0.25">
      <c r="A1756">
        <v>1755</v>
      </c>
      <c r="B1756">
        <v>59</v>
      </c>
      <c r="C1756" t="s">
        <v>26</v>
      </c>
      <c r="D1756" s="1">
        <v>45354</v>
      </c>
      <c r="E1756" s="1">
        <v>45366</v>
      </c>
      <c r="F1756" t="s">
        <v>31</v>
      </c>
      <c r="G1756" t="s">
        <v>14</v>
      </c>
      <c r="H1756">
        <v>12</v>
      </c>
      <c r="I1756" t="s">
        <v>20</v>
      </c>
      <c r="J1756">
        <v>2</v>
      </c>
      <c r="K1756" t="s">
        <v>16</v>
      </c>
      <c r="L1756" t="s">
        <v>22</v>
      </c>
    </row>
    <row r="1757" spans="1:12" x14ac:dyDescent="0.25">
      <c r="A1757">
        <v>1756</v>
      </c>
      <c r="B1757">
        <v>42</v>
      </c>
      <c r="C1757" t="s">
        <v>26</v>
      </c>
      <c r="D1757" s="1">
        <v>45324</v>
      </c>
      <c r="E1757" s="1">
        <v>45339</v>
      </c>
      <c r="F1757" t="s">
        <v>31</v>
      </c>
      <c r="G1757" t="s">
        <v>19</v>
      </c>
      <c r="H1757">
        <v>15</v>
      </c>
      <c r="I1757" t="s">
        <v>15</v>
      </c>
      <c r="J1757">
        <v>4</v>
      </c>
      <c r="K1757" t="s">
        <v>24</v>
      </c>
      <c r="L1757" t="s">
        <v>30</v>
      </c>
    </row>
    <row r="1758" spans="1:12" x14ac:dyDescent="0.25">
      <c r="A1758">
        <v>1757</v>
      </c>
      <c r="B1758">
        <v>86</v>
      </c>
      <c r="C1758" t="s">
        <v>26</v>
      </c>
      <c r="D1758" s="1">
        <v>45494</v>
      </c>
      <c r="E1758" s="1">
        <v>45504</v>
      </c>
      <c r="F1758" t="s">
        <v>27</v>
      </c>
      <c r="G1758" t="s">
        <v>19</v>
      </c>
      <c r="H1758">
        <v>10</v>
      </c>
      <c r="I1758" t="s">
        <v>15</v>
      </c>
      <c r="J1758">
        <v>2</v>
      </c>
      <c r="K1758" t="s">
        <v>21</v>
      </c>
      <c r="L1758" t="s">
        <v>22</v>
      </c>
    </row>
    <row r="1759" spans="1:12" x14ac:dyDescent="0.25">
      <c r="A1759">
        <v>1758</v>
      </c>
      <c r="B1759">
        <v>57</v>
      </c>
      <c r="C1759" t="s">
        <v>26</v>
      </c>
      <c r="D1759" s="1">
        <v>45451</v>
      </c>
      <c r="E1759" s="1">
        <v>45462</v>
      </c>
      <c r="F1759" t="s">
        <v>28</v>
      </c>
      <c r="G1759" t="s">
        <v>23</v>
      </c>
      <c r="H1759">
        <v>11</v>
      </c>
      <c r="I1759" t="s">
        <v>20</v>
      </c>
      <c r="J1759">
        <v>1</v>
      </c>
      <c r="K1759" t="s">
        <v>21</v>
      </c>
      <c r="L1759" t="s">
        <v>22</v>
      </c>
    </row>
    <row r="1760" spans="1:12" x14ac:dyDescent="0.25">
      <c r="A1760">
        <v>1759</v>
      </c>
      <c r="B1760">
        <v>61</v>
      </c>
      <c r="C1760" t="s">
        <v>26</v>
      </c>
      <c r="D1760" s="1">
        <v>45435</v>
      </c>
      <c r="E1760" s="1">
        <v>45445</v>
      </c>
      <c r="F1760" t="s">
        <v>13</v>
      </c>
      <c r="G1760" t="s">
        <v>19</v>
      </c>
      <c r="H1760">
        <v>10</v>
      </c>
      <c r="I1760" t="s">
        <v>15</v>
      </c>
      <c r="J1760">
        <v>0</v>
      </c>
      <c r="K1760" t="s">
        <v>16</v>
      </c>
      <c r="L1760" t="s">
        <v>30</v>
      </c>
    </row>
    <row r="1761" spans="1:12" x14ac:dyDescent="0.25">
      <c r="A1761">
        <v>1760</v>
      </c>
      <c r="B1761">
        <v>47</v>
      </c>
      <c r="C1761" t="s">
        <v>26</v>
      </c>
      <c r="D1761" s="1">
        <v>45522</v>
      </c>
      <c r="E1761" s="1">
        <v>45526</v>
      </c>
      <c r="F1761" t="s">
        <v>28</v>
      </c>
      <c r="G1761" t="s">
        <v>23</v>
      </c>
      <c r="H1761">
        <v>4</v>
      </c>
      <c r="I1761" t="s">
        <v>15</v>
      </c>
      <c r="J1761">
        <v>4</v>
      </c>
      <c r="K1761" t="s">
        <v>16</v>
      </c>
      <c r="L1761" t="s">
        <v>29</v>
      </c>
    </row>
    <row r="1762" spans="1:12" x14ac:dyDescent="0.25">
      <c r="A1762">
        <v>1761</v>
      </c>
      <c r="B1762">
        <v>28</v>
      </c>
      <c r="C1762" t="s">
        <v>12</v>
      </c>
      <c r="D1762" s="1">
        <v>45439</v>
      </c>
      <c r="E1762" s="1">
        <v>45449</v>
      </c>
      <c r="F1762" t="s">
        <v>28</v>
      </c>
      <c r="G1762" t="s">
        <v>14</v>
      </c>
      <c r="H1762">
        <v>10</v>
      </c>
      <c r="I1762" t="s">
        <v>15</v>
      </c>
      <c r="J1762">
        <v>2</v>
      </c>
      <c r="K1762" t="s">
        <v>24</v>
      </c>
      <c r="L1762" t="s">
        <v>17</v>
      </c>
    </row>
    <row r="1763" spans="1:12" x14ac:dyDescent="0.25">
      <c r="A1763">
        <v>1762</v>
      </c>
      <c r="B1763">
        <v>83</v>
      </c>
      <c r="C1763" t="s">
        <v>26</v>
      </c>
      <c r="D1763" s="1">
        <v>45306</v>
      </c>
      <c r="E1763" s="1">
        <v>45310</v>
      </c>
      <c r="F1763" t="s">
        <v>31</v>
      </c>
      <c r="G1763" t="s">
        <v>19</v>
      </c>
      <c r="H1763">
        <v>4</v>
      </c>
      <c r="I1763" t="s">
        <v>20</v>
      </c>
      <c r="J1763">
        <v>0</v>
      </c>
      <c r="K1763" t="s">
        <v>24</v>
      </c>
      <c r="L1763" t="s">
        <v>17</v>
      </c>
    </row>
    <row r="1764" spans="1:12" x14ac:dyDescent="0.25">
      <c r="A1764">
        <v>1763</v>
      </c>
      <c r="B1764">
        <v>37</v>
      </c>
      <c r="C1764" t="s">
        <v>26</v>
      </c>
      <c r="D1764" s="1">
        <v>45656</v>
      </c>
      <c r="E1764" s="1">
        <v>45661</v>
      </c>
      <c r="F1764" t="s">
        <v>27</v>
      </c>
      <c r="G1764" t="s">
        <v>14</v>
      </c>
      <c r="H1764">
        <v>5</v>
      </c>
      <c r="I1764" t="s">
        <v>15</v>
      </c>
      <c r="J1764">
        <v>0</v>
      </c>
      <c r="K1764" t="s">
        <v>21</v>
      </c>
      <c r="L1764" t="s">
        <v>25</v>
      </c>
    </row>
    <row r="1765" spans="1:12" x14ac:dyDescent="0.25">
      <c r="A1765">
        <v>1764</v>
      </c>
      <c r="B1765">
        <v>79</v>
      </c>
      <c r="C1765" t="s">
        <v>26</v>
      </c>
      <c r="D1765" s="1">
        <v>45304</v>
      </c>
      <c r="E1765" s="1">
        <v>45315</v>
      </c>
      <c r="F1765" t="s">
        <v>13</v>
      </c>
      <c r="G1765" t="s">
        <v>19</v>
      </c>
      <c r="H1765">
        <v>11</v>
      </c>
      <c r="I1765" t="s">
        <v>15</v>
      </c>
      <c r="J1765">
        <v>2</v>
      </c>
      <c r="K1765" t="s">
        <v>21</v>
      </c>
      <c r="L1765" t="s">
        <v>17</v>
      </c>
    </row>
    <row r="1766" spans="1:12" x14ac:dyDescent="0.25">
      <c r="A1766">
        <v>1765</v>
      </c>
      <c r="B1766">
        <v>40</v>
      </c>
      <c r="C1766" t="s">
        <v>12</v>
      </c>
      <c r="D1766" s="1">
        <v>45564</v>
      </c>
      <c r="E1766" s="1">
        <v>45576</v>
      </c>
      <c r="F1766" t="s">
        <v>31</v>
      </c>
      <c r="G1766" t="s">
        <v>19</v>
      </c>
      <c r="H1766">
        <v>12</v>
      </c>
      <c r="I1766" t="s">
        <v>20</v>
      </c>
      <c r="J1766">
        <v>0</v>
      </c>
      <c r="K1766" t="s">
        <v>16</v>
      </c>
      <c r="L1766" t="s">
        <v>25</v>
      </c>
    </row>
    <row r="1767" spans="1:12" x14ac:dyDescent="0.25">
      <c r="A1767">
        <v>1766</v>
      </c>
      <c r="B1767">
        <v>53</v>
      </c>
      <c r="C1767" t="s">
        <v>12</v>
      </c>
      <c r="D1767" s="1">
        <v>45346</v>
      </c>
      <c r="E1767" s="1">
        <v>45360</v>
      </c>
      <c r="F1767" t="s">
        <v>31</v>
      </c>
      <c r="G1767" t="s">
        <v>19</v>
      </c>
      <c r="H1767">
        <v>14</v>
      </c>
      <c r="I1767" t="s">
        <v>15</v>
      </c>
      <c r="J1767">
        <v>3</v>
      </c>
      <c r="K1767" t="s">
        <v>24</v>
      </c>
      <c r="L1767" t="s">
        <v>29</v>
      </c>
    </row>
    <row r="1768" spans="1:12" x14ac:dyDescent="0.25">
      <c r="A1768">
        <v>1767</v>
      </c>
      <c r="B1768">
        <v>20</v>
      </c>
      <c r="C1768" t="s">
        <v>26</v>
      </c>
      <c r="D1768" s="1">
        <v>45630</v>
      </c>
      <c r="E1768" s="1">
        <v>45644</v>
      </c>
      <c r="F1768" t="s">
        <v>27</v>
      </c>
      <c r="G1768" t="s">
        <v>19</v>
      </c>
      <c r="H1768">
        <v>14</v>
      </c>
      <c r="I1768" t="s">
        <v>15</v>
      </c>
      <c r="J1768">
        <v>0</v>
      </c>
      <c r="K1768" t="s">
        <v>21</v>
      </c>
      <c r="L1768" t="s">
        <v>25</v>
      </c>
    </row>
    <row r="1769" spans="1:12" x14ac:dyDescent="0.25">
      <c r="A1769">
        <v>1768</v>
      </c>
      <c r="B1769">
        <v>48</v>
      </c>
      <c r="C1769" t="s">
        <v>12</v>
      </c>
      <c r="D1769" s="1">
        <v>45462</v>
      </c>
      <c r="E1769" s="1">
        <v>45464</v>
      </c>
      <c r="F1769" t="s">
        <v>31</v>
      </c>
      <c r="G1769" t="s">
        <v>23</v>
      </c>
      <c r="H1769">
        <v>2</v>
      </c>
      <c r="I1769" t="s">
        <v>20</v>
      </c>
      <c r="J1769">
        <v>0</v>
      </c>
      <c r="K1769" t="s">
        <v>16</v>
      </c>
      <c r="L1769" t="s">
        <v>25</v>
      </c>
    </row>
    <row r="1770" spans="1:12" x14ac:dyDescent="0.25">
      <c r="A1770">
        <v>1769</v>
      </c>
      <c r="B1770">
        <v>79</v>
      </c>
      <c r="C1770" t="s">
        <v>12</v>
      </c>
      <c r="D1770" s="1">
        <v>45357</v>
      </c>
      <c r="E1770" s="1">
        <v>45358</v>
      </c>
      <c r="F1770" t="s">
        <v>27</v>
      </c>
      <c r="G1770" t="s">
        <v>14</v>
      </c>
      <c r="H1770">
        <v>1</v>
      </c>
      <c r="I1770" t="s">
        <v>15</v>
      </c>
      <c r="J1770">
        <v>4</v>
      </c>
      <c r="K1770" t="s">
        <v>16</v>
      </c>
      <c r="L1770" t="s">
        <v>22</v>
      </c>
    </row>
    <row r="1771" spans="1:12" x14ac:dyDescent="0.25">
      <c r="A1771">
        <v>1770</v>
      </c>
      <c r="B1771">
        <v>61</v>
      </c>
      <c r="C1771" t="s">
        <v>12</v>
      </c>
      <c r="D1771" s="1">
        <v>45541</v>
      </c>
      <c r="E1771" s="1">
        <v>45543</v>
      </c>
      <c r="F1771" t="s">
        <v>18</v>
      </c>
      <c r="G1771" t="s">
        <v>23</v>
      </c>
      <c r="H1771">
        <v>2</v>
      </c>
      <c r="I1771" t="s">
        <v>15</v>
      </c>
      <c r="J1771">
        <v>4</v>
      </c>
      <c r="K1771" t="s">
        <v>21</v>
      </c>
      <c r="L1771" t="s">
        <v>29</v>
      </c>
    </row>
    <row r="1772" spans="1:12" x14ac:dyDescent="0.25">
      <c r="A1772">
        <v>1771</v>
      </c>
      <c r="B1772">
        <v>41</v>
      </c>
      <c r="C1772" t="s">
        <v>12</v>
      </c>
      <c r="D1772" s="1">
        <v>45342</v>
      </c>
      <c r="E1772" s="1">
        <v>45353</v>
      </c>
      <c r="F1772" t="s">
        <v>13</v>
      </c>
      <c r="G1772" t="s">
        <v>23</v>
      </c>
      <c r="H1772">
        <v>11</v>
      </c>
      <c r="I1772" t="s">
        <v>15</v>
      </c>
      <c r="J1772">
        <v>2</v>
      </c>
      <c r="K1772" t="s">
        <v>16</v>
      </c>
      <c r="L1772" t="s">
        <v>17</v>
      </c>
    </row>
    <row r="1773" spans="1:12" x14ac:dyDescent="0.25">
      <c r="A1773">
        <v>1772</v>
      </c>
      <c r="B1773">
        <v>86</v>
      </c>
      <c r="C1773" t="s">
        <v>26</v>
      </c>
      <c r="D1773" s="1">
        <v>45548</v>
      </c>
      <c r="E1773" s="1">
        <v>45555</v>
      </c>
      <c r="F1773" t="s">
        <v>31</v>
      </c>
      <c r="G1773" t="s">
        <v>23</v>
      </c>
      <c r="H1773">
        <v>7</v>
      </c>
      <c r="I1773" t="s">
        <v>15</v>
      </c>
      <c r="J1773">
        <v>2</v>
      </c>
      <c r="K1773" t="s">
        <v>16</v>
      </c>
      <c r="L1773" t="s">
        <v>29</v>
      </c>
    </row>
    <row r="1774" spans="1:12" x14ac:dyDescent="0.25">
      <c r="A1774">
        <v>1773</v>
      </c>
      <c r="B1774">
        <v>35</v>
      </c>
      <c r="C1774" t="s">
        <v>12</v>
      </c>
      <c r="D1774" s="1">
        <v>45533</v>
      </c>
      <c r="E1774" s="1">
        <v>45536</v>
      </c>
      <c r="F1774" t="s">
        <v>28</v>
      </c>
      <c r="G1774" t="s">
        <v>14</v>
      </c>
      <c r="H1774">
        <v>3</v>
      </c>
      <c r="I1774" t="s">
        <v>20</v>
      </c>
      <c r="J1774">
        <v>1</v>
      </c>
      <c r="K1774" t="s">
        <v>24</v>
      </c>
      <c r="L1774" t="s">
        <v>22</v>
      </c>
    </row>
    <row r="1775" spans="1:12" x14ac:dyDescent="0.25">
      <c r="A1775">
        <v>1774</v>
      </c>
      <c r="B1775">
        <v>23</v>
      </c>
      <c r="C1775" t="s">
        <v>12</v>
      </c>
      <c r="D1775" s="1">
        <v>45574</v>
      </c>
      <c r="E1775" s="1">
        <v>45581</v>
      </c>
      <c r="F1775" t="s">
        <v>13</v>
      </c>
      <c r="G1775" t="s">
        <v>14</v>
      </c>
      <c r="H1775">
        <v>7</v>
      </c>
      <c r="I1775" t="s">
        <v>15</v>
      </c>
      <c r="J1775">
        <v>2</v>
      </c>
      <c r="K1775" t="s">
        <v>24</v>
      </c>
      <c r="L1775" t="s">
        <v>25</v>
      </c>
    </row>
    <row r="1776" spans="1:12" x14ac:dyDescent="0.25">
      <c r="A1776">
        <v>1775</v>
      </c>
      <c r="B1776">
        <v>52</v>
      </c>
      <c r="C1776" t="s">
        <v>12</v>
      </c>
      <c r="D1776" s="1">
        <v>45322</v>
      </c>
      <c r="E1776" s="1">
        <v>45326</v>
      </c>
      <c r="F1776" t="s">
        <v>27</v>
      </c>
      <c r="G1776" t="s">
        <v>19</v>
      </c>
      <c r="H1776">
        <v>4</v>
      </c>
      <c r="I1776" t="s">
        <v>20</v>
      </c>
      <c r="J1776">
        <v>3</v>
      </c>
      <c r="K1776" t="s">
        <v>24</v>
      </c>
      <c r="L1776" t="s">
        <v>17</v>
      </c>
    </row>
    <row r="1777" spans="1:12" x14ac:dyDescent="0.25">
      <c r="A1777">
        <v>1776</v>
      </c>
      <c r="B1777">
        <v>77</v>
      </c>
      <c r="C1777" t="s">
        <v>26</v>
      </c>
      <c r="D1777" s="1">
        <v>45545</v>
      </c>
      <c r="E1777" s="1">
        <v>45560</v>
      </c>
      <c r="F1777" t="s">
        <v>31</v>
      </c>
      <c r="G1777" t="s">
        <v>14</v>
      </c>
      <c r="H1777">
        <v>15</v>
      </c>
      <c r="I1777" t="s">
        <v>20</v>
      </c>
      <c r="J1777">
        <v>2</v>
      </c>
      <c r="K1777" t="s">
        <v>24</v>
      </c>
      <c r="L1777" t="s">
        <v>29</v>
      </c>
    </row>
    <row r="1778" spans="1:12" x14ac:dyDescent="0.25">
      <c r="A1778">
        <v>1777</v>
      </c>
      <c r="B1778">
        <v>36</v>
      </c>
      <c r="C1778" t="s">
        <v>12</v>
      </c>
      <c r="D1778" s="1">
        <v>45652</v>
      </c>
      <c r="E1778" s="1">
        <v>45660</v>
      </c>
      <c r="F1778" t="s">
        <v>13</v>
      </c>
      <c r="G1778" t="s">
        <v>14</v>
      </c>
      <c r="H1778">
        <v>8</v>
      </c>
      <c r="I1778" t="s">
        <v>15</v>
      </c>
      <c r="J1778">
        <v>3</v>
      </c>
      <c r="K1778" t="s">
        <v>16</v>
      </c>
      <c r="L1778" t="s">
        <v>25</v>
      </c>
    </row>
    <row r="1779" spans="1:12" x14ac:dyDescent="0.25">
      <c r="A1779">
        <v>1778</v>
      </c>
      <c r="B1779">
        <v>76</v>
      </c>
      <c r="C1779" t="s">
        <v>26</v>
      </c>
      <c r="D1779" s="1">
        <v>45457</v>
      </c>
      <c r="E1779" s="1">
        <v>45463</v>
      </c>
      <c r="F1779" t="s">
        <v>13</v>
      </c>
      <c r="G1779" t="s">
        <v>14</v>
      </c>
      <c r="H1779">
        <v>6</v>
      </c>
      <c r="I1779" t="s">
        <v>15</v>
      </c>
      <c r="J1779">
        <v>2</v>
      </c>
      <c r="K1779" t="s">
        <v>21</v>
      </c>
      <c r="L1779" t="s">
        <v>25</v>
      </c>
    </row>
    <row r="1780" spans="1:12" x14ac:dyDescent="0.25">
      <c r="A1780">
        <v>1779</v>
      </c>
      <c r="B1780">
        <v>20</v>
      </c>
      <c r="C1780" t="s">
        <v>26</v>
      </c>
      <c r="D1780" s="1">
        <v>45453</v>
      </c>
      <c r="E1780" s="1">
        <v>45460</v>
      </c>
      <c r="F1780" t="s">
        <v>27</v>
      </c>
      <c r="G1780" t="s">
        <v>19</v>
      </c>
      <c r="H1780">
        <v>7</v>
      </c>
      <c r="I1780" t="s">
        <v>20</v>
      </c>
      <c r="J1780">
        <v>3</v>
      </c>
      <c r="K1780" t="s">
        <v>24</v>
      </c>
      <c r="L1780" t="s">
        <v>17</v>
      </c>
    </row>
    <row r="1781" spans="1:12" x14ac:dyDescent="0.25">
      <c r="A1781">
        <v>1780</v>
      </c>
      <c r="B1781">
        <v>62</v>
      </c>
      <c r="C1781" t="s">
        <v>26</v>
      </c>
      <c r="D1781" s="1">
        <v>45502</v>
      </c>
      <c r="E1781" s="1">
        <v>45508</v>
      </c>
      <c r="F1781" t="s">
        <v>13</v>
      </c>
      <c r="G1781" t="s">
        <v>23</v>
      </c>
      <c r="H1781">
        <v>6</v>
      </c>
      <c r="I1781" t="s">
        <v>20</v>
      </c>
      <c r="J1781">
        <v>4</v>
      </c>
      <c r="K1781" t="s">
        <v>16</v>
      </c>
      <c r="L1781" t="s">
        <v>22</v>
      </c>
    </row>
    <row r="1782" spans="1:12" x14ac:dyDescent="0.25">
      <c r="A1782">
        <v>1781</v>
      </c>
      <c r="B1782">
        <v>89</v>
      </c>
      <c r="C1782" t="s">
        <v>26</v>
      </c>
      <c r="D1782" s="1">
        <v>45352</v>
      </c>
      <c r="E1782" s="1">
        <v>45366</v>
      </c>
      <c r="F1782" t="s">
        <v>28</v>
      </c>
      <c r="G1782" t="s">
        <v>23</v>
      </c>
      <c r="H1782">
        <v>14</v>
      </c>
      <c r="I1782" t="s">
        <v>15</v>
      </c>
      <c r="J1782">
        <v>4</v>
      </c>
      <c r="K1782" t="s">
        <v>21</v>
      </c>
      <c r="L1782" t="s">
        <v>29</v>
      </c>
    </row>
    <row r="1783" spans="1:12" x14ac:dyDescent="0.25">
      <c r="A1783">
        <v>1782</v>
      </c>
      <c r="B1783">
        <v>74</v>
      </c>
      <c r="C1783" t="s">
        <v>26</v>
      </c>
      <c r="D1783" s="1">
        <v>45514</v>
      </c>
      <c r="E1783" s="1">
        <v>45517</v>
      </c>
      <c r="F1783" t="s">
        <v>27</v>
      </c>
      <c r="G1783" t="s">
        <v>14</v>
      </c>
      <c r="H1783">
        <v>3</v>
      </c>
      <c r="I1783" t="s">
        <v>15</v>
      </c>
      <c r="J1783">
        <v>3</v>
      </c>
      <c r="K1783" t="s">
        <v>21</v>
      </c>
      <c r="L1783" t="s">
        <v>30</v>
      </c>
    </row>
    <row r="1784" spans="1:12" x14ac:dyDescent="0.25">
      <c r="A1784">
        <v>1783</v>
      </c>
      <c r="B1784">
        <v>29</v>
      </c>
      <c r="C1784" t="s">
        <v>12</v>
      </c>
      <c r="D1784" s="1">
        <v>45451</v>
      </c>
      <c r="E1784" s="1">
        <v>45452</v>
      </c>
      <c r="F1784" t="s">
        <v>31</v>
      </c>
      <c r="G1784" t="s">
        <v>14</v>
      </c>
      <c r="H1784">
        <v>1</v>
      </c>
      <c r="I1784" t="s">
        <v>20</v>
      </c>
      <c r="J1784">
        <v>1</v>
      </c>
      <c r="K1784" t="s">
        <v>24</v>
      </c>
      <c r="L1784" t="s">
        <v>30</v>
      </c>
    </row>
    <row r="1785" spans="1:12" x14ac:dyDescent="0.25">
      <c r="A1785">
        <v>1784</v>
      </c>
      <c r="B1785">
        <v>53</v>
      </c>
      <c r="C1785" t="s">
        <v>26</v>
      </c>
      <c r="D1785" s="1">
        <v>45339</v>
      </c>
      <c r="E1785" s="1">
        <v>45340</v>
      </c>
      <c r="F1785" t="s">
        <v>27</v>
      </c>
      <c r="G1785" t="s">
        <v>23</v>
      </c>
      <c r="H1785">
        <v>1</v>
      </c>
      <c r="I1785" t="s">
        <v>20</v>
      </c>
      <c r="J1785">
        <v>2</v>
      </c>
      <c r="K1785" t="s">
        <v>24</v>
      </c>
      <c r="L1785" t="s">
        <v>25</v>
      </c>
    </row>
    <row r="1786" spans="1:12" x14ac:dyDescent="0.25">
      <c r="A1786">
        <v>1785</v>
      </c>
      <c r="B1786">
        <v>76</v>
      </c>
      <c r="C1786" t="s">
        <v>26</v>
      </c>
      <c r="D1786" s="1">
        <v>45380</v>
      </c>
      <c r="E1786" s="1">
        <v>45381</v>
      </c>
      <c r="F1786" t="s">
        <v>31</v>
      </c>
      <c r="G1786" t="s">
        <v>19</v>
      </c>
      <c r="H1786">
        <v>1</v>
      </c>
      <c r="I1786" t="s">
        <v>15</v>
      </c>
      <c r="J1786">
        <v>1</v>
      </c>
      <c r="K1786" t="s">
        <v>24</v>
      </c>
      <c r="L1786" t="s">
        <v>22</v>
      </c>
    </row>
    <row r="1787" spans="1:12" x14ac:dyDescent="0.25">
      <c r="A1787">
        <v>1786</v>
      </c>
      <c r="B1787">
        <v>77</v>
      </c>
      <c r="C1787" t="s">
        <v>26</v>
      </c>
      <c r="D1787" s="1">
        <v>45655</v>
      </c>
      <c r="E1787" s="1">
        <v>45660</v>
      </c>
      <c r="F1787" t="s">
        <v>27</v>
      </c>
      <c r="G1787" t="s">
        <v>23</v>
      </c>
      <c r="H1787">
        <v>5</v>
      </c>
      <c r="I1787" t="s">
        <v>15</v>
      </c>
      <c r="J1787">
        <v>3</v>
      </c>
      <c r="K1787" t="s">
        <v>21</v>
      </c>
      <c r="L1787" t="s">
        <v>30</v>
      </c>
    </row>
    <row r="1788" spans="1:12" x14ac:dyDescent="0.25">
      <c r="A1788">
        <v>1787</v>
      </c>
      <c r="B1788">
        <v>87</v>
      </c>
      <c r="C1788" t="s">
        <v>26</v>
      </c>
      <c r="D1788" s="1">
        <v>45600</v>
      </c>
      <c r="E1788" s="1">
        <v>45605</v>
      </c>
      <c r="F1788" t="s">
        <v>31</v>
      </c>
      <c r="G1788" t="s">
        <v>23</v>
      </c>
      <c r="H1788">
        <v>5</v>
      </c>
      <c r="I1788" t="s">
        <v>15</v>
      </c>
      <c r="J1788">
        <v>1</v>
      </c>
      <c r="K1788" t="s">
        <v>16</v>
      </c>
      <c r="L1788" t="s">
        <v>29</v>
      </c>
    </row>
    <row r="1789" spans="1:12" x14ac:dyDescent="0.25">
      <c r="A1789">
        <v>1788</v>
      </c>
      <c r="B1789">
        <v>32</v>
      </c>
      <c r="C1789" t="s">
        <v>26</v>
      </c>
      <c r="D1789" s="1">
        <v>45572</v>
      </c>
      <c r="E1789" s="1">
        <v>45582</v>
      </c>
      <c r="F1789" t="s">
        <v>28</v>
      </c>
      <c r="G1789" t="s">
        <v>19</v>
      </c>
      <c r="H1789">
        <v>10</v>
      </c>
      <c r="I1789" t="s">
        <v>15</v>
      </c>
      <c r="J1789">
        <v>3</v>
      </c>
      <c r="K1789" t="s">
        <v>21</v>
      </c>
      <c r="L1789" t="s">
        <v>22</v>
      </c>
    </row>
    <row r="1790" spans="1:12" x14ac:dyDescent="0.25">
      <c r="A1790">
        <v>1789</v>
      </c>
      <c r="B1790">
        <v>44</v>
      </c>
      <c r="C1790" t="s">
        <v>26</v>
      </c>
      <c r="D1790" s="1">
        <v>45613</v>
      </c>
      <c r="E1790" s="1">
        <v>45619</v>
      </c>
      <c r="F1790" t="s">
        <v>18</v>
      </c>
      <c r="G1790" t="s">
        <v>23</v>
      </c>
      <c r="H1790">
        <v>6</v>
      </c>
      <c r="I1790" t="s">
        <v>15</v>
      </c>
      <c r="J1790">
        <v>1</v>
      </c>
      <c r="K1790" t="s">
        <v>21</v>
      </c>
      <c r="L1790" t="s">
        <v>25</v>
      </c>
    </row>
    <row r="1791" spans="1:12" x14ac:dyDescent="0.25">
      <c r="A1791">
        <v>1790</v>
      </c>
      <c r="B1791">
        <v>27</v>
      </c>
      <c r="C1791" t="s">
        <v>26</v>
      </c>
      <c r="D1791" s="1">
        <v>45502</v>
      </c>
      <c r="E1791" s="1">
        <v>45507</v>
      </c>
      <c r="F1791" t="s">
        <v>13</v>
      </c>
      <c r="G1791" t="s">
        <v>19</v>
      </c>
      <c r="H1791">
        <v>5</v>
      </c>
      <c r="I1791" t="s">
        <v>20</v>
      </c>
      <c r="J1791">
        <v>4</v>
      </c>
      <c r="K1791" t="s">
        <v>16</v>
      </c>
      <c r="L1791" t="s">
        <v>29</v>
      </c>
    </row>
    <row r="1792" spans="1:12" x14ac:dyDescent="0.25">
      <c r="A1792">
        <v>1791</v>
      </c>
      <c r="B1792">
        <v>50</v>
      </c>
      <c r="C1792" t="s">
        <v>12</v>
      </c>
      <c r="D1792" s="1">
        <v>45322</v>
      </c>
      <c r="E1792" s="1">
        <v>45336</v>
      </c>
      <c r="F1792" t="s">
        <v>31</v>
      </c>
      <c r="G1792" t="s">
        <v>23</v>
      </c>
      <c r="H1792">
        <v>14</v>
      </c>
      <c r="I1792" t="s">
        <v>15</v>
      </c>
      <c r="J1792">
        <v>0</v>
      </c>
      <c r="K1792" t="s">
        <v>16</v>
      </c>
      <c r="L1792" t="s">
        <v>30</v>
      </c>
    </row>
    <row r="1793" spans="1:12" x14ac:dyDescent="0.25">
      <c r="A1793">
        <v>1792</v>
      </c>
      <c r="B1793">
        <v>41</v>
      </c>
      <c r="C1793" t="s">
        <v>12</v>
      </c>
      <c r="D1793" s="1">
        <v>45452</v>
      </c>
      <c r="E1793" s="1">
        <v>45465</v>
      </c>
      <c r="F1793" t="s">
        <v>27</v>
      </c>
      <c r="G1793" t="s">
        <v>19</v>
      </c>
      <c r="H1793">
        <v>13</v>
      </c>
      <c r="I1793" t="s">
        <v>15</v>
      </c>
      <c r="J1793">
        <v>3</v>
      </c>
      <c r="K1793" t="s">
        <v>16</v>
      </c>
      <c r="L1793" t="s">
        <v>25</v>
      </c>
    </row>
    <row r="1794" spans="1:12" x14ac:dyDescent="0.25">
      <c r="A1794">
        <v>1793</v>
      </c>
      <c r="B1794">
        <v>58</v>
      </c>
      <c r="C1794" t="s">
        <v>12</v>
      </c>
      <c r="D1794" s="1">
        <v>45370</v>
      </c>
      <c r="E1794" s="1">
        <v>45371</v>
      </c>
      <c r="F1794" t="s">
        <v>31</v>
      </c>
      <c r="G1794" t="s">
        <v>19</v>
      </c>
      <c r="H1794">
        <v>1</v>
      </c>
      <c r="I1794" t="s">
        <v>20</v>
      </c>
      <c r="J1794">
        <v>2</v>
      </c>
      <c r="K1794" t="s">
        <v>16</v>
      </c>
      <c r="L1794" t="s">
        <v>25</v>
      </c>
    </row>
    <row r="1795" spans="1:12" x14ac:dyDescent="0.25">
      <c r="A1795">
        <v>1794</v>
      </c>
      <c r="B1795">
        <v>74</v>
      </c>
      <c r="C1795" t="s">
        <v>26</v>
      </c>
      <c r="D1795" s="1">
        <v>45546</v>
      </c>
      <c r="E1795" s="1">
        <v>45556</v>
      </c>
      <c r="F1795" t="s">
        <v>28</v>
      </c>
      <c r="G1795" t="s">
        <v>19</v>
      </c>
      <c r="H1795">
        <v>10</v>
      </c>
      <c r="I1795" t="s">
        <v>15</v>
      </c>
      <c r="J1795">
        <v>0</v>
      </c>
      <c r="K1795" t="s">
        <v>16</v>
      </c>
      <c r="L1795" t="s">
        <v>25</v>
      </c>
    </row>
    <row r="1796" spans="1:12" x14ac:dyDescent="0.25">
      <c r="A1796">
        <v>1795</v>
      </c>
      <c r="B1796">
        <v>28</v>
      </c>
      <c r="C1796" t="s">
        <v>12</v>
      </c>
      <c r="D1796" s="1">
        <v>45584</v>
      </c>
      <c r="E1796" s="1">
        <v>45595</v>
      </c>
      <c r="F1796" t="s">
        <v>27</v>
      </c>
      <c r="G1796" t="s">
        <v>19</v>
      </c>
      <c r="H1796">
        <v>11</v>
      </c>
      <c r="I1796" t="s">
        <v>15</v>
      </c>
      <c r="J1796">
        <v>2</v>
      </c>
      <c r="K1796" t="s">
        <v>24</v>
      </c>
      <c r="L1796" t="s">
        <v>25</v>
      </c>
    </row>
    <row r="1797" spans="1:12" x14ac:dyDescent="0.25">
      <c r="A1797">
        <v>1796</v>
      </c>
      <c r="B1797">
        <v>65</v>
      </c>
      <c r="C1797" t="s">
        <v>12</v>
      </c>
      <c r="D1797" s="1">
        <v>45524</v>
      </c>
      <c r="E1797" s="1">
        <v>45530</v>
      </c>
      <c r="F1797" t="s">
        <v>13</v>
      </c>
      <c r="G1797" t="s">
        <v>14</v>
      </c>
      <c r="H1797">
        <v>6</v>
      </c>
      <c r="I1797" t="s">
        <v>15</v>
      </c>
      <c r="J1797">
        <v>4</v>
      </c>
      <c r="K1797" t="s">
        <v>24</v>
      </c>
      <c r="L1797" t="s">
        <v>17</v>
      </c>
    </row>
    <row r="1798" spans="1:12" x14ac:dyDescent="0.25">
      <c r="A1798">
        <v>1797</v>
      </c>
      <c r="B1798">
        <v>80</v>
      </c>
      <c r="C1798" t="s">
        <v>12</v>
      </c>
      <c r="D1798" s="1">
        <v>45447</v>
      </c>
      <c r="E1798" s="1">
        <v>45452</v>
      </c>
      <c r="F1798" t="s">
        <v>13</v>
      </c>
      <c r="G1798" t="s">
        <v>23</v>
      </c>
      <c r="H1798">
        <v>5</v>
      </c>
      <c r="I1798" t="s">
        <v>15</v>
      </c>
      <c r="J1798">
        <v>4</v>
      </c>
      <c r="K1798" t="s">
        <v>16</v>
      </c>
      <c r="L1798" t="s">
        <v>17</v>
      </c>
    </row>
    <row r="1799" spans="1:12" x14ac:dyDescent="0.25">
      <c r="A1799">
        <v>1798</v>
      </c>
      <c r="B1799">
        <v>46</v>
      </c>
      <c r="C1799" t="s">
        <v>26</v>
      </c>
      <c r="D1799" s="1">
        <v>45381</v>
      </c>
      <c r="E1799" s="1">
        <v>45393</v>
      </c>
      <c r="F1799" t="s">
        <v>31</v>
      </c>
      <c r="G1799" t="s">
        <v>14</v>
      </c>
      <c r="H1799">
        <v>12</v>
      </c>
      <c r="I1799" t="s">
        <v>15</v>
      </c>
      <c r="J1799">
        <v>0</v>
      </c>
      <c r="K1799" t="s">
        <v>16</v>
      </c>
      <c r="L1799" t="s">
        <v>30</v>
      </c>
    </row>
    <row r="1800" spans="1:12" x14ac:dyDescent="0.25">
      <c r="A1800">
        <v>1799</v>
      </c>
      <c r="B1800">
        <v>35</v>
      </c>
      <c r="C1800" t="s">
        <v>12</v>
      </c>
      <c r="D1800" s="1">
        <v>45439</v>
      </c>
      <c r="E1800" s="1">
        <v>45443</v>
      </c>
      <c r="F1800" t="s">
        <v>28</v>
      </c>
      <c r="G1800" t="s">
        <v>14</v>
      </c>
      <c r="H1800">
        <v>4</v>
      </c>
      <c r="I1800" t="s">
        <v>15</v>
      </c>
      <c r="J1800">
        <v>1</v>
      </c>
      <c r="K1800" t="s">
        <v>24</v>
      </c>
      <c r="L1800" t="s">
        <v>30</v>
      </c>
    </row>
    <row r="1801" spans="1:12" x14ac:dyDescent="0.25">
      <c r="A1801">
        <v>1800</v>
      </c>
      <c r="B1801">
        <v>36</v>
      </c>
      <c r="C1801" t="s">
        <v>26</v>
      </c>
      <c r="D1801" s="1">
        <v>45589</v>
      </c>
      <c r="E1801" s="1">
        <v>45591</v>
      </c>
      <c r="F1801" t="s">
        <v>27</v>
      </c>
      <c r="G1801" t="s">
        <v>19</v>
      </c>
      <c r="H1801">
        <v>2</v>
      </c>
      <c r="I1801" t="s">
        <v>15</v>
      </c>
      <c r="J1801">
        <v>3</v>
      </c>
      <c r="K1801" t="s">
        <v>24</v>
      </c>
      <c r="L1801" t="s">
        <v>22</v>
      </c>
    </row>
    <row r="1802" spans="1:12" x14ac:dyDescent="0.25">
      <c r="A1802">
        <v>1801</v>
      </c>
      <c r="B1802">
        <v>66</v>
      </c>
      <c r="C1802" t="s">
        <v>26</v>
      </c>
      <c r="D1802" s="1">
        <v>45410</v>
      </c>
      <c r="E1802" s="1">
        <v>45420</v>
      </c>
      <c r="F1802" t="s">
        <v>28</v>
      </c>
      <c r="G1802" t="s">
        <v>14</v>
      </c>
      <c r="H1802">
        <v>10</v>
      </c>
      <c r="I1802" t="s">
        <v>15</v>
      </c>
      <c r="J1802">
        <v>2</v>
      </c>
      <c r="K1802" t="s">
        <v>24</v>
      </c>
      <c r="L1802" t="s">
        <v>22</v>
      </c>
    </row>
    <row r="1803" spans="1:12" x14ac:dyDescent="0.25">
      <c r="A1803">
        <v>1802</v>
      </c>
      <c r="B1803">
        <v>84</v>
      </c>
      <c r="C1803" t="s">
        <v>12</v>
      </c>
      <c r="D1803" s="1">
        <v>45364</v>
      </c>
      <c r="E1803" s="1">
        <v>45375</v>
      </c>
      <c r="F1803" t="s">
        <v>28</v>
      </c>
      <c r="G1803" t="s">
        <v>14</v>
      </c>
      <c r="H1803">
        <v>11</v>
      </c>
      <c r="I1803" t="s">
        <v>15</v>
      </c>
      <c r="J1803">
        <v>0</v>
      </c>
      <c r="K1803" t="s">
        <v>16</v>
      </c>
      <c r="L1803" t="s">
        <v>22</v>
      </c>
    </row>
    <row r="1804" spans="1:12" x14ac:dyDescent="0.25">
      <c r="A1804">
        <v>1803</v>
      </c>
      <c r="B1804">
        <v>73</v>
      </c>
      <c r="C1804" t="s">
        <v>12</v>
      </c>
      <c r="D1804" s="1">
        <v>45391</v>
      </c>
      <c r="E1804" s="1">
        <v>45402</v>
      </c>
      <c r="F1804" t="s">
        <v>31</v>
      </c>
      <c r="G1804" t="s">
        <v>14</v>
      </c>
      <c r="H1804">
        <v>11</v>
      </c>
      <c r="I1804" t="s">
        <v>15</v>
      </c>
      <c r="J1804">
        <v>2</v>
      </c>
      <c r="K1804" t="s">
        <v>24</v>
      </c>
      <c r="L1804" t="s">
        <v>22</v>
      </c>
    </row>
    <row r="1805" spans="1:12" x14ac:dyDescent="0.25">
      <c r="A1805">
        <v>1804</v>
      </c>
      <c r="B1805">
        <v>50</v>
      </c>
      <c r="C1805" t="s">
        <v>26</v>
      </c>
      <c r="D1805" s="1">
        <v>45465</v>
      </c>
      <c r="E1805" s="1">
        <v>45478</v>
      </c>
      <c r="F1805" t="s">
        <v>31</v>
      </c>
      <c r="G1805" t="s">
        <v>19</v>
      </c>
      <c r="H1805">
        <v>13</v>
      </c>
      <c r="I1805" t="s">
        <v>15</v>
      </c>
      <c r="J1805">
        <v>3</v>
      </c>
      <c r="K1805" t="s">
        <v>16</v>
      </c>
      <c r="L1805" t="s">
        <v>29</v>
      </c>
    </row>
    <row r="1806" spans="1:12" x14ac:dyDescent="0.25">
      <c r="A1806">
        <v>1805</v>
      </c>
      <c r="B1806">
        <v>36</v>
      </c>
      <c r="C1806" t="s">
        <v>26</v>
      </c>
      <c r="D1806" s="1">
        <v>45558</v>
      </c>
      <c r="E1806" s="1">
        <v>45565</v>
      </c>
      <c r="F1806" t="s">
        <v>18</v>
      </c>
      <c r="G1806" t="s">
        <v>19</v>
      </c>
      <c r="H1806">
        <v>7</v>
      </c>
      <c r="I1806" t="s">
        <v>20</v>
      </c>
      <c r="J1806">
        <v>0</v>
      </c>
      <c r="K1806" t="s">
        <v>16</v>
      </c>
      <c r="L1806" t="s">
        <v>22</v>
      </c>
    </row>
    <row r="1807" spans="1:12" x14ac:dyDescent="0.25">
      <c r="A1807">
        <v>1806</v>
      </c>
      <c r="B1807">
        <v>53</v>
      </c>
      <c r="C1807" t="s">
        <v>26</v>
      </c>
      <c r="D1807" s="1">
        <v>45308</v>
      </c>
      <c r="E1807" s="1">
        <v>45317</v>
      </c>
      <c r="F1807" t="s">
        <v>18</v>
      </c>
      <c r="G1807" t="s">
        <v>19</v>
      </c>
      <c r="H1807">
        <v>9</v>
      </c>
      <c r="I1807" t="s">
        <v>20</v>
      </c>
      <c r="J1807">
        <v>0</v>
      </c>
      <c r="K1807" t="s">
        <v>16</v>
      </c>
      <c r="L1807" t="s">
        <v>29</v>
      </c>
    </row>
    <row r="1808" spans="1:12" x14ac:dyDescent="0.25">
      <c r="A1808">
        <v>1807</v>
      </c>
      <c r="B1808">
        <v>64</v>
      </c>
      <c r="C1808" t="s">
        <v>26</v>
      </c>
      <c r="D1808" s="1">
        <v>45643</v>
      </c>
      <c r="E1808" s="1">
        <v>45652</v>
      </c>
      <c r="F1808" t="s">
        <v>28</v>
      </c>
      <c r="G1808" t="s">
        <v>19</v>
      </c>
      <c r="H1808">
        <v>9</v>
      </c>
      <c r="I1808" t="s">
        <v>15</v>
      </c>
      <c r="J1808">
        <v>3</v>
      </c>
      <c r="K1808" t="s">
        <v>16</v>
      </c>
      <c r="L1808" t="s">
        <v>25</v>
      </c>
    </row>
    <row r="1809" spans="1:12" x14ac:dyDescent="0.25">
      <c r="A1809">
        <v>1808</v>
      </c>
      <c r="B1809">
        <v>79</v>
      </c>
      <c r="C1809" t="s">
        <v>26</v>
      </c>
      <c r="D1809" s="1">
        <v>45638</v>
      </c>
      <c r="E1809" s="1">
        <v>45640</v>
      </c>
      <c r="F1809" t="s">
        <v>31</v>
      </c>
      <c r="G1809" t="s">
        <v>23</v>
      </c>
      <c r="H1809">
        <v>2</v>
      </c>
      <c r="I1809" t="s">
        <v>15</v>
      </c>
      <c r="J1809">
        <v>0</v>
      </c>
      <c r="K1809" t="s">
        <v>24</v>
      </c>
      <c r="L1809" t="s">
        <v>29</v>
      </c>
    </row>
    <row r="1810" spans="1:12" x14ac:dyDescent="0.25">
      <c r="A1810">
        <v>1809</v>
      </c>
      <c r="B1810">
        <v>67</v>
      </c>
      <c r="C1810" t="s">
        <v>26</v>
      </c>
      <c r="D1810" s="1">
        <v>45300</v>
      </c>
      <c r="E1810" s="1">
        <v>45308</v>
      </c>
      <c r="F1810" t="s">
        <v>31</v>
      </c>
      <c r="G1810" t="s">
        <v>14</v>
      </c>
      <c r="H1810">
        <v>8</v>
      </c>
      <c r="I1810" t="s">
        <v>15</v>
      </c>
      <c r="J1810">
        <v>2</v>
      </c>
      <c r="K1810" t="s">
        <v>21</v>
      </c>
      <c r="L1810" t="s">
        <v>29</v>
      </c>
    </row>
    <row r="1811" spans="1:12" x14ac:dyDescent="0.25">
      <c r="A1811">
        <v>1810</v>
      </c>
      <c r="B1811">
        <v>53</v>
      </c>
      <c r="C1811" t="s">
        <v>12</v>
      </c>
      <c r="D1811" s="1">
        <v>45589</v>
      </c>
      <c r="E1811" s="1">
        <v>45596</v>
      </c>
      <c r="F1811" t="s">
        <v>27</v>
      </c>
      <c r="G1811" t="s">
        <v>14</v>
      </c>
      <c r="H1811">
        <v>7</v>
      </c>
      <c r="I1811" t="s">
        <v>15</v>
      </c>
      <c r="J1811">
        <v>4</v>
      </c>
      <c r="K1811" t="s">
        <v>16</v>
      </c>
      <c r="L1811" t="s">
        <v>25</v>
      </c>
    </row>
    <row r="1812" spans="1:12" x14ac:dyDescent="0.25">
      <c r="A1812">
        <v>1811</v>
      </c>
      <c r="B1812">
        <v>88</v>
      </c>
      <c r="C1812" t="s">
        <v>12</v>
      </c>
      <c r="D1812" s="1">
        <v>45340</v>
      </c>
      <c r="E1812" s="1">
        <v>45345</v>
      </c>
      <c r="F1812" t="s">
        <v>18</v>
      </c>
      <c r="G1812" t="s">
        <v>19</v>
      </c>
      <c r="H1812">
        <v>5</v>
      </c>
      <c r="I1812" t="s">
        <v>20</v>
      </c>
      <c r="J1812">
        <v>3</v>
      </c>
      <c r="K1812" t="s">
        <v>24</v>
      </c>
      <c r="L1812" t="s">
        <v>25</v>
      </c>
    </row>
    <row r="1813" spans="1:12" x14ac:dyDescent="0.25">
      <c r="A1813">
        <v>1812</v>
      </c>
      <c r="B1813">
        <v>75</v>
      </c>
      <c r="C1813" t="s">
        <v>12</v>
      </c>
      <c r="D1813" s="1">
        <v>45332</v>
      </c>
      <c r="E1813" s="1">
        <v>45334</v>
      </c>
      <c r="F1813" t="s">
        <v>31</v>
      </c>
      <c r="G1813" t="s">
        <v>19</v>
      </c>
      <c r="H1813">
        <v>2</v>
      </c>
      <c r="I1813" t="s">
        <v>20</v>
      </c>
      <c r="J1813">
        <v>3</v>
      </c>
      <c r="K1813" t="s">
        <v>21</v>
      </c>
      <c r="L1813" t="s">
        <v>22</v>
      </c>
    </row>
    <row r="1814" spans="1:12" x14ac:dyDescent="0.25">
      <c r="A1814">
        <v>1813</v>
      </c>
      <c r="B1814">
        <v>27</v>
      </c>
      <c r="C1814" t="s">
        <v>12</v>
      </c>
      <c r="D1814" s="1">
        <v>45304</v>
      </c>
      <c r="E1814" s="1">
        <v>45313</v>
      </c>
      <c r="F1814" t="s">
        <v>28</v>
      </c>
      <c r="G1814" t="s">
        <v>19</v>
      </c>
      <c r="H1814">
        <v>9</v>
      </c>
      <c r="I1814" t="s">
        <v>15</v>
      </c>
      <c r="J1814">
        <v>2</v>
      </c>
      <c r="K1814" t="s">
        <v>21</v>
      </c>
      <c r="L1814" t="s">
        <v>30</v>
      </c>
    </row>
    <row r="1815" spans="1:12" x14ac:dyDescent="0.25">
      <c r="A1815">
        <v>1814</v>
      </c>
      <c r="B1815">
        <v>79</v>
      </c>
      <c r="C1815" t="s">
        <v>26</v>
      </c>
      <c r="D1815" s="1">
        <v>45467</v>
      </c>
      <c r="E1815" s="1">
        <v>45478</v>
      </c>
      <c r="F1815" t="s">
        <v>28</v>
      </c>
      <c r="G1815" t="s">
        <v>19</v>
      </c>
      <c r="H1815">
        <v>11</v>
      </c>
      <c r="I1815" t="s">
        <v>15</v>
      </c>
      <c r="J1815">
        <v>2</v>
      </c>
      <c r="K1815" t="s">
        <v>21</v>
      </c>
      <c r="L1815" t="s">
        <v>29</v>
      </c>
    </row>
    <row r="1816" spans="1:12" x14ac:dyDescent="0.25">
      <c r="A1816">
        <v>1815</v>
      </c>
      <c r="B1816">
        <v>48</v>
      </c>
      <c r="C1816" t="s">
        <v>12</v>
      </c>
      <c r="D1816" s="1">
        <v>45473</v>
      </c>
      <c r="E1816" s="1">
        <v>45474</v>
      </c>
      <c r="F1816" t="s">
        <v>28</v>
      </c>
      <c r="G1816" t="s">
        <v>14</v>
      </c>
      <c r="H1816">
        <v>1</v>
      </c>
      <c r="I1816" t="s">
        <v>15</v>
      </c>
      <c r="J1816">
        <v>0</v>
      </c>
      <c r="K1816" t="s">
        <v>16</v>
      </c>
      <c r="L1816" t="s">
        <v>25</v>
      </c>
    </row>
    <row r="1817" spans="1:12" x14ac:dyDescent="0.25">
      <c r="A1817">
        <v>1816</v>
      </c>
      <c r="B1817">
        <v>25</v>
      </c>
      <c r="C1817" t="s">
        <v>26</v>
      </c>
      <c r="D1817" s="1">
        <v>45340</v>
      </c>
      <c r="E1817" s="1">
        <v>45341</v>
      </c>
      <c r="F1817" t="s">
        <v>31</v>
      </c>
      <c r="G1817" t="s">
        <v>19</v>
      </c>
      <c r="H1817">
        <v>1</v>
      </c>
      <c r="I1817" t="s">
        <v>15</v>
      </c>
      <c r="J1817">
        <v>4</v>
      </c>
      <c r="K1817" t="s">
        <v>24</v>
      </c>
      <c r="L1817" t="s">
        <v>17</v>
      </c>
    </row>
    <row r="1818" spans="1:12" x14ac:dyDescent="0.25">
      <c r="A1818">
        <v>1817</v>
      </c>
      <c r="B1818">
        <v>32</v>
      </c>
      <c r="C1818" t="s">
        <v>12</v>
      </c>
      <c r="D1818" s="1">
        <v>45578</v>
      </c>
      <c r="E1818" s="1">
        <v>45593</v>
      </c>
      <c r="F1818" t="s">
        <v>18</v>
      </c>
      <c r="G1818" t="s">
        <v>14</v>
      </c>
      <c r="H1818">
        <v>15</v>
      </c>
      <c r="I1818" t="s">
        <v>15</v>
      </c>
      <c r="J1818">
        <v>1</v>
      </c>
      <c r="K1818" t="s">
        <v>21</v>
      </c>
      <c r="L1818" t="s">
        <v>25</v>
      </c>
    </row>
    <row r="1819" spans="1:12" x14ac:dyDescent="0.25">
      <c r="A1819">
        <v>1818</v>
      </c>
      <c r="B1819">
        <v>70</v>
      </c>
      <c r="C1819" t="s">
        <v>12</v>
      </c>
      <c r="D1819" s="1">
        <v>45644</v>
      </c>
      <c r="E1819" s="1">
        <v>45650</v>
      </c>
      <c r="F1819" t="s">
        <v>28</v>
      </c>
      <c r="G1819" t="s">
        <v>14</v>
      </c>
      <c r="H1819">
        <v>6</v>
      </c>
      <c r="I1819" t="s">
        <v>15</v>
      </c>
      <c r="J1819">
        <v>1</v>
      </c>
      <c r="K1819" t="s">
        <v>24</v>
      </c>
      <c r="L1819" t="s">
        <v>17</v>
      </c>
    </row>
    <row r="1820" spans="1:12" x14ac:dyDescent="0.25">
      <c r="A1820">
        <v>1819</v>
      </c>
      <c r="B1820">
        <v>60</v>
      </c>
      <c r="C1820" t="s">
        <v>12</v>
      </c>
      <c r="D1820" s="1">
        <v>45508</v>
      </c>
      <c r="E1820" s="1">
        <v>45516</v>
      </c>
      <c r="F1820" t="s">
        <v>18</v>
      </c>
      <c r="G1820" t="s">
        <v>19</v>
      </c>
      <c r="H1820">
        <v>8</v>
      </c>
      <c r="I1820" t="s">
        <v>20</v>
      </c>
      <c r="J1820">
        <v>4</v>
      </c>
      <c r="K1820" t="s">
        <v>21</v>
      </c>
      <c r="L1820" t="s">
        <v>17</v>
      </c>
    </row>
    <row r="1821" spans="1:12" x14ac:dyDescent="0.25">
      <c r="A1821">
        <v>1820</v>
      </c>
      <c r="B1821">
        <v>76</v>
      </c>
      <c r="C1821" t="s">
        <v>26</v>
      </c>
      <c r="D1821" s="1">
        <v>45402</v>
      </c>
      <c r="E1821" s="1">
        <v>45409</v>
      </c>
      <c r="F1821" t="s">
        <v>18</v>
      </c>
      <c r="G1821" t="s">
        <v>14</v>
      </c>
      <c r="H1821">
        <v>7</v>
      </c>
      <c r="I1821" t="s">
        <v>15</v>
      </c>
      <c r="J1821">
        <v>1</v>
      </c>
      <c r="K1821" t="s">
        <v>24</v>
      </c>
      <c r="L1821" t="s">
        <v>30</v>
      </c>
    </row>
    <row r="1822" spans="1:12" x14ac:dyDescent="0.25">
      <c r="A1822">
        <v>1821</v>
      </c>
      <c r="B1822">
        <v>52</v>
      </c>
      <c r="C1822" t="s">
        <v>26</v>
      </c>
      <c r="D1822" s="1">
        <v>45443</v>
      </c>
      <c r="E1822" s="1">
        <v>45448</v>
      </c>
      <c r="F1822" t="s">
        <v>18</v>
      </c>
      <c r="G1822" t="s">
        <v>14</v>
      </c>
      <c r="H1822">
        <v>5</v>
      </c>
      <c r="I1822" t="s">
        <v>15</v>
      </c>
      <c r="J1822">
        <v>0</v>
      </c>
      <c r="K1822" t="s">
        <v>24</v>
      </c>
      <c r="L1822" t="s">
        <v>17</v>
      </c>
    </row>
    <row r="1823" spans="1:12" x14ac:dyDescent="0.25">
      <c r="A1823">
        <v>1822</v>
      </c>
      <c r="B1823">
        <v>30</v>
      </c>
      <c r="C1823" t="s">
        <v>12</v>
      </c>
      <c r="D1823" s="1">
        <v>45420</v>
      </c>
      <c r="E1823" s="1">
        <v>45424</v>
      </c>
      <c r="F1823" t="s">
        <v>28</v>
      </c>
      <c r="G1823" t="s">
        <v>23</v>
      </c>
      <c r="H1823">
        <v>4</v>
      </c>
      <c r="I1823" t="s">
        <v>15</v>
      </c>
      <c r="J1823">
        <v>4</v>
      </c>
      <c r="K1823" t="s">
        <v>16</v>
      </c>
      <c r="L1823" t="s">
        <v>30</v>
      </c>
    </row>
    <row r="1824" spans="1:12" x14ac:dyDescent="0.25">
      <c r="A1824">
        <v>1823</v>
      </c>
      <c r="B1824">
        <v>48</v>
      </c>
      <c r="C1824" t="s">
        <v>12</v>
      </c>
      <c r="D1824" s="1">
        <v>45584</v>
      </c>
      <c r="E1824" s="1">
        <v>45586</v>
      </c>
      <c r="F1824" t="s">
        <v>13</v>
      </c>
      <c r="G1824" t="s">
        <v>19</v>
      </c>
      <c r="H1824">
        <v>2</v>
      </c>
      <c r="I1824" t="s">
        <v>20</v>
      </c>
      <c r="J1824">
        <v>3</v>
      </c>
      <c r="K1824" t="s">
        <v>16</v>
      </c>
      <c r="L1824" t="s">
        <v>29</v>
      </c>
    </row>
    <row r="1825" spans="1:12" x14ac:dyDescent="0.25">
      <c r="A1825">
        <v>1824</v>
      </c>
      <c r="B1825">
        <v>55</v>
      </c>
      <c r="C1825" t="s">
        <v>12</v>
      </c>
      <c r="D1825" s="1">
        <v>45521</v>
      </c>
      <c r="E1825" s="1">
        <v>45525</v>
      </c>
      <c r="F1825" t="s">
        <v>18</v>
      </c>
      <c r="G1825" t="s">
        <v>14</v>
      </c>
      <c r="H1825">
        <v>4</v>
      </c>
      <c r="I1825" t="s">
        <v>15</v>
      </c>
      <c r="J1825">
        <v>1</v>
      </c>
      <c r="K1825" t="s">
        <v>16</v>
      </c>
      <c r="L1825" t="s">
        <v>29</v>
      </c>
    </row>
    <row r="1826" spans="1:12" x14ac:dyDescent="0.25">
      <c r="A1826">
        <v>1825</v>
      </c>
      <c r="B1826">
        <v>85</v>
      </c>
      <c r="C1826" t="s">
        <v>26</v>
      </c>
      <c r="D1826" s="1">
        <v>45634</v>
      </c>
      <c r="E1826" s="1">
        <v>45646</v>
      </c>
      <c r="F1826" t="s">
        <v>27</v>
      </c>
      <c r="G1826" t="s">
        <v>19</v>
      </c>
      <c r="H1826">
        <v>12</v>
      </c>
      <c r="I1826" t="s">
        <v>15</v>
      </c>
      <c r="J1826">
        <v>4</v>
      </c>
      <c r="K1826" t="s">
        <v>21</v>
      </c>
      <c r="L1826" t="s">
        <v>30</v>
      </c>
    </row>
    <row r="1827" spans="1:12" x14ac:dyDescent="0.25">
      <c r="A1827">
        <v>1826</v>
      </c>
      <c r="B1827">
        <v>27</v>
      </c>
      <c r="C1827" t="s">
        <v>12</v>
      </c>
      <c r="D1827" s="1">
        <v>45449</v>
      </c>
      <c r="E1827" s="1">
        <v>45458</v>
      </c>
      <c r="F1827" t="s">
        <v>28</v>
      </c>
      <c r="G1827" t="s">
        <v>23</v>
      </c>
      <c r="H1827">
        <v>9</v>
      </c>
      <c r="I1827" t="s">
        <v>15</v>
      </c>
      <c r="J1827">
        <v>3</v>
      </c>
      <c r="K1827" t="s">
        <v>16</v>
      </c>
      <c r="L1827" t="s">
        <v>29</v>
      </c>
    </row>
    <row r="1828" spans="1:12" x14ac:dyDescent="0.25">
      <c r="A1828">
        <v>1827</v>
      </c>
      <c r="B1828">
        <v>28</v>
      </c>
      <c r="C1828" t="s">
        <v>12</v>
      </c>
      <c r="D1828" s="1">
        <v>45596</v>
      </c>
      <c r="E1828" s="1">
        <v>45598</v>
      </c>
      <c r="F1828" t="s">
        <v>28</v>
      </c>
      <c r="G1828" t="s">
        <v>23</v>
      </c>
      <c r="H1828">
        <v>2</v>
      </c>
      <c r="I1828" t="s">
        <v>15</v>
      </c>
      <c r="J1828">
        <v>2</v>
      </c>
      <c r="K1828" t="s">
        <v>16</v>
      </c>
      <c r="L1828" t="s">
        <v>29</v>
      </c>
    </row>
    <row r="1829" spans="1:12" x14ac:dyDescent="0.25">
      <c r="A1829">
        <v>1828</v>
      </c>
      <c r="B1829">
        <v>54</v>
      </c>
      <c r="C1829" t="s">
        <v>26</v>
      </c>
      <c r="D1829" s="1">
        <v>45487</v>
      </c>
      <c r="E1829" s="1">
        <v>45493</v>
      </c>
      <c r="F1829" t="s">
        <v>18</v>
      </c>
      <c r="G1829" t="s">
        <v>14</v>
      </c>
      <c r="H1829">
        <v>6</v>
      </c>
      <c r="I1829" t="s">
        <v>15</v>
      </c>
      <c r="J1829">
        <v>4</v>
      </c>
      <c r="K1829" t="s">
        <v>24</v>
      </c>
      <c r="L1829" t="s">
        <v>29</v>
      </c>
    </row>
    <row r="1830" spans="1:12" x14ac:dyDescent="0.25">
      <c r="A1830">
        <v>1829</v>
      </c>
      <c r="B1830">
        <v>67</v>
      </c>
      <c r="C1830" t="s">
        <v>12</v>
      </c>
      <c r="D1830" s="1">
        <v>45466</v>
      </c>
      <c r="E1830" s="1">
        <v>45467</v>
      </c>
      <c r="F1830" t="s">
        <v>13</v>
      </c>
      <c r="G1830" t="s">
        <v>19</v>
      </c>
      <c r="H1830">
        <v>1</v>
      </c>
      <c r="I1830" t="s">
        <v>15</v>
      </c>
      <c r="J1830">
        <v>3</v>
      </c>
      <c r="K1830" t="s">
        <v>16</v>
      </c>
      <c r="L1830" t="s">
        <v>25</v>
      </c>
    </row>
    <row r="1831" spans="1:12" x14ac:dyDescent="0.25">
      <c r="A1831">
        <v>1830</v>
      </c>
      <c r="B1831">
        <v>21</v>
      </c>
      <c r="C1831" t="s">
        <v>12</v>
      </c>
      <c r="D1831" s="1">
        <v>45558</v>
      </c>
      <c r="E1831" s="1">
        <v>45565</v>
      </c>
      <c r="F1831" t="s">
        <v>13</v>
      </c>
      <c r="G1831" t="s">
        <v>14</v>
      </c>
      <c r="H1831">
        <v>7</v>
      </c>
      <c r="I1831" t="s">
        <v>20</v>
      </c>
      <c r="J1831">
        <v>0</v>
      </c>
      <c r="K1831" t="s">
        <v>21</v>
      </c>
      <c r="L1831" t="s">
        <v>29</v>
      </c>
    </row>
    <row r="1832" spans="1:12" x14ac:dyDescent="0.25">
      <c r="A1832">
        <v>1831</v>
      </c>
      <c r="B1832">
        <v>37</v>
      </c>
      <c r="C1832" t="s">
        <v>12</v>
      </c>
      <c r="D1832" s="1">
        <v>45528</v>
      </c>
      <c r="E1832" s="1">
        <v>45542</v>
      </c>
      <c r="F1832" t="s">
        <v>31</v>
      </c>
      <c r="G1832" t="s">
        <v>23</v>
      </c>
      <c r="H1832">
        <v>14</v>
      </c>
      <c r="I1832" t="s">
        <v>20</v>
      </c>
      <c r="J1832">
        <v>2</v>
      </c>
      <c r="K1832" t="s">
        <v>24</v>
      </c>
      <c r="L1832" t="s">
        <v>30</v>
      </c>
    </row>
    <row r="1833" spans="1:12" x14ac:dyDescent="0.25">
      <c r="A1833">
        <v>1832</v>
      </c>
      <c r="B1833">
        <v>89</v>
      </c>
      <c r="C1833" t="s">
        <v>12</v>
      </c>
      <c r="D1833" s="1">
        <v>45590</v>
      </c>
      <c r="E1833" s="1">
        <v>45605</v>
      </c>
      <c r="F1833" t="s">
        <v>27</v>
      </c>
      <c r="G1833" t="s">
        <v>19</v>
      </c>
      <c r="H1833">
        <v>15</v>
      </c>
      <c r="I1833" t="s">
        <v>15</v>
      </c>
      <c r="J1833">
        <v>2</v>
      </c>
      <c r="K1833" t="s">
        <v>24</v>
      </c>
      <c r="L1833" t="s">
        <v>22</v>
      </c>
    </row>
    <row r="1834" spans="1:12" x14ac:dyDescent="0.25">
      <c r="A1834">
        <v>1833</v>
      </c>
      <c r="B1834">
        <v>50</v>
      </c>
      <c r="C1834" t="s">
        <v>12</v>
      </c>
      <c r="D1834" s="1">
        <v>45440</v>
      </c>
      <c r="E1834" s="1">
        <v>45450</v>
      </c>
      <c r="F1834" t="s">
        <v>31</v>
      </c>
      <c r="G1834" t="s">
        <v>19</v>
      </c>
      <c r="H1834">
        <v>10</v>
      </c>
      <c r="I1834" t="s">
        <v>15</v>
      </c>
      <c r="J1834">
        <v>3</v>
      </c>
      <c r="K1834" t="s">
        <v>24</v>
      </c>
      <c r="L1834" t="s">
        <v>17</v>
      </c>
    </row>
    <row r="1835" spans="1:12" x14ac:dyDescent="0.25">
      <c r="A1835">
        <v>1834</v>
      </c>
      <c r="B1835">
        <v>36</v>
      </c>
      <c r="C1835" t="s">
        <v>12</v>
      </c>
      <c r="D1835" s="1">
        <v>45329</v>
      </c>
      <c r="E1835" s="1">
        <v>45339</v>
      </c>
      <c r="F1835" t="s">
        <v>13</v>
      </c>
      <c r="G1835" t="s">
        <v>14</v>
      </c>
      <c r="H1835">
        <v>10</v>
      </c>
      <c r="I1835" t="s">
        <v>15</v>
      </c>
      <c r="J1835">
        <v>2</v>
      </c>
      <c r="K1835" t="s">
        <v>21</v>
      </c>
      <c r="L1835" t="s">
        <v>25</v>
      </c>
    </row>
    <row r="1836" spans="1:12" x14ac:dyDescent="0.25">
      <c r="A1836">
        <v>1835</v>
      </c>
      <c r="B1836">
        <v>81</v>
      </c>
      <c r="C1836" t="s">
        <v>12</v>
      </c>
      <c r="D1836" s="1">
        <v>45328</v>
      </c>
      <c r="E1836" s="1">
        <v>45342</v>
      </c>
      <c r="F1836" t="s">
        <v>13</v>
      </c>
      <c r="G1836" t="s">
        <v>19</v>
      </c>
      <c r="H1836">
        <v>14</v>
      </c>
      <c r="I1836" t="s">
        <v>20</v>
      </c>
      <c r="J1836">
        <v>3</v>
      </c>
      <c r="K1836" t="s">
        <v>21</v>
      </c>
      <c r="L1836" t="s">
        <v>22</v>
      </c>
    </row>
    <row r="1837" spans="1:12" x14ac:dyDescent="0.25">
      <c r="A1837">
        <v>1836</v>
      </c>
      <c r="B1837">
        <v>33</v>
      </c>
      <c r="C1837" t="s">
        <v>26</v>
      </c>
      <c r="D1837" s="1">
        <v>45540</v>
      </c>
      <c r="E1837" s="1">
        <v>45547</v>
      </c>
      <c r="F1837" t="s">
        <v>31</v>
      </c>
      <c r="G1837" t="s">
        <v>23</v>
      </c>
      <c r="H1837">
        <v>7</v>
      </c>
      <c r="I1837" t="s">
        <v>15</v>
      </c>
      <c r="J1837">
        <v>1</v>
      </c>
      <c r="K1837" t="s">
        <v>21</v>
      </c>
      <c r="L1837" t="s">
        <v>25</v>
      </c>
    </row>
    <row r="1838" spans="1:12" x14ac:dyDescent="0.25">
      <c r="A1838">
        <v>1837</v>
      </c>
      <c r="B1838">
        <v>22</v>
      </c>
      <c r="C1838" t="s">
        <v>12</v>
      </c>
      <c r="D1838" s="1">
        <v>45449</v>
      </c>
      <c r="E1838" s="1">
        <v>45456</v>
      </c>
      <c r="F1838" t="s">
        <v>31</v>
      </c>
      <c r="G1838" t="s">
        <v>23</v>
      </c>
      <c r="H1838">
        <v>7</v>
      </c>
      <c r="I1838" t="s">
        <v>20</v>
      </c>
      <c r="J1838">
        <v>1</v>
      </c>
      <c r="K1838" t="s">
        <v>21</v>
      </c>
      <c r="L1838" t="s">
        <v>29</v>
      </c>
    </row>
    <row r="1839" spans="1:12" x14ac:dyDescent="0.25">
      <c r="A1839">
        <v>1838</v>
      </c>
      <c r="B1839">
        <v>78</v>
      </c>
      <c r="C1839" t="s">
        <v>12</v>
      </c>
      <c r="D1839" s="1">
        <v>45511</v>
      </c>
      <c r="E1839" s="1">
        <v>45514</v>
      </c>
      <c r="F1839" t="s">
        <v>28</v>
      </c>
      <c r="G1839" t="s">
        <v>19</v>
      </c>
      <c r="H1839">
        <v>3</v>
      </c>
      <c r="I1839" t="s">
        <v>20</v>
      </c>
      <c r="J1839">
        <v>4</v>
      </c>
      <c r="K1839" t="s">
        <v>16</v>
      </c>
      <c r="L1839" t="s">
        <v>25</v>
      </c>
    </row>
    <row r="1840" spans="1:12" x14ac:dyDescent="0.25">
      <c r="A1840">
        <v>1839</v>
      </c>
      <c r="B1840">
        <v>52</v>
      </c>
      <c r="C1840" t="s">
        <v>26</v>
      </c>
      <c r="D1840" s="1">
        <v>45606</v>
      </c>
      <c r="E1840" s="1">
        <v>45617</v>
      </c>
      <c r="F1840" t="s">
        <v>31</v>
      </c>
      <c r="G1840" t="s">
        <v>14</v>
      </c>
      <c r="H1840">
        <v>11</v>
      </c>
      <c r="I1840" t="s">
        <v>15</v>
      </c>
      <c r="J1840">
        <v>4</v>
      </c>
      <c r="K1840" t="s">
        <v>24</v>
      </c>
      <c r="L1840" t="s">
        <v>17</v>
      </c>
    </row>
    <row r="1841" spans="1:12" x14ac:dyDescent="0.25">
      <c r="A1841">
        <v>1840</v>
      </c>
      <c r="B1841">
        <v>29</v>
      </c>
      <c r="C1841" t="s">
        <v>26</v>
      </c>
      <c r="D1841" s="1">
        <v>45307</v>
      </c>
      <c r="E1841" s="1">
        <v>45313</v>
      </c>
      <c r="F1841" t="s">
        <v>31</v>
      </c>
      <c r="G1841" t="s">
        <v>19</v>
      </c>
      <c r="H1841">
        <v>6</v>
      </c>
      <c r="I1841" t="s">
        <v>20</v>
      </c>
      <c r="J1841">
        <v>4</v>
      </c>
      <c r="K1841" t="s">
        <v>21</v>
      </c>
      <c r="L1841" t="s">
        <v>25</v>
      </c>
    </row>
    <row r="1842" spans="1:12" x14ac:dyDescent="0.25">
      <c r="A1842">
        <v>1841</v>
      </c>
      <c r="B1842">
        <v>88</v>
      </c>
      <c r="C1842" t="s">
        <v>26</v>
      </c>
      <c r="D1842" s="1">
        <v>45621</v>
      </c>
      <c r="E1842" s="1">
        <v>45624</v>
      </c>
      <c r="F1842" t="s">
        <v>18</v>
      </c>
      <c r="G1842" t="s">
        <v>14</v>
      </c>
      <c r="H1842">
        <v>3</v>
      </c>
      <c r="I1842" t="s">
        <v>15</v>
      </c>
      <c r="J1842">
        <v>0</v>
      </c>
      <c r="K1842" t="s">
        <v>21</v>
      </c>
      <c r="L1842" t="s">
        <v>30</v>
      </c>
    </row>
    <row r="1843" spans="1:12" x14ac:dyDescent="0.25">
      <c r="A1843">
        <v>1842</v>
      </c>
      <c r="B1843">
        <v>26</v>
      </c>
      <c r="C1843" t="s">
        <v>26</v>
      </c>
      <c r="D1843" s="1">
        <v>45449</v>
      </c>
      <c r="E1843" s="1">
        <v>45450</v>
      </c>
      <c r="F1843" t="s">
        <v>28</v>
      </c>
      <c r="G1843" t="s">
        <v>23</v>
      </c>
      <c r="H1843">
        <v>1</v>
      </c>
      <c r="I1843" t="s">
        <v>15</v>
      </c>
      <c r="J1843">
        <v>0</v>
      </c>
      <c r="K1843" t="s">
        <v>16</v>
      </c>
      <c r="L1843" t="s">
        <v>30</v>
      </c>
    </row>
    <row r="1844" spans="1:12" x14ac:dyDescent="0.25">
      <c r="A1844">
        <v>1843</v>
      </c>
      <c r="B1844">
        <v>43</v>
      </c>
      <c r="C1844" t="s">
        <v>26</v>
      </c>
      <c r="D1844" s="1">
        <v>45640</v>
      </c>
      <c r="E1844" s="1">
        <v>45646</v>
      </c>
      <c r="F1844" t="s">
        <v>27</v>
      </c>
      <c r="G1844" t="s">
        <v>19</v>
      </c>
      <c r="H1844">
        <v>6</v>
      </c>
      <c r="I1844" t="s">
        <v>15</v>
      </c>
      <c r="J1844">
        <v>4</v>
      </c>
      <c r="K1844" t="s">
        <v>21</v>
      </c>
      <c r="L1844" t="s">
        <v>17</v>
      </c>
    </row>
    <row r="1845" spans="1:12" x14ac:dyDescent="0.25">
      <c r="A1845">
        <v>1844</v>
      </c>
      <c r="B1845">
        <v>41</v>
      </c>
      <c r="C1845" t="s">
        <v>26</v>
      </c>
      <c r="D1845" s="1">
        <v>45646</v>
      </c>
      <c r="E1845" s="1">
        <v>45659</v>
      </c>
      <c r="F1845" t="s">
        <v>28</v>
      </c>
      <c r="G1845" t="s">
        <v>19</v>
      </c>
      <c r="H1845">
        <v>13</v>
      </c>
      <c r="I1845" t="s">
        <v>20</v>
      </c>
      <c r="J1845">
        <v>4</v>
      </c>
      <c r="K1845" t="s">
        <v>16</v>
      </c>
      <c r="L1845" t="s">
        <v>29</v>
      </c>
    </row>
    <row r="1846" spans="1:12" x14ac:dyDescent="0.25">
      <c r="A1846">
        <v>1845</v>
      </c>
      <c r="B1846">
        <v>72</v>
      </c>
      <c r="C1846" t="s">
        <v>12</v>
      </c>
      <c r="D1846" s="1">
        <v>45531</v>
      </c>
      <c r="E1846" s="1">
        <v>45538</v>
      </c>
      <c r="F1846" t="s">
        <v>13</v>
      </c>
      <c r="G1846" t="s">
        <v>23</v>
      </c>
      <c r="H1846">
        <v>7</v>
      </c>
      <c r="I1846" t="s">
        <v>15</v>
      </c>
      <c r="J1846">
        <v>0</v>
      </c>
      <c r="K1846" t="s">
        <v>16</v>
      </c>
      <c r="L1846" t="s">
        <v>17</v>
      </c>
    </row>
    <row r="1847" spans="1:12" x14ac:dyDescent="0.25">
      <c r="A1847">
        <v>1846</v>
      </c>
      <c r="B1847">
        <v>43</v>
      </c>
      <c r="C1847" t="s">
        <v>26</v>
      </c>
      <c r="D1847" s="1">
        <v>45391</v>
      </c>
      <c r="E1847" s="1">
        <v>45401</v>
      </c>
      <c r="F1847" t="s">
        <v>28</v>
      </c>
      <c r="G1847" t="s">
        <v>23</v>
      </c>
      <c r="H1847">
        <v>10</v>
      </c>
      <c r="I1847" t="s">
        <v>15</v>
      </c>
      <c r="J1847">
        <v>4</v>
      </c>
      <c r="K1847" t="s">
        <v>21</v>
      </c>
      <c r="L1847" t="s">
        <v>22</v>
      </c>
    </row>
    <row r="1848" spans="1:12" x14ac:dyDescent="0.25">
      <c r="A1848">
        <v>1847</v>
      </c>
      <c r="B1848">
        <v>61</v>
      </c>
      <c r="C1848" t="s">
        <v>26</v>
      </c>
      <c r="D1848" s="1">
        <v>45634</v>
      </c>
      <c r="E1848" s="1">
        <v>45647</v>
      </c>
      <c r="F1848" t="s">
        <v>13</v>
      </c>
      <c r="G1848" t="s">
        <v>19</v>
      </c>
      <c r="H1848">
        <v>13</v>
      </c>
      <c r="I1848" t="s">
        <v>15</v>
      </c>
      <c r="J1848">
        <v>2</v>
      </c>
      <c r="K1848" t="s">
        <v>24</v>
      </c>
      <c r="L1848" t="s">
        <v>22</v>
      </c>
    </row>
    <row r="1849" spans="1:12" x14ac:dyDescent="0.25">
      <c r="A1849">
        <v>1848</v>
      </c>
      <c r="B1849">
        <v>89</v>
      </c>
      <c r="C1849" t="s">
        <v>12</v>
      </c>
      <c r="D1849" s="1">
        <v>45356</v>
      </c>
      <c r="E1849" s="1">
        <v>45364</v>
      </c>
      <c r="F1849" t="s">
        <v>28</v>
      </c>
      <c r="G1849" t="s">
        <v>23</v>
      </c>
      <c r="H1849">
        <v>8</v>
      </c>
      <c r="I1849" t="s">
        <v>15</v>
      </c>
      <c r="J1849">
        <v>3</v>
      </c>
      <c r="K1849" t="s">
        <v>16</v>
      </c>
      <c r="L1849" t="s">
        <v>17</v>
      </c>
    </row>
    <row r="1850" spans="1:12" x14ac:dyDescent="0.25">
      <c r="A1850">
        <v>1849</v>
      </c>
      <c r="B1850">
        <v>22</v>
      </c>
      <c r="C1850" t="s">
        <v>12</v>
      </c>
      <c r="D1850" s="1">
        <v>45592</v>
      </c>
      <c r="E1850" s="1">
        <v>45596</v>
      </c>
      <c r="F1850" t="s">
        <v>18</v>
      </c>
      <c r="G1850" t="s">
        <v>19</v>
      </c>
      <c r="H1850">
        <v>4</v>
      </c>
      <c r="I1850" t="s">
        <v>20</v>
      </c>
      <c r="J1850">
        <v>2</v>
      </c>
      <c r="K1850" t="s">
        <v>24</v>
      </c>
      <c r="L1850" t="s">
        <v>22</v>
      </c>
    </row>
    <row r="1851" spans="1:12" x14ac:dyDescent="0.25">
      <c r="A1851">
        <v>1850</v>
      </c>
      <c r="B1851">
        <v>87</v>
      </c>
      <c r="C1851" t="s">
        <v>12</v>
      </c>
      <c r="D1851" s="1">
        <v>45613</v>
      </c>
      <c r="E1851" s="1">
        <v>45626</v>
      </c>
      <c r="F1851" t="s">
        <v>31</v>
      </c>
      <c r="G1851" t="s">
        <v>19</v>
      </c>
      <c r="H1851">
        <v>13</v>
      </c>
      <c r="I1851" t="s">
        <v>15</v>
      </c>
      <c r="J1851">
        <v>3</v>
      </c>
      <c r="K1851" t="s">
        <v>21</v>
      </c>
      <c r="L1851" t="s">
        <v>30</v>
      </c>
    </row>
    <row r="1852" spans="1:12" x14ac:dyDescent="0.25">
      <c r="A1852">
        <v>1851</v>
      </c>
      <c r="B1852">
        <v>73</v>
      </c>
      <c r="C1852" t="s">
        <v>12</v>
      </c>
      <c r="D1852" s="1">
        <v>45635</v>
      </c>
      <c r="E1852" s="1">
        <v>45639</v>
      </c>
      <c r="F1852" t="s">
        <v>18</v>
      </c>
      <c r="G1852" t="s">
        <v>19</v>
      </c>
      <c r="H1852">
        <v>4</v>
      </c>
      <c r="I1852" t="s">
        <v>20</v>
      </c>
      <c r="J1852">
        <v>2</v>
      </c>
      <c r="K1852" t="s">
        <v>21</v>
      </c>
      <c r="L1852" t="s">
        <v>30</v>
      </c>
    </row>
    <row r="1853" spans="1:12" x14ac:dyDescent="0.25">
      <c r="A1853">
        <v>1852</v>
      </c>
      <c r="B1853">
        <v>38</v>
      </c>
      <c r="C1853" t="s">
        <v>12</v>
      </c>
      <c r="D1853" s="1">
        <v>45310</v>
      </c>
      <c r="E1853" s="1">
        <v>45325</v>
      </c>
      <c r="F1853" t="s">
        <v>27</v>
      </c>
      <c r="G1853" t="s">
        <v>14</v>
      </c>
      <c r="H1853">
        <v>15</v>
      </c>
      <c r="I1853" t="s">
        <v>15</v>
      </c>
      <c r="J1853">
        <v>3</v>
      </c>
      <c r="K1853" t="s">
        <v>24</v>
      </c>
      <c r="L1853" t="s">
        <v>30</v>
      </c>
    </row>
    <row r="1854" spans="1:12" x14ac:dyDescent="0.25">
      <c r="A1854">
        <v>1853</v>
      </c>
      <c r="B1854">
        <v>21</v>
      </c>
      <c r="C1854" t="s">
        <v>26</v>
      </c>
      <c r="D1854" s="1">
        <v>45551</v>
      </c>
      <c r="E1854" s="1">
        <v>45560</v>
      </c>
      <c r="F1854" t="s">
        <v>31</v>
      </c>
      <c r="G1854" t="s">
        <v>19</v>
      </c>
      <c r="H1854">
        <v>9</v>
      </c>
      <c r="I1854" t="s">
        <v>15</v>
      </c>
      <c r="J1854">
        <v>2</v>
      </c>
      <c r="K1854" t="s">
        <v>21</v>
      </c>
      <c r="L1854" t="s">
        <v>29</v>
      </c>
    </row>
    <row r="1855" spans="1:12" x14ac:dyDescent="0.25">
      <c r="A1855">
        <v>1854</v>
      </c>
      <c r="B1855">
        <v>25</v>
      </c>
      <c r="C1855" t="s">
        <v>26</v>
      </c>
      <c r="D1855" s="1">
        <v>45576</v>
      </c>
      <c r="E1855" s="1">
        <v>45585</v>
      </c>
      <c r="F1855" t="s">
        <v>18</v>
      </c>
      <c r="G1855" t="s">
        <v>14</v>
      </c>
      <c r="H1855">
        <v>9</v>
      </c>
      <c r="I1855" t="s">
        <v>20</v>
      </c>
      <c r="J1855">
        <v>2</v>
      </c>
      <c r="K1855" t="s">
        <v>21</v>
      </c>
      <c r="L1855" t="s">
        <v>25</v>
      </c>
    </row>
    <row r="1856" spans="1:12" x14ac:dyDescent="0.25">
      <c r="A1856">
        <v>1855</v>
      </c>
      <c r="B1856">
        <v>24</v>
      </c>
      <c r="C1856" t="s">
        <v>26</v>
      </c>
      <c r="D1856" s="1">
        <v>45407</v>
      </c>
      <c r="E1856" s="1">
        <v>45412</v>
      </c>
      <c r="F1856" t="s">
        <v>18</v>
      </c>
      <c r="G1856" t="s">
        <v>14</v>
      </c>
      <c r="H1856">
        <v>5</v>
      </c>
      <c r="I1856" t="s">
        <v>15</v>
      </c>
      <c r="J1856">
        <v>3</v>
      </c>
      <c r="K1856" t="s">
        <v>24</v>
      </c>
      <c r="L1856" t="s">
        <v>22</v>
      </c>
    </row>
    <row r="1857" spans="1:12" x14ac:dyDescent="0.25">
      <c r="A1857">
        <v>1856</v>
      </c>
      <c r="B1857">
        <v>85</v>
      </c>
      <c r="C1857" t="s">
        <v>12</v>
      </c>
      <c r="D1857" s="1">
        <v>45530</v>
      </c>
      <c r="E1857" s="1">
        <v>45533</v>
      </c>
      <c r="F1857" t="s">
        <v>18</v>
      </c>
      <c r="G1857" t="s">
        <v>14</v>
      </c>
      <c r="H1857">
        <v>3</v>
      </c>
      <c r="I1857" t="s">
        <v>15</v>
      </c>
      <c r="J1857">
        <v>3</v>
      </c>
      <c r="K1857" t="s">
        <v>24</v>
      </c>
      <c r="L1857" t="s">
        <v>22</v>
      </c>
    </row>
    <row r="1858" spans="1:12" x14ac:dyDescent="0.25">
      <c r="A1858">
        <v>1857</v>
      </c>
      <c r="B1858">
        <v>29</v>
      </c>
      <c r="C1858" t="s">
        <v>12</v>
      </c>
      <c r="D1858" s="1">
        <v>45428</v>
      </c>
      <c r="E1858" s="1">
        <v>45435</v>
      </c>
      <c r="F1858" t="s">
        <v>18</v>
      </c>
      <c r="G1858" t="s">
        <v>14</v>
      </c>
      <c r="H1858">
        <v>7</v>
      </c>
      <c r="I1858" t="s">
        <v>20</v>
      </c>
      <c r="J1858">
        <v>2</v>
      </c>
      <c r="K1858" t="s">
        <v>16</v>
      </c>
      <c r="L1858" t="s">
        <v>30</v>
      </c>
    </row>
    <row r="1859" spans="1:12" x14ac:dyDescent="0.25">
      <c r="A1859">
        <v>1858</v>
      </c>
      <c r="B1859">
        <v>70</v>
      </c>
      <c r="C1859" t="s">
        <v>12</v>
      </c>
      <c r="D1859" s="1">
        <v>45316</v>
      </c>
      <c r="E1859" s="1">
        <v>45328</v>
      </c>
      <c r="F1859" t="s">
        <v>13</v>
      </c>
      <c r="G1859" t="s">
        <v>19</v>
      </c>
      <c r="H1859">
        <v>12</v>
      </c>
      <c r="I1859" t="s">
        <v>15</v>
      </c>
      <c r="J1859">
        <v>3</v>
      </c>
      <c r="K1859" t="s">
        <v>21</v>
      </c>
      <c r="L1859" t="s">
        <v>17</v>
      </c>
    </row>
    <row r="1860" spans="1:12" x14ac:dyDescent="0.25">
      <c r="A1860">
        <v>1859</v>
      </c>
      <c r="B1860">
        <v>76</v>
      </c>
      <c r="C1860" t="s">
        <v>26</v>
      </c>
      <c r="D1860" s="1">
        <v>45450</v>
      </c>
      <c r="E1860" s="1">
        <v>45462</v>
      </c>
      <c r="F1860" t="s">
        <v>31</v>
      </c>
      <c r="G1860" t="s">
        <v>14</v>
      </c>
      <c r="H1860">
        <v>12</v>
      </c>
      <c r="I1860" t="s">
        <v>15</v>
      </c>
      <c r="J1860">
        <v>3</v>
      </c>
      <c r="K1860" t="s">
        <v>16</v>
      </c>
      <c r="L1860" t="s">
        <v>25</v>
      </c>
    </row>
    <row r="1861" spans="1:12" x14ac:dyDescent="0.25">
      <c r="A1861">
        <v>1860</v>
      </c>
      <c r="B1861">
        <v>59</v>
      </c>
      <c r="C1861" t="s">
        <v>12</v>
      </c>
      <c r="D1861" s="1">
        <v>45491</v>
      </c>
      <c r="E1861" s="1">
        <v>45493</v>
      </c>
      <c r="F1861" t="s">
        <v>31</v>
      </c>
      <c r="G1861" t="s">
        <v>23</v>
      </c>
      <c r="H1861">
        <v>2</v>
      </c>
      <c r="I1861" t="s">
        <v>15</v>
      </c>
      <c r="J1861">
        <v>1</v>
      </c>
      <c r="K1861" t="s">
        <v>24</v>
      </c>
      <c r="L1861" t="s">
        <v>30</v>
      </c>
    </row>
    <row r="1862" spans="1:12" x14ac:dyDescent="0.25">
      <c r="A1862">
        <v>1861</v>
      </c>
      <c r="B1862">
        <v>69</v>
      </c>
      <c r="C1862" t="s">
        <v>12</v>
      </c>
      <c r="D1862" s="1">
        <v>45391</v>
      </c>
      <c r="E1862" s="1">
        <v>45402</v>
      </c>
      <c r="F1862" t="s">
        <v>31</v>
      </c>
      <c r="G1862" t="s">
        <v>23</v>
      </c>
      <c r="H1862">
        <v>11</v>
      </c>
      <c r="I1862" t="s">
        <v>15</v>
      </c>
      <c r="J1862">
        <v>0</v>
      </c>
      <c r="K1862" t="s">
        <v>16</v>
      </c>
      <c r="L1862" t="s">
        <v>30</v>
      </c>
    </row>
    <row r="1863" spans="1:12" x14ac:dyDescent="0.25">
      <c r="A1863">
        <v>1862</v>
      </c>
      <c r="B1863">
        <v>26</v>
      </c>
      <c r="C1863" t="s">
        <v>26</v>
      </c>
      <c r="D1863" s="1">
        <v>45479</v>
      </c>
      <c r="E1863" s="1">
        <v>45489</v>
      </c>
      <c r="F1863" t="s">
        <v>31</v>
      </c>
      <c r="G1863" t="s">
        <v>14</v>
      </c>
      <c r="H1863">
        <v>10</v>
      </c>
      <c r="I1863" t="s">
        <v>15</v>
      </c>
      <c r="J1863">
        <v>4</v>
      </c>
      <c r="K1863" t="s">
        <v>16</v>
      </c>
      <c r="L1863" t="s">
        <v>30</v>
      </c>
    </row>
    <row r="1864" spans="1:12" x14ac:dyDescent="0.25">
      <c r="A1864">
        <v>1863</v>
      </c>
      <c r="B1864">
        <v>87</v>
      </c>
      <c r="C1864" t="s">
        <v>12</v>
      </c>
      <c r="D1864" s="1">
        <v>45508</v>
      </c>
      <c r="E1864" s="1">
        <v>45512</v>
      </c>
      <c r="F1864" t="s">
        <v>13</v>
      </c>
      <c r="G1864" t="s">
        <v>14</v>
      </c>
      <c r="H1864">
        <v>4</v>
      </c>
      <c r="I1864" t="s">
        <v>15</v>
      </c>
      <c r="J1864">
        <v>4</v>
      </c>
      <c r="K1864" t="s">
        <v>16</v>
      </c>
      <c r="L1864" t="s">
        <v>17</v>
      </c>
    </row>
    <row r="1865" spans="1:12" x14ac:dyDescent="0.25">
      <c r="A1865">
        <v>1864</v>
      </c>
      <c r="B1865">
        <v>78</v>
      </c>
      <c r="C1865" t="s">
        <v>26</v>
      </c>
      <c r="D1865" s="1">
        <v>45414</v>
      </c>
      <c r="E1865" s="1">
        <v>45426</v>
      </c>
      <c r="F1865" t="s">
        <v>31</v>
      </c>
      <c r="G1865" t="s">
        <v>23</v>
      </c>
      <c r="H1865">
        <v>12</v>
      </c>
      <c r="I1865" t="s">
        <v>20</v>
      </c>
      <c r="J1865">
        <v>0</v>
      </c>
      <c r="K1865" t="s">
        <v>16</v>
      </c>
      <c r="L1865" t="s">
        <v>30</v>
      </c>
    </row>
    <row r="1866" spans="1:12" x14ac:dyDescent="0.25">
      <c r="A1866">
        <v>1865</v>
      </c>
      <c r="B1866">
        <v>90</v>
      </c>
      <c r="C1866" t="s">
        <v>26</v>
      </c>
      <c r="D1866" s="1">
        <v>45520</v>
      </c>
      <c r="E1866" s="1">
        <v>45529</v>
      </c>
      <c r="F1866" t="s">
        <v>18</v>
      </c>
      <c r="G1866" t="s">
        <v>19</v>
      </c>
      <c r="H1866">
        <v>9</v>
      </c>
      <c r="I1866" t="s">
        <v>15</v>
      </c>
      <c r="J1866">
        <v>2</v>
      </c>
      <c r="K1866" t="s">
        <v>24</v>
      </c>
      <c r="L1866" t="s">
        <v>22</v>
      </c>
    </row>
    <row r="1867" spans="1:12" x14ac:dyDescent="0.25">
      <c r="A1867">
        <v>1866</v>
      </c>
      <c r="B1867">
        <v>37</v>
      </c>
      <c r="C1867" t="s">
        <v>26</v>
      </c>
      <c r="D1867" s="1">
        <v>45490</v>
      </c>
      <c r="E1867" s="1">
        <v>45491</v>
      </c>
      <c r="F1867" t="s">
        <v>28</v>
      </c>
      <c r="G1867" t="s">
        <v>14</v>
      </c>
      <c r="H1867">
        <v>1</v>
      </c>
      <c r="I1867" t="s">
        <v>15</v>
      </c>
      <c r="J1867">
        <v>1</v>
      </c>
      <c r="K1867" t="s">
        <v>21</v>
      </c>
      <c r="L1867" t="s">
        <v>22</v>
      </c>
    </row>
    <row r="1868" spans="1:12" x14ac:dyDescent="0.25">
      <c r="A1868">
        <v>1867</v>
      </c>
      <c r="B1868">
        <v>63</v>
      </c>
      <c r="C1868" t="s">
        <v>12</v>
      </c>
      <c r="D1868" s="1">
        <v>45331</v>
      </c>
      <c r="E1868" s="1">
        <v>45342</v>
      </c>
      <c r="F1868" t="s">
        <v>28</v>
      </c>
      <c r="G1868" t="s">
        <v>19</v>
      </c>
      <c r="H1868">
        <v>11</v>
      </c>
      <c r="I1868" t="s">
        <v>15</v>
      </c>
      <c r="J1868">
        <v>1</v>
      </c>
      <c r="K1868" t="s">
        <v>21</v>
      </c>
      <c r="L1868" t="s">
        <v>22</v>
      </c>
    </row>
    <row r="1869" spans="1:12" x14ac:dyDescent="0.25">
      <c r="A1869">
        <v>1868</v>
      </c>
      <c r="B1869">
        <v>71</v>
      </c>
      <c r="C1869" t="s">
        <v>12</v>
      </c>
      <c r="D1869" s="1">
        <v>45560</v>
      </c>
      <c r="E1869" s="1">
        <v>45567</v>
      </c>
      <c r="F1869" t="s">
        <v>18</v>
      </c>
      <c r="G1869" t="s">
        <v>23</v>
      </c>
      <c r="H1869">
        <v>7</v>
      </c>
      <c r="I1869" t="s">
        <v>15</v>
      </c>
      <c r="J1869">
        <v>4</v>
      </c>
      <c r="K1869" t="s">
        <v>21</v>
      </c>
      <c r="L1869" t="s">
        <v>17</v>
      </c>
    </row>
    <row r="1870" spans="1:12" x14ac:dyDescent="0.25">
      <c r="A1870">
        <v>1869</v>
      </c>
      <c r="B1870">
        <v>59</v>
      </c>
      <c r="C1870" t="s">
        <v>26</v>
      </c>
      <c r="D1870" s="1">
        <v>45444</v>
      </c>
      <c r="E1870" s="1">
        <v>45451</v>
      </c>
      <c r="F1870" t="s">
        <v>18</v>
      </c>
      <c r="G1870" t="s">
        <v>14</v>
      </c>
      <c r="H1870">
        <v>7</v>
      </c>
      <c r="I1870" t="s">
        <v>15</v>
      </c>
      <c r="J1870">
        <v>4</v>
      </c>
      <c r="K1870" t="s">
        <v>16</v>
      </c>
      <c r="L1870" t="s">
        <v>22</v>
      </c>
    </row>
    <row r="1871" spans="1:12" x14ac:dyDescent="0.25">
      <c r="A1871">
        <v>1870</v>
      </c>
      <c r="B1871">
        <v>52</v>
      </c>
      <c r="C1871" t="s">
        <v>26</v>
      </c>
      <c r="D1871" s="1">
        <v>45636</v>
      </c>
      <c r="E1871" s="1">
        <v>45639</v>
      </c>
      <c r="F1871" t="s">
        <v>18</v>
      </c>
      <c r="G1871" t="s">
        <v>19</v>
      </c>
      <c r="H1871">
        <v>3</v>
      </c>
      <c r="I1871" t="s">
        <v>20</v>
      </c>
      <c r="J1871">
        <v>0</v>
      </c>
      <c r="K1871" t="s">
        <v>16</v>
      </c>
      <c r="L1871" t="s">
        <v>25</v>
      </c>
    </row>
    <row r="1872" spans="1:12" x14ac:dyDescent="0.25">
      <c r="A1872">
        <v>1871</v>
      </c>
      <c r="B1872">
        <v>62</v>
      </c>
      <c r="C1872" t="s">
        <v>12</v>
      </c>
      <c r="D1872" s="1">
        <v>45381</v>
      </c>
      <c r="E1872" s="1">
        <v>45387</v>
      </c>
      <c r="F1872" t="s">
        <v>27</v>
      </c>
      <c r="G1872" t="s">
        <v>14</v>
      </c>
      <c r="H1872">
        <v>6</v>
      </c>
      <c r="I1872" t="s">
        <v>15</v>
      </c>
      <c r="J1872">
        <v>3</v>
      </c>
      <c r="K1872" t="s">
        <v>16</v>
      </c>
      <c r="L1872" t="s">
        <v>22</v>
      </c>
    </row>
    <row r="1873" spans="1:12" x14ac:dyDescent="0.25">
      <c r="A1873">
        <v>1872</v>
      </c>
      <c r="B1873">
        <v>89</v>
      </c>
      <c r="C1873" t="s">
        <v>26</v>
      </c>
      <c r="D1873" s="1">
        <v>45590</v>
      </c>
      <c r="E1873" s="1">
        <v>45604</v>
      </c>
      <c r="F1873" t="s">
        <v>18</v>
      </c>
      <c r="G1873" t="s">
        <v>23</v>
      </c>
      <c r="H1873">
        <v>14</v>
      </c>
      <c r="I1873" t="s">
        <v>15</v>
      </c>
      <c r="J1873">
        <v>4</v>
      </c>
      <c r="K1873" t="s">
        <v>16</v>
      </c>
      <c r="L1873" t="s">
        <v>30</v>
      </c>
    </row>
    <row r="1874" spans="1:12" x14ac:dyDescent="0.25">
      <c r="A1874">
        <v>1873</v>
      </c>
      <c r="B1874">
        <v>86</v>
      </c>
      <c r="C1874" t="s">
        <v>26</v>
      </c>
      <c r="D1874" s="1">
        <v>45321</v>
      </c>
      <c r="E1874" s="1">
        <v>45330</v>
      </c>
      <c r="F1874" t="s">
        <v>18</v>
      </c>
      <c r="G1874" t="s">
        <v>19</v>
      </c>
      <c r="H1874">
        <v>9</v>
      </c>
      <c r="I1874" t="s">
        <v>20</v>
      </c>
      <c r="J1874">
        <v>1</v>
      </c>
      <c r="K1874" t="s">
        <v>21</v>
      </c>
      <c r="L1874" t="s">
        <v>25</v>
      </c>
    </row>
    <row r="1875" spans="1:12" x14ac:dyDescent="0.25">
      <c r="A1875">
        <v>1874</v>
      </c>
      <c r="B1875">
        <v>86</v>
      </c>
      <c r="C1875" t="s">
        <v>12</v>
      </c>
      <c r="D1875" s="1">
        <v>45522</v>
      </c>
      <c r="E1875" s="1">
        <v>45527</v>
      </c>
      <c r="F1875" t="s">
        <v>31</v>
      </c>
      <c r="G1875" t="s">
        <v>23</v>
      </c>
      <c r="H1875">
        <v>5</v>
      </c>
      <c r="I1875" t="s">
        <v>15</v>
      </c>
      <c r="J1875">
        <v>2</v>
      </c>
      <c r="K1875" t="s">
        <v>24</v>
      </c>
      <c r="L1875" t="s">
        <v>25</v>
      </c>
    </row>
    <row r="1876" spans="1:12" x14ac:dyDescent="0.25">
      <c r="A1876">
        <v>1875</v>
      </c>
      <c r="B1876">
        <v>36</v>
      </c>
      <c r="C1876" t="s">
        <v>26</v>
      </c>
      <c r="D1876" s="1">
        <v>45464</v>
      </c>
      <c r="E1876" s="1">
        <v>45468</v>
      </c>
      <c r="F1876" t="s">
        <v>13</v>
      </c>
      <c r="G1876" t="s">
        <v>14</v>
      </c>
      <c r="H1876">
        <v>4</v>
      </c>
      <c r="I1876" t="s">
        <v>15</v>
      </c>
      <c r="J1876">
        <v>1</v>
      </c>
      <c r="K1876" t="s">
        <v>24</v>
      </c>
      <c r="L1876" t="s">
        <v>29</v>
      </c>
    </row>
    <row r="1877" spans="1:12" x14ac:dyDescent="0.25">
      <c r="A1877">
        <v>1876</v>
      </c>
      <c r="B1877">
        <v>44</v>
      </c>
      <c r="C1877" t="s">
        <v>26</v>
      </c>
      <c r="D1877" s="1">
        <v>45339</v>
      </c>
      <c r="E1877" s="1">
        <v>45350</v>
      </c>
      <c r="F1877" t="s">
        <v>13</v>
      </c>
      <c r="G1877" t="s">
        <v>23</v>
      </c>
      <c r="H1877">
        <v>11</v>
      </c>
      <c r="I1877" t="s">
        <v>15</v>
      </c>
      <c r="J1877">
        <v>3</v>
      </c>
      <c r="K1877" t="s">
        <v>16</v>
      </c>
      <c r="L1877" t="s">
        <v>29</v>
      </c>
    </row>
    <row r="1878" spans="1:12" x14ac:dyDescent="0.25">
      <c r="A1878">
        <v>1877</v>
      </c>
      <c r="B1878">
        <v>73</v>
      </c>
      <c r="C1878" t="s">
        <v>12</v>
      </c>
      <c r="D1878" s="1">
        <v>45358</v>
      </c>
      <c r="E1878" s="1">
        <v>45365</v>
      </c>
      <c r="F1878" t="s">
        <v>28</v>
      </c>
      <c r="G1878" t="s">
        <v>23</v>
      </c>
      <c r="H1878">
        <v>7</v>
      </c>
      <c r="I1878" t="s">
        <v>15</v>
      </c>
      <c r="J1878">
        <v>3</v>
      </c>
      <c r="K1878" t="s">
        <v>16</v>
      </c>
      <c r="L1878" t="s">
        <v>17</v>
      </c>
    </row>
    <row r="1879" spans="1:12" x14ac:dyDescent="0.25">
      <c r="A1879">
        <v>1878</v>
      </c>
      <c r="B1879">
        <v>49</v>
      </c>
      <c r="C1879" t="s">
        <v>12</v>
      </c>
      <c r="D1879" s="1">
        <v>45375</v>
      </c>
      <c r="E1879" s="1">
        <v>45379</v>
      </c>
      <c r="F1879" t="s">
        <v>13</v>
      </c>
      <c r="G1879" t="s">
        <v>19</v>
      </c>
      <c r="H1879">
        <v>4</v>
      </c>
      <c r="I1879" t="s">
        <v>20</v>
      </c>
      <c r="J1879">
        <v>3</v>
      </c>
      <c r="K1879" t="s">
        <v>16</v>
      </c>
      <c r="L1879" t="s">
        <v>29</v>
      </c>
    </row>
    <row r="1880" spans="1:12" x14ac:dyDescent="0.25">
      <c r="A1880">
        <v>1879</v>
      </c>
      <c r="B1880">
        <v>22</v>
      </c>
      <c r="C1880" t="s">
        <v>26</v>
      </c>
      <c r="D1880" s="1">
        <v>45503</v>
      </c>
      <c r="E1880" s="1">
        <v>45504</v>
      </c>
      <c r="F1880" t="s">
        <v>28</v>
      </c>
      <c r="G1880" t="s">
        <v>23</v>
      </c>
      <c r="H1880">
        <v>1</v>
      </c>
      <c r="I1880" t="s">
        <v>15</v>
      </c>
      <c r="J1880">
        <v>1</v>
      </c>
      <c r="K1880" t="s">
        <v>21</v>
      </c>
      <c r="L1880" t="s">
        <v>25</v>
      </c>
    </row>
    <row r="1881" spans="1:12" x14ac:dyDescent="0.25">
      <c r="A1881">
        <v>1880</v>
      </c>
      <c r="B1881">
        <v>55</v>
      </c>
      <c r="C1881" t="s">
        <v>12</v>
      </c>
      <c r="D1881" s="1">
        <v>45622</v>
      </c>
      <c r="E1881" s="1">
        <v>45624</v>
      </c>
      <c r="F1881" t="s">
        <v>18</v>
      </c>
      <c r="G1881" t="s">
        <v>19</v>
      </c>
      <c r="H1881">
        <v>2</v>
      </c>
      <c r="I1881" t="s">
        <v>15</v>
      </c>
      <c r="J1881">
        <v>0</v>
      </c>
      <c r="K1881" t="s">
        <v>21</v>
      </c>
      <c r="L1881" t="s">
        <v>30</v>
      </c>
    </row>
    <row r="1882" spans="1:12" x14ac:dyDescent="0.25">
      <c r="A1882">
        <v>1881</v>
      </c>
      <c r="B1882">
        <v>48</v>
      </c>
      <c r="C1882" t="s">
        <v>12</v>
      </c>
      <c r="D1882" s="1">
        <v>45606</v>
      </c>
      <c r="E1882" s="1">
        <v>45621</v>
      </c>
      <c r="F1882" t="s">
        <v>27</v>
      </c>
      <c r="G1882" t="s">
        <v>19</v>
      </c>
      <c r="H1882">
        <v>15</v>
      </c>
      <c r="I1882" t="s">
        <v>20</v>
      </c>
      <c r="J1882">
        <v>4</v>
      </c>
      <c r="K1882" t="s">
        <v>16</v>
      </c>
      <c r="L1882" t="s">
        <v>25</v>
      </c>
    </row>
    <row r="1883" spans="1:12" x14ac:dyDescent="0.25">
      <c r="A1883">
        <v>1882</v>
      </c>
      <c r="B1883">
        <v>83</v>
      </c>
      <c r="C1883" t="s">
        <v>12</v>
      </c>
      <c r="D1883" s="1">
        <v>45417</v>
      </c>
      <c r="E1883" s="1">
        <v>45429</v>
      </c>
      <c r="F1883" t="s">
        <v>27</v>
      </c>
      <c r="G1883" t="s">
        <v>19</v>
      </c>
      <c r="H1883">
        <v>12</v>
      </c>
      <c r="I1883" t="s">
        <v>15</v>
      </c>
      <c r="J1883">
        <v>2</v>
      </c>
      <c r="K1883" t="s">
        <v>16</v>
      </c>
      <c r="L1883" t="s">
        <v>17</v>
      </c>
    </row>
    <row r="1884" spans="1:12" x14ac:dyDescent="0.25">
      <c r="A1884">
        <v>1883</v>
      </c>
      <c r="B1884">
        <v>83</v>
      </c>
      <c r="C1884" t="s">
        <v>26</v>
      </c>
      <c r="D1884" s="1">
        <v>45580</v>
      </c>
      <c r="E1884" s="1">
        <v>45594</v>
      </c>
      <c r="F1884" t="s">
        <v>31</v>
      </c>
      <c r="G1884" t="s">
        <v>23</v>
      </c>
      <c r="H1884">
        <v>14</v>
      </c>
      <c r="I1884" t="s">
        <v>15</v>
      </c>
      <c r="J1884">
        <v>0</v>
      </c>
      <c r="K1884" t="s">
        <v>21</v>
      </c>
      <c r="L1884" t="s">
        <v>30</v>
      </c>
    </row>
    <row r="1885" spans="1:12" x14ac:dyDescent="0.25">
      <c r="A1885">
        <v>1884</v>
      </c>
      <c r="B1885">
        <v>77</v>
      </c>
      <c r="C1885" t="s">
        <v>26</v>
      </c>
      <c r="D1885" s="1">
        <v>45560</v>
      </c>
      <c r="E1885" s="1">
        <v>45569</v>
      </c>
      <c r="F1885" t="s">
        <v>31</v>
      </c>
      <c r="G1885" t="s">
        <v>23</v>
      </c>
      <c r="H1885">
        <v>9</v>
      </c>
      <c r="I1885" t="s">
        <v>20</v>
      </c>
      <c r="J1885">
        <v>0</v>
      </c>
      <c r="K1885" t="s">
        <v>16</v>
      </c>
      <c r="L1885" t="s">
        <v>30</v>
      </c>
    </row>
    <row r="1886" spans="1:12" x14ac:dyDescent="0.25">
      <c r="A1886">
        <v>1885</v>
      </c>
      <c r="B1886">
        <v>41</v>
      </c>
      <c r="C1886" t="s">
        <v>12</v>
      </c>
      <c r="D1886" s="1">
        <v>45620</v>
      </c>
      <c r="E1886" s="1">
        <v>45629</v>
      </c>
      <c r="F1886" t="s">
        <v>28</v>
      </c>
      <c r="G1886" t="s">
        <v>23</v>
      </c>
      <c r="H1886">
        <v>9</v>
      </c>
      <c r="I1886" t="s">
        <v>20</v>
      </c>
      <c r="J1886">
        <v>4</v>
      </c>
      <c r="K1886" t="s">
        <v>16</v>
      </c>
      <c r="L1886" t="s">
        <v>29</v>
      </c>
    </row>
    <row r="1887" spans="1:12" x14ac:dyDescent="0.25">
      <c r="A1887">
        <v>1886</v>
      </c>
      <c r="B1887">
        <v>54</v>
      </c>
      <c r="C1887" t="s">
        <v>26</v>
      </c>
      <c r="D1887" s="1">
        <v>45355</v>
      </c>
      <c r="E1887" s="1">
        <v>45364</v>
      </c>
      <c r="F1887" t="s">
        <v>28</v>
      </c>
      <c r="G1887" t="s">
        <v>19</v>
      </c>
      <c r="H1887">
        <v>9</v>
      </c>
      <c r="I1887" t="s">
        <v>15</v>
      </c>
      <c r="J1887">
        <v>1</v>
      </c>
      <c r="K1887" t="s">
        <v>21</v>
      </c>
      <c r="L1887" t="s">
        <v>29</v>
      </c>
    </row>
    <row r="1888" spans="1:12" x14ac:dyDescent="0.25">
      <c r="A1888">
        <v>1887</v>
      </c>
      <c r="B1888">
        <v>20</v>
      </c>
      <c r="C1888" t="s">
        <v>26</v>
      </c>
      <c r="D1888" s="1">
        <v>45510</v>
      </c>
      <c r="E1888" s="1">
        <v>45511</v>
      </c>
      <c r="F1888" t="s">
        <v>27</v>
      </c>
      <c r="G1888" t="s">
        <v>19</v>
      </c>
      <c r="H1888">
        <v>1</v>
      </c>
      <c r="I1888" t="s">
        <v>15</v>
      </c>
      <c r="J1888">
        <v>2</v>
      </c>
      <c r="K1888" t="s">
        <v>21</v>
      </c>
      <c r="L1888" t="s">
        <v>17</v>
      </c>
    </row>
    <row r="1889" spans="1:12" x14ac:dyDescent="0.25">
      <c r="A1889">
        <v>1888</v>
      </c>
      <c r="B1889">
        <v>41</v>
      </c>
      <c r="C1889" t="s">
        <v>12</v>
      </c>
      <c r="D1889" s="1">
        <v>45334</v>
      </c>
      <c r="E1889" s="1">
        <v>45338</v>
      </c>
      <c r="F1889" t="s">
        <v>31</v>
      </c>
      <c r="G1889" t="s">
        <v>14</v>
      </c>
      <c r="H1889">
        <v>4</v>
      </c>
      <c r="I1889" t="s">
        <v>20</v>
      </c>
      <c r="J1889">
        <v>0</v>
      </c>
      <c r="K1889" t="s">
        <v>21</v>
      </c>
      <c r="L1889" t="s">
        <v>17</v>
      </c>
    </row>
    <row r="1890" spans="1:12" x14ac:dyDescent="0.25">
      <c r="A1890">
        <v>1889</v>
      </c>
      <c r="B1890">
        <v>70</v>
      </c>
      <c r="C1890" t="s">
        <v>12</v>
      </c>
      <c r="D1890" s="1">
        <v>45365</v>
      </c>
      <c r="E1890" s="1">
        <v>45375</v>
      </c>
      <c r="F1890" t="s">
        <v>28</v>
      </c>
      <c r="G1890" t="s">
        <v>14</v>
      </c>
      <c r="H1890">
        <v>10</v>
      </c>
      <c r="I1890" t="s">
        <v>15</v>
      </c>
      <c r="J1890">
        <v>1</v>
      </c>
      <c r="K1890" t="s">
        <v>16</v>
      </c>
      <c r="L1890" t="s">
        <v>30</v>
      </c>
    </row>
    <row r="1891" spans="1:12" x14ac:dyDescent="0.25">
      <c r="A1891">
        <v>1890</v>
      </c>
      <c r="B1891">
        <v>66</v>
      </c>
      <c r="C1891" t="s">
        <v>12</v>
      </c>
      <c r="D1891" s="1">
        <v>45489</v>
      </c>
      <c r="E1891" s="1">
        <v>45495</v>
      </c>
      <c r="F1891" t="s">
        <v>18</v>
      </c>
      <c r="G1891" t="s">
        <v>14</v>
      </c>
      <c r="H1891">
        <v>6</v>
      </c>
      <c r="I1891" t="s">
        <v>20</v>
      </c>
      <c r="J1891">
        <v>3</v>
      </c>
      <c r="K1891" t="s">
        <v>16</v>
      </c>
      <c r="L1891" t="s">
        <v>25</v>
      </c>
    </row>
    <row r="1892" spans="1:12" x14ac:dyDescent="0.25">
      <c r="A1892">
        <v>1891</v>
      </c>
      <c r="B1892">
        <v>68</v>
      </c>
      <c r="C1892" t="s">
        <v>12</v>
      </c>
      <c r="D1892" s="1">
        <v>45573</v>
      </c>
      <c r="E1892" s="1">
        <v>45586</v>
      </c>
      <c r="F1892" t="s">
        <v>18</v>
      </c>
      <c r="G1892" t="s">
        <v>19</v>
      </c>
      <c r="H1892">
        <v>13</v>
      </c>
      <c r="I1892" t="s">
        <v>15</v>
      </c>
      <c r="J1892">
        <v>1</v>
      </c>
      <c r="K1892" t="s">
        <v>24</v>
      </c>
      <c r="L1892" t="s">
        <v>30</v>
      </c>
    </row>
    <row r="1893" spans="1:12" x14ac:dyDescent="0.25">
      <c r="A1893">
        <v>1892</v>
      </c>
      <c r="B1893">
        <v>69</v>
      </c>
      <c r="C1893" t="s">
        <v>12</v>
      </c>
      <c r="D1893" s="1">
        <v>45568</v>
      </c>
      <c r="E1893" s="1">
        <v>45574</v>
      </c>
      <c r="F1893" t="s">
        <v>13</v>
      </c>
      <c r="G1893" t="s">
        <v>19</v>
      </c>
      <c r="H1893">
        <v>6</v>
      </c>
      <c r="I1893" t="s">
        <v>20</v>
      </c>
      <c r="J1893">
        <v>1</v>
      </c>
      <c r="K1893" t="s">
        <v>16</v>
      </c>
      <c r="L1893" t="s">
        <v>17</v>
      </c>
    </row>
    <row r="1894" spans="1:12" x14ac:dyDescent="0.25">
      <c r="A1894">
        <v>1893</v>
      </c>
      <c r="B1894">
        <v>66</v>
      </c>
      <c r="C1894" t="s">
        <v>12</v>
      </c>
      <c r="D1894" s="1">
        <v>45587</v>
      </c>
      <c r="E1894" s="1">
        <v>45599</v>
      </c>
      <c r="F1894" t="s">
        <v>27</v>
      </c>
      <c r="G1894" t="s">
        <v>14</v>
      </c>
      <c r="H1894">
        <v>12</v>
      </c>
      <c r="I1894" t="s">
        <v>15</v>
      </c>
      <c r="J1894">
        <v>1</v>
      </c>
      <c r="K1894" t="s">
        <v>24</v>
      </c>
      <c r="L1894" t="s">
        <v>17</v>
      </c>
    </row>
    <row r="1895" spans="1:12" x14ac:dyDescent="0.25">
      <c r="A1895">
        <v>1894</v>
      </c>
      <c r="B1895">
        <v>33</v>
      </c>
      <c r="C1895" t="s">
        <v>12</v>
      </c>
      <c r="D1895" s="1">
        <v>45360</v>
      </c>
      <c r="E1895" s="1">
        <v>45369</v>
      </c>
      <c r="F1895" t="s">
        <v>27</v>
      </c>
      <c r="G1895" t="s">
        <v>19</v>
      </c>
      <c r="H1895">
        <v>9</v>
      </c>
      <c r="I1895" t="s">
        <v>15</v>
      </c>
      <c r="J1895">
        <v>0</v>
      </c>
      <c r="K1895" t="s">
        <v>24</v>
      </c>
      <c r="L1895" t="s">
        <v>22</v>
      </c>
    </row>
    <row r="1896" spans="1:12" x14ac:dyDescent="0.25">
      <c r="A1896">
        <v>1895</v>
      </c>
      <c r="B1896">
        <v>52</v>
      </c>
      <c r="C1896" t="s">
        <v>26</v>
      </c>
      <c r="D1896" s="1">
        <v>45535</v>
      </c>
      <c r="E1896" s="1">
        <v>45541</v>
      </c>
      <c r="F1896" t="s">
        <v>31</v>
      </c>
      <c r="G1896" t="s">
        <v>14</v>
      </c>
      <c r="H1896">
        <v>6</v>
      </c>
      <c r="I1896" t="s">
        <v>20</v>
      </c>
      <c r="J1896">
        <v>2</v>
      </c>
      <c r="K1896" t="s">
        <v>16</v>
      </c>
      <c r="L1896" t="s">
        <v>29</v>
      </c>
    </row>
    <row r="1897" spans="1:12" x14ac:dyDescent="0.25">
      <c r="A1897">
        <v>1896</v>
      </c>
      <c r="B1897">
        <v>81</v>
      </c>
      <c r="C1897" t="s">
        <v>12</v>
      </c>
      <c r="D1897" s="1">
        <v>45476</v>
      </c>
      <c r="E1897" s="1">
        <v>45488</v>
      </c>
      <c r="F1897" t="s">
        <v>13</v>
      </c>
      <c r="G1897" t="s">
        <v>23</v>
      </c>
      <c r="H1897">
        <v>12</v>
      </c>
      <c r="I1897" t="s">
        <v>20</v>
      </c>
      <c r="J1897">
        <v>0</v>
      </c>
      <c r="K1897" t="s">
        <v>16</v>
      </c>
      <c r="L1897" t="s">
        <v>30</v>
      </c>
    </row>
    <row r="1898" spans="1:12" x14ac:dyDescent="0.25">
      <c r="A1898">
        <v>1897</v>
      </c>
      <c r="B1898">
        <v>28</v>
      </c>
      <c r="C1898" t="s">
        <v>12</v>
      </c>
      <c r="D1898" s="1">
        <v>45354</v>
      </c>
      <c r="E1898" s="1">
        <v>45355</v>
      </c>
      <c r="F1898" t="s">
        <v>13</v>
      </c>
      <c r="G1898" t="s">
        <v>19</v>
      </c>
      <c r="H1898">
        <v>1</v>
      </c>
      <c r="I1898" t="s">
        <v>15</v>
      </c>
      <c r="J1898">
        <v>4</v>
      </c>
      <c r="K1898" t="s">
        <v>21</v>
      </c>
      <c r="L1898" t="s">
        <v>17</v>
      </c>
    </row>
    <row r="1899" spans="1:12" x14ac:dyDescent="0.25">
      <c r="A1899">
        <v>1898</v>
      </c>
      <c r="B1899">
        <v>54</v>
      </c>
      <c r="C1899" t="s">
        <v>26</v>
      </c>
      <c r="D1899" s="1">
        <v>45537</v>
      </c>
      <c r="E1899" s="1">
        <v>45538</v>
      </c>
      <c r="F1899" t="s">
        <v>18</v>
      </c>
      <c r="G1899" t="s">
        <v>19</v>
      </c>
      <c r="H1899">
        <v>1</v>
      </c>
      <c r="I1899" t="s">
        <v>15</v>
      </c>
      <c r="J1899">
        <v>1</v>
      </c>
      <c r="K1899" t="s">
        <v>24</v>
      </c>
      <c r="L1899" t="s">
        <v>25</v>
      </c>
    </row>
    <row r="1900" spans="1:12" x14ac:dyDescent="0.25">
      <c r="A1900">
        <v>1899</v>
      </c>
      <c r="B1900">
        <v>31</v>
      </c>
      <c r="C1900" t="s">
        <v>12</v>
      </c>
      <c r="D1900" s="1">
        <v>45395</v>
      </c>
      <c r="E1900" s="1">
        <v>45397</v>
      </c>
      <c r="F1900" t="s">
        <v>28</v>
      </c>
      <c r="G1900" t="s">
        <v>19</v>
      </c>
      <c r="H1900">
        <v>2</v>
      </c>
      <c r="I1900" t="s">
        <v>15</v>
      </c>
      <c r="J1900">
        <v>3</v>
      </c>
      <c r="K1900" t="s">
        <v>16</v>
      </c>
      <c r="L1900" t="s">
        <v>25</v>
      </c>
    </row>
    <row r="1901" spans="1:12" x14ac:dyDescent="0.25">
      <c r="A1901">
        <v>1900</v>
      </c>
      <c r="B1901">
        <v>90</v>
      </c>
      <c r="C1901" t="s">
        <v>26</v>
      </c>
      <c r="D1901" s="1">
        <v>45427</v>
      </c>
      <c r="E1901" s="1">
        <v>45436</v>
      </c>
      <c r="F1901" t="s">
        <v>13</v>
      </c>
      <c r="G1901" t="s">
        <v>19</v>
      </c>
      <c r="H1901">
        <v>9</v>
      </c>
      <c r="I1901" t="s">
        <v>15</v>
      </c>
      <c r="J1901">
        <v>4</v>
      </c>
      <c r="K1901" t="s">
        <v>24</v>
      </c>
      <c r="L1901" t="s">
        <v>22</v>
      </c>
    </row>
    <row r="1902" spans="1:12" x14ac:dyDescent="0.25">
      <c r="A1902">
        <v>1901</v>
      </c>
      <c r="B1902">
        <v>78</v>
      </c>
      <c r="C1902" t="s">
        <v>26</v>
      </c>
      <c r="D1902" s="1">
        <v>45459</v>
      </c>
      <c r="E1902" s="1">
        <v>45470</v>
      </c>
      <c r="F1902" t="s">
        <v>31</v>
      </c>
      <c r="G1902" t="s">
        <v>19</v>
      </c>
      <c r="H1902">
        <v>11</v>
      </c>
      <c r="I1902" t="s">
        <v>15</v>
      </c>
      <c r="J1902">
        <v>0</v>
      </c>
      <c r="K1902" t="s">
        <v>21</v>
      </c>
      <c r="L1902" t="s">
        <v>25</v>
      </c>
    </row>
    <row r="1903" spans="1:12" x14ac:dyDescent="0.25">
      <c r="A1903">
        <v>1902</v>
      </c>
      <c r="B1903">
        <v>75</v>
      </c>
      <c r="C1903" t="s">
        <v>26</v>
      </c>
      <c r="D1903" s="1">
        <v>45604</v>
      </c>
      <c r="E1903" s="1">
        <v>45619</v>
      </c>
      <c r="F1903" t="s">
        <v>18</v>
      </c>
      <c r="G1903" t="s">
        <v>14</v>
      </c>
      <c r="H1903">
        <v>15</v>
      </c>
      <c r="I1903" t="s">
        <v>15</v>
      </c>
      <c r="J1903">
        <v>4</v>
      </c>
      <c r="K1903" t="s">
        <v>24</v>
      </c>
      <c r="L1903" t="s">
        <v>25</v>
      </c>
    </row>
    <row r="1904" spans="1:12" x14ac:dyDescent="0.25">
      <c r="A1904">
        <v>1903</v>
      </c>
      <c r="B1904">
        <v>88</v>
      </c>
      <c r="C1904" t="s">
        <v>12</v>
      </c>
      <c r="D1904" s="1">
        <v>45471</v>
      </c>
      <c r="E1904" s="1">
        <v>45478</v>
      </c>
      <c r="F1904" t="s">
        <v>27</v>
      </c>
      <c r="G1904" t="s">
        <v>19</v>
      </c>
      <c r="H1904">
        <v>7</v>
      </c>
      <c r="I1904" t="s">
        <v>15</v>
      </c>
      <c r="J1904">
        <v>3</v>
      </c>
      <c r="K1904" t="s">
        <v>24</v>
      </c>
      <c r="L1904" t="s">
        <v>29</v>
      </c>
    </row>
    <row r="1905" spans="1:12" x14ac:dyDescent="0.25">
      <c r="A1905">
        <v>1904</v>
      </c>
      <c r="B1905">
        <v>41</v>
      </c>
      <c r="C1905" t="s">
        <v>26</v>
      </c>
      <c r="D1905" s="1">
        <v>45637</v>
      </c>
      <c r="E1905" s="1">
        <v>45648</v>
      </c>
      <c r="F1905" t="s">
        <v>28</v>
      </c>
      <c r="G1905" t="s">
        <v>19</v>
      </c>
      <c r="H1905">
        <v>11</v>
      </c>
      <c r="I1905" t="s">
        <v>15</v>
      </c>
      <c r="J1905">
        <v>2</v>
      </c>
      <c r="K1905" t="s">
        <v>21</v>
      </c>
      <c r="L1905" t="s">
        <v>17</v>
      </c>
    </row>
    <row r="1906" spans="1:12" x14ac:dyDescent="0.25">
      <c r="A1906">
        <v>1905</v>
      </c>
      <c r="B1906">
        <v>51</v>
      </c>
      <c r="C1906" t="s">
        <v>26</v>
      </c>
      <c r="D1906" s="1">
        <v>45612</v>
      </c>
      <c r="E1906" s="1">
        <v>45620</v>
      </c>
      <c r="F1906" t="s">
        <v>13</v>
      </c>
      <c r="G1906" t="s">
        <v>23</v>
      </c>
      <c r="H1906">
        <v>8</v>
      </c>
      <c r="I1906" t="s">
        <v>15</v>
      </c>
      <c r="J1906">
        <v>2</v>
      </c>
      <c r="K1906" t="s">
        <v>16</v>
      </c>
      <c r="L1906" t="s">
        <v>25</v>
      </c>
    </row>
    <row r="1907" spans="1:12" x14ac:dyDescent="0.25">
      <c r="A1907">
        <v>1906</v>
      </c>
      <c r="B1907">
        <v>88</v>
      </c>
      <c r="C1907" t="s">
        <v>26</v>
      </c>
      <c r="D1907" s="1">
        <v>45506</v>
      </c>
      <c r="E1907" s="1">
        <v>45517</v>
      </c>
      <c r="F1907" t="s">
        <v>18</v>
      </c>
      <c r="G1907" t="s">
        <v>23</v>
      </c>
      <c r="H1907">
        <v>11</v>
      </c>
      <c r="I1907" t="s">
        <v>20</v>
      </c>
      <c r="J1907">
        <v>0</v>
      </c>
      <c r="K1907" t="s">
        <v>24</v>
      </c>
      <c r="L1907" t="s">
        <v>25</v>
      </c>
    </row>
    <row r="1908" spans="1:12" x14ac:dyDescent="0.25">
      <c r="A1908">
        <v>1907</v>
      </c>
      <c r="B1908">
        <v>83</v>
      </c>
      <c r="C1908" t="s">
        <v>12</v>
      </c>
      <c r="D1908" s="1">
        <v>45391</v>
      </c>
      <c r="E1908" s="1">
        <v>45392</v>
      </c>
      <c r="F1908" t="s">
        <v>18</v>
      </c>
      <c r="G1908" t="s">
        <v>19</v>
      </c>
      <c r="H1908">
        <v>1</v>
      </c>
      <c r="I1908" t="s">
        <v>15</v>
      </c>
      <c r="J1908">
        <v>0</v>
      </c>
      <c r="K1908" t="s">
        <v>21</v>
      </c>
      <c r="L1908" t="s">
        <v>29</v>
      </c>
    </row>
    <row r="1909" spans="1:12" x14ac:dyDescent="0.25">
      <c r="A1909">
        <v>1908</v>
      </c>
      <c r="B1909">
        <v>44</v>
      </c>
      <c r="C1909" t="s">
        <v>26</v>
      </c>
      <c r="D1909" s="1">
        <v>45630</v>
      </c>
      <c r="E1909" s="1">
        <v>45634</v>
      </c>
      <c r="F1909" t="s">
        <v>31</v>
      </c>
      <c r="G1909" t="s">
        <v>19</v>
      </c>
      <c r="H1909">
        <v>4</v>
      </c>
      <c r="I1909" t="s">
        <v>15</v>
      </c>
      <c r="J1909">
        <v>4</v>
      </c>
      <c r="K1909" t="s">
        <v>16</v>
      </c>
      <c r="L1909" t="s">
        <v>22</v>
      </c>
    </row>
    <row r="1910" spans="1:12" x14ac:dyDescent="0.25">
      <c r="A1910">
        <v>1909</v>
      </c>
      <c r="B1910">
        <v>73</v>
      </c>
      <c r="C1910" t="s">
        <v>26</v>
      </c>
      <c r="D1910" s="1">
        <v>45536</v>
      </c>
      <c r="E1910" s="1">
        <v>45542</v>
      </c>
      <c r="F1910" t="s">
        <v>13</v>
      </c>
      <c r="G1910" t="s">
        <v>14</v>
      </c>
      <c r="H1910">
        <v>6</v>
      </c>
      <c r="I1910" t="s">
        <v>20</v>
      </c>
      <c r="J1910">
        <v>2</v>
      </c>
      <c r="K1910" t="s">
        <v>21</v>
      </c>
      <c r="L1910" t="s">
        <v>25</v>
      </c>
    </row>
    <row r="1911" spans="1:12" x14ac:dyDescent="0.25">
      <c r="A1911">
        <v>1910</v>
      </c>
      <c r="B1911">
        <v>61</v>
      </c>
      <c r="C1911" t="s">
        <v>12</v>
      </c>
      <c r="D1911" s="1">
        <v>45526</v>
      </c>
      <c r="E1911" s="1">
        <v>45528</v>
      </c>
      <c r="F1911" t="s">
        <v>13</v>
      </c>
      <c r="G1911" t="s">
        <v>19</v>
      </c>
      <c r="H1911">
        <v>2</v>
      </c>
      <c r="I1911" t="s">
        <v>20</v>
      </c>
      <c r="J1911">
        <v>4</v>
      </c>
      <c r="K1911" t="s">
        <v>21</v>
      </c>
      <c r="L1911" t="s">
        <v>22</v>
      </c>
    </row>
    <row r="1912" spans="1:12" x14ac:dyDescent="0.25">
      <c r="A1912">
        <v>1911</v>
      </c>
      <c r="B1912">
        <v>36</v>
      </c>
      <c r="C1912" t="s">
        <v>26</v>
      </c>
      <c r="D1912" s="1">
        <v>45477</v>
      </c>
      <c r="E1912" s="1">
        <v>45492</v>
      </c>
      <c r="F1912" t="s">
        <v>18</v>
      </c>
      <c r="G1912" t="s">
        <v>19</v>
      </c>
      <c r="H1912">
        <v>15</v>
      </c>
      <c r="I1912" t="s">
        <v>15</v>
      </c>
      <c r="J1912">
        <v>0</v>
      </c>
      <c r="K1912" t="s">
        <v>21</v>
      </c>
      <c r="L1912" t="s">
        <v>22</v>
      </c>
    </row>
    <row r="1913" spans="1:12" x14ac:dyDescent="0.25">
      <c r="A1913">
        <v>1912</v>
      </c>
      <c r="B1913">
        <v>67</v>
      </c>
      <c r="C1913" t="s">
        <v>26</v>
      </c>
      <c r="D1913" s="1">
        <v>45652</v>
      </c>
      <c r="E1913" s="1">
        <v>45655</v>
      </c>
      <c r="F1913" t="s">
        <v>13</v>
      </c>
      <c r="G1913" t="s">
        <v>19</v>
      </c>
      <c r="H1913">
        <v>3</v>
      </c>
      <c r="I1913" t="s">
        <v>15</v>
      </c>
      <c r="J1913">
        <v>1</v>
      </c>
      <c r="K1913" t="s">
        <v>16</v>
      </c>
      <c r="L1913" t="s">
        <v>29</v>
      </c>
    </row>
    <row r="1914" spans="1:12" x14ac:dyDescent="0.25">
      <c r="A1914">
        <v>1913</v>
      </c>
      <c r="B1914">
        <v>71</v>
      </c>
      <c r="C1914" t="s">
        <v>12</v>
      </c>
      <c r="D1914" s="1">
        <v>45568</v>
      </c>
      <c r="E1914" s="1">
        <v>45571</v>
      </c>
      <c r="F1914" t="s">
        <v>13</v>
      </c>
      <c r="G1914" t="s">
        <v>14</v>
      </c>
      <c r="H1914">
        <v>3</v>
      </c>
      <c r="I1914" t="s">
        <v>15</v>
      </c>
      <c r="J1914">
        <v>4</v>
      </c>
      <c r="K1914" t="s">
        <v>21</v>
      </c>
      <c r="L1914" t="s">
        <v>22</v>
      </c>
    </row>
    <row r="1915" spans="1:12" x14ac:dyDescent="0.25">
      <c r="A1915">
        <v>1914</v>
      </c>
      <c r="B1915">
        <v>69</v>
      </c>
      <c r="C1915" t="s">
        <v>12</v>
      </c>
      <c r="D1915" s="1">
        <v>45294</v>
      </c>
      <c r="E1915" s="1">
        <v>45295</v>
      </c>
      <c r="F1915" t="s">
        <v>18</v>
      </c>
      <c r="G1915" t="s">
        <v>23</v>
      </c>
      <c r="H1915">
        <v>1</v>
      </c>
      <c r="I1915" t="s">
        <v>15</v>
      </c>
      <c r="J1915">
        <v>2</v>
      </c>
      <c r="K1915" t="s">
        <v>16</v>
      </c>
      <c r="L1915" t="s">
        <v>30</v>
      </c>
    </row>
    <row r="1916" spans="1:12" x14ac:dyDescent="0.25">
      <c r="A1916">
        <v>1915</v>
      </c>
      <c r="B1916">
        <v>58</v>
      </c>
      <c r="C1916" t="s">
        <v>12</v>
      </c>
      <c r="D1916" s="1">
        <v>45390</v>
      </c>
      <c r="E1916" s="1">
        <v>45399</v>
      </c>
      <c r="F1916" t="s">
        <v>31</v>
      </c>
      <c r="G1916" t="s">
        <v>19</v>
      </c>
      <c r="H1916">
        <v>9</v>
      </c>
      <c r="I1916" t="s">
        <v>15</v>
      </c>
      <c r="J1916">
        <v>0</v>
      </c>
      <c r="K1916" t="s">
        <v>21</v>
      </c>
      <c r="L1916" t="s">
        <v>30</v>
      </c>
    </row>
    <row r="1917" spans="1:12" x14ac:dyDescent="0.25">
      <c r="A1917">
        <v>1916</v>
      </c>
      <c r="B1917">
        <v>75</v>
      </c>
      <c r="C1917" t="s">
        <v>26</v>
      </c>
      <c r="D1917" s="1">
        <v>45494</v>
      </c>
      <c r="E1917" s="1">
        <v>45503</v>
      </c>
      <c r="F1917" t="s">
        <v>27</v>
      </c>
      <c r="G1917" t="s">
        <v>14</v>
      </c>
      <c r="H1917">
        <v>9</v>
      </c>
      <c r="I1917" t="s">
        <v>15</v>
      </c>
      <c r="J1917">
        <v>1</v>
      </c>
      <c r="K1917" t="s">
        <v>24</v>
      </c>
      <c r="L1917" t="s">
        <v>17</v>
      </c>
    </row>
    <row r="1918" spans="1:12" x14ac:dyDescent="0.25">
      <c r="A1918">
        <v>1917</v>
      </c>
      <c r="B1918">
        <v>48</v>
      </c>
      <c r="C1918" t="s">
        <v>26</v>
      </c>
      <c r="D1918" s="1">
        <v>45640</v>
      </c>
      <c r="E1918" s="1">
        <v>45653</v>
      </c>
      <c r="F1918" t="s">
        <v>13</v>
      </c>
      <c r="G1918" t="s">
        <v>23</v>
      </c>
      <c r="H1918">
        <v>13</v>
      </c>
      <c r="I1918" t="s">
        <v>20</v>
      </c>
      <c r="J1918">
        <v>2</v>
      </c>
      <c r="K1918" t="s">
        <v>16</v>
      </c>
      <c r="L1918" t="s">
        <v>25</v>
      </c>
    </row>
    <row r="1919" spans="1:12" x14ac:dyDescent="0.25">
      <c r="A1919">
        <v>1918</v>
      </c>
      <c r="B1919">
        <v>88</v>
      </c>
      <c r="C1919" t="s">
        <v>12</v>
      </c>
      <c r="D1919" s="1">
        <v>45549</v>
      </c>
      <c r="E1919" s="1">
        <v>45558</v>
      </c>
      <c r="F1919" t="s">
        <v>18</v>
      </c>
      <c r="G1919" t="s">
        <v>19</v>
      </c>
      <c r="H1919">
        <v>9</v>
      </c>
      <c r="I1919" t="s">
        <v>20</v>
      </c>
      <c r="J1919">
        <v>0</v>
      </c>
      <c r="K1919" t="s">
        <v>16</v>
      </c>
      <c r="L1919" t="s">
        <v>25</v>
      </c>
    </row>
    <row r="1920" spans="1:12" x14ac:dyDescent="0.25">
      <c r="A1920">
        <v>1919</v>
      </c>
      <c r="B1920">
        <v>40</v>
      </c>
      <c r="C1920" t="s">
        <v>12</v>
      </c>
      <c r="D1920" s="1">
        <v>45640</v>
      </c>
      <c r="E1920" s="1">
        <v>45655</v>
      </c>
      <c r="F1920" t="s">
        <v>31</v>
      </c>
      <c r="G1920" t="s">
        <v>23</v>
      </c>
      <c r="H1920">
        <v>15</v>
      </c>
      <c r="I1920" t="s">
        <v>15</v>
      </c>
      <c r="J1920">
        <v>4</v>
      </c>
      <c r="K1920" t="s">
        <v>21</v>
      </c>
      <c r="L1920" t="s">
        <v>17</v>
      </c>
    </row>
    <row r="1921" spans="1:12" x14ac:dyDescent="0.25">
      <c r="A1921">
        <v>1920</v>
      </c>
      <c r="B1921">
        <v>39</v>
      </c>
      <c r="C1921" t="s">
        <v>12</v>
      </c>
      <c r="D1921" s="1">
        <v>45555</v>
      </c>
      <c r="E1921" s="1">
        <v>45561</v>
      </c>
      <c r="F1921" t="s">
        <v>28</v>
      </c>
      <c r="G1921" t="s">
        <v>19</v>
      </c>
      <c r="H1921">
        <v>6</v>
      </c>
      <c r="I1921" t="s">
        <v>20</v>
      </c>
      <c r="J1921">
        <v>3</v>
      </c>
      <c r="K1921" t="s">
        <v>24</v>
      </c>
      <c r="L1921" t="s">
        <v>17</v>
      </c>
    </row>
    <row r="1922" spans="1:12" x14ac:dyDescent="0.25">
      <c r="A1922">
        <v>1921</v>
      </c>
      <c r="B1922">
        <v>78</v>
      </c>
      <c r="C1922" t="s">
        <v>12</v>
      </c>
      <c r="D1922" s="1">
        <v>45435</v>
      </c>
      <c r="E1922" s="1">
        <v>45443</v>
      </c>
      <c r="F1922" t="s">
        <v>28</v>
      </c>
      <c r="G1922" t="s">
        <v>19</v>
      </c>
      <c r="H1922">
        <v>8</v>
      </c>
      <c r="I1922" t="s">
        <v>15</v>
      </c>
      <c r="J1922">
        <v>0</v>
      </c>
      <c r="K1922" t="s">
        <v>16</v>
      </c>
      <c r="L1922" t="s">
        <v>17</v>
      </c>
    </row>
    <row r="1923" spans="1:12" x14ac:dyDescent="0.25">
      <c r="A1923">
        <v>1922</v>
      </c>
      <c r="B1923">
        <v>35</v>
      </c>
      <c r="C1923" t="s">
        <v>12</v>
      </c>
      <c r="D1923" s="1">
        <v>45372</v>
      </c>
      <c r="E1923" s="1">
        <v>45385</v>
      </c>
      <c r="F1923" t="s">
        <v>27</v>
      </c>
      <c r="G1923" t="s">
        <v>23</v>
      </c>
      <c r="H1923">
        <v>13</v>
      </c>
      <c r="I1923" t="s">
        <v>15</v>
      </c>
      <c r="J1923">
        <v>4</v>
      </c>
      <c r="K1923" t="s">
        <v>16</v>
      </c>
      <c r="L1923" t="s">
        <v>30</v>
      </c>
    </row>
    <row r="1924" spans="1:12" x14ac:dyDescent="0.25">
      <c r="A1924">
        <v>1923</v>
      </c>
      <c r="B1924">
        <v>54</v>
      </c>
      <c r="C1924" t="s">
        <v>26</v>
      </c>
      <c r="D1924" s="1">
        <v>45521</v>
      </c>
      <c r="E1924" s="1">
        <v>45534</v>
      </c>
      <c r="F1924" t="s">
        <v>31</v>
      </c>
      <c r="G1924" t="s">
        <v>14</v>
      </c>
      <c r="H1924">
        <v>13</v>
      </c>
      <c r="I1924" t="s">
        <v>15</v>
      </c>
      <c r="J1924">
        <v>0</v>
      </c>
      <c r="K1924" t="s">
        <v>16</v>
      </c>
      <c r="L1924" t="s">
        <v>17</v>
      </c>
    </row>
    <row r="1925" spans="1:12" x14ac:dyDescent="0.25">
      <c r="A1925">
        <v>1924</v>
      </c>
      <c r="B1925">
        <v>57</v>
      </c>
      <c r="C1925" t="s">
        <v>12</v>
      </c>
      <c r="D1925" s="1">
        <v>45307</v>
      </c>
      <c r="E1925" s="1">
        <v>45320</v>
      </c>
      <c r="F1925" t="s">
        <v>31</v>
      </c>
      <c r="G1925" t="s">
        <v>14</v>
      </c>
      <c r="H1925">
        <v>13</v>
      </c>
      <c r="I1925" t="s">
        <v>20</v>
      </c>
      <c r="J1925">
        <v>2</v>
      </c>
      <c r="K1925" t="s">
        <v>16</v>
      </c>
      <c r="L1925" t="s">
        <v>22</v>
      </c>
    </row>
    <row r="1926" spans="1:12" x14ac:dyDescent="0.25">
      <c r="A1926">
        <v>1925</v>
      </c>
      <c r="B1926">
        <v>76</v>
      </c>
      <c r="C1926" t="s">
        <v>12</v>
      </c>
      <c r="D1926" s="1">
        <v>45377</v>
      </c>
      <c r="E1926" s="1">
        <v>45388</v>
      </c>
      <c r="F1926" t="s">
        <v>28</v>
      </c>
      <c r="G1926" t="s">
        <v>19</v>
      </c>
      <c r="H1926">
        <v>11</v>
      </c>
      <c r="I1926" t="s">
        <v>15</v>
      </c>
      <c r="J1926">
        <v>4</v>
      </c>
      <c r="K1926" t="s">
        <v>24</v>
      </c>
      <c r="L1926" t="s">
        <v>30</v>
      </c>
    </row>
    <row r="1927" spans="1:12" x14ac:dyDescent="0.25">
      <c r="A1927">
        <v>1926</v>
      </c>
      <c r="B1927">
        <v>36</v>
      </c>
      <c r="C1927" t="s">
        <v>12</v>
      </c>
      <c r="D1927" s="1">
        <v>45312</v>
      </c>
      <c r="E1927" s="1">
        <v>45325</v>
      </c>
      <c r="F1927" t="s">
        <v>18</v>
      </c>
      <c r="G1927" t="s">
        <v>19</v>
      </c>
      <c r="H1927">
        <v>13</v>
      </c>
      <c r="I1927" t="s">
        <v>15</v>
      </c>
      <c r="J1927">
        <v>0</v>
      </c>
      <c r="K1927" t="s">
        <v>16</v>
      </c>
      <c r="L1927" t="s">
        <v>29</v>
      </c>
    </row>
    <row r="1928" spans="1:12" x14ac:dyDescent="0.25">
      <c r="A1928">
        <v>1927</v>
      </c>
      <c r="B1928">
        <v>78</v>
      </c>
      <c r="C1928" t="s">
        <v>12</v>
      </c>
      <c r="D1928" s="1">
        <v>45296</v>
      </c>
      <c r="E1928" s="1">
        <v>45298</v>
      </c>
      <c r="F1928" t="s">
        <v>31</v>
      </c>
      <c r="G1928" t="s">
        <v>14</v>
      </c>
      <c r="H1928">
        <v>2</v>
      </c>
      <c r="I1928" t="s">
        <v>15</v>
      </c>
      <c r="J1928">
        <v>3</v>
      </c>
      <c r="K1928" t="s">
        <v>24</v>
      </c>
      <c r="L1928" t="s">
        <v>22</v>
      </c>
    </row>
    <row r="1929" spans="1:12" x14ac:dyDescent="0.25">
      <c r="A1929">
        <v>1928</v>
      </c>
      <c r="B1929">
        <v>31</v>
      </c>
      <c r="C1929" t="s">
        <v>12</v>
      </c>
      <c r="D1929" s="1">
        <v>45450</v>
      </c>
      <c r="E1929" s="1">
        <v>45454</v>
      </c>
      <c r="F1929" t="s">
        <v>27</v>
      </c>
      <c r="G1929" t="s">
        <v>14</v>
      </c>
      <c r="H1929">
        <v>4</v>
      </c>
      <c r="I1929" t="s">
        <v>15</v>
      </c>
      <c r="J1929">
        <v>0</v>
      </c>
      <c r="K1929" t="s">
        <v>24</v>
      </c>
      <c r="L1929" t="s">
        <v>22</v>
      </c>
    </row>
    <row r="1930" spans="1:12" x14ac:dyDescent="0.25">
      <c r="A1930">
        <v>1929</v>
      </c>
      <c r="B1930">
        <v>82</v>
      </c>
      <c r="C1930" t="s">
        <v>12</v>
      </c>
      <c r="D1930" s="1">
        <v>45313</v>
      </c>
      <c r="E1930" s="1">
        <v>45324</v>
      </c>
      <c r="F1930" t="s">
        <v>13</v>
      </c>
      <c r="G1930" t="s">
        <v>23</v>
      </c>
      <c r="H1930">
        <v>11</v>
      </c>
      <c r="I1930" t="s">
        <v>15</v>
      </c>
      <c r="J1930">
        <v>3</v>
      </c>
      <c r="K1930" t="s">
        <v>21</v>
      </c>
      <c r="L1930" t="s">
        <v>22</v>
      </c>
    </row>
    <row r="1931" spans="1:12" x14ac:dyDescent="0.25">
      <c r="A1931">
        <v>1930</v>
      </c>
      <c r="B1931">
        <v>90</v>
      </c>
      <c r="C1931" t="s">
        <v>26</v>
      </c>
      <c r="D1931" s="1">
        <v>45561</v>
      </c>
      <c r="E1931" s="1">
        <v>45565</v>
      </c>
      <c r="F1931" t="s">
        <v>31</v>
      </c>
      <c r="G1931" t="s">
        <v>19</v>
      </c>
      <c r="H1931">
        <v>4</v>
      </c>
      <c r="I1931" t="s">
        <v>15</v>
      </c>
      <c r="J1931">
        <v>4</v>
      </c>
      <c r="K1931" t="s">
        <v>21</v>
      </c>
      <c r="L1931" t="s">
        <v>29</v>
      </c>
    </row>
    <row r="1932" spans="1:12" x14ac:dyDescent="0.25">
      <c r="A1932">
        <v>1931</v>
      </c>
      <c r="B1932">
        <v>69</v>
      </c>
      <c r="C1932" t="s">
        <v>12</v>
      </c>
      <c r="D1932" s="1">
        <v>45603</v>
      </c>
      <c r="E1932" s="1">
        <v>45616</v>
      </c>
      <c r="F1932" t="s">
        <v>18</v>
      </c>
      <c r="G1932" t="s">
        <v>23</v>
      </c>
      <c r="H1932">
        <v>13</v>
      </c>
      <c r="I1932" t="s">
        <v>15</v>
      </c>
      <c r="J1932">
        <v>3</v>
      </c>
      <c r="K1932" t="s">
        <v>24</v>
      </c>
      <c r="L1932" t="s">
        <v>29</v>
      </c>
    </row>
    <row r="1933" spans="1:12" x14ac:dyDescent="0.25">
      <c r="A1933">
        <v>1932</v>
      </c>
      <c r="B1933">
        <v>23</v>
      </c>
      <c r="C1933" t="s">
        <v>12</v>
      </c>
      <c r="D1933" s="1">
        <v>45488</v>
      </c>
      <c r="E1933" s="1">
        <v>45492</v>
      </c>
      <c r="F1933" t="s">
        <v>13</v>
      </c>
      <c r="G1933" t="s">
        <v>19</v>
      </c>
      <c r="H1933">
        <v>4</v>
      </c>
      <c r="I1933" t="s">
        <v>15</v>
      </c>
      <c r="J1933">
        <v>0</v>
      </c>
      <c r="K1933" t="s">
        <v>21</v>
      </c>
      <c r="L1933" t="s">
        <v>30</v>
      </c>
    </row>
    <row r="1934" spans="1:12" x14ac:dyDescent="0.25">
      <c r="A1934">
        <v>1933</v>
      </c>
      <c r="B1934">
        <v>85</v>
      </c>
      <c r="C1934" t="s">
        <v>12</v>
      </c>
      <c r="D1934" s="1">
        <v>45354</v>
      </c>
      <c r="E1934" s="1">
        <v>45364</v>
      </c>
      <c r="F1934" t="s">
        <v>28</v>
      </c>
      <c r="G1934" t="s">
        <v>19</v>
      </c>
      <c r="H1934">
        <v>10</v>
      </c>
      <c r="I1934" t="s">
        <v>20</v>
      </c>
      <c r="J1934">
        <v>0</v>
      </c>
      <c r="K1934" t="s">
        <v>16</v>
      </c>
      <c r="L1934" t="s">
        <v>25</v>
      </c>
    </row>
    <row r="1935" spans="1:12" x14ac:dyDescent="0.25">
      <c r="A1935">
        <v>1934</v>
      </c>
      <c r="B1935">
        <v>81</v>
      </c>
      <c r="C1935" t="s">
        <v>26</v>
      </c>
      <c r="D1935" s="1">
        <v>45636</v>
      </c>
      <c r="E1935" s="1">
        <v>45651</v>
      </c>
      <c r="F1935" t="s">
        <v>18</v>
      </c>
      <c r="G1935" t="s">
        <v>14</v>
      </c>
      <c r="H1935">
        <v>15</v>
      </c>
      <c r="I1935" t="s">
        <v>20</v>
      </c>
      <c r="J1935">
        <v>1</v>
      </c>
      <c r="K1935" t="s">
        <v>21</v>
      </c>
      <c r="L1935" t="s">
        <v>25</v>
      </c>
    </row>
    <row r="1936" spans="1:12" x14ac:dyDescent="0.25">
      <c r="A1936">
        <v>1935</v>
      </c>
      <c r="B1936">
        <v>24</v>
      </c>
      <c r="C1936" t="s">
        <v>26</v>
      </c>
      <c r="D1936" s="1">
        <v>45337</v>
      </c>
      <c r="E1936" s="1">
        <v>45339</v>
      </c>
      <c r="F1936" t="s">
        <v>28</v>
      </c>
      <c r="G1936" t="s">
        <v>19</v>
      </c>
      <c r="H1936">
        <v>2</v>
      </c>
      <c r="I1936" t="s">
        <v>15</v>
      </c>
      <c r="J1936">
        <v>3</v>
      </c>
      <c r="K1936" t="s">
        <v>21</v>
      </c>
      <c r="L1936" t="s">
        <v>17</v>
      </c>
    </row>
    <row r="1937" spans="1:12" x14ac:dyDescent="0.25">
      <c r="A1937">
        <v>1936</v>
      </c>
      <c r="B1937">
        <v>25</v>
      </c>
      <c r="C1937" t="s">
        <v>12</v>
      </c>
      <c r="D1937" s="1">
        <v>45607</v>
      </c>
      <c r="E1937" s="1">
        <v>45614</v>
      </c>
      <c r="F1937" t="s">
        <v>28</v>
      </c>
      <c r="G1937" t="s">
        <v>14</v>
      </c>
      <c r="H1937">
        <v>7</v>
      </c>
      <c r="I1937" t="s">
        <v>15</v>
      </c>
      <c r="J1937">
        <v>4</v>
      </c>
      <c r="K1937" t="s">
        <v>24</v>
      </c>
      <c r="L1937" t="s">
        <v>30</v>
      </c>
    </row>
    <row r="1938" spans="1:12" x14ac:dyDescent="0.25">
      <c r="A1938">
        <v>1937</v>
      </c>
      <c r="B1938">
        <v>22</v>
      </c>
      <c r="C1938" t="s">
        <v>12</v>
      </c>
      <c r="D1938" s="1">
        <v>45361</v>
      </c>
      <c r="E1938" s="1">
        <v>45367</v>
      </c>
      <c r="F1938" t="s">
        <v>27</v>
      </c>
      <c r="G1938" t="s">
        <v>19</v>
      </c>
      <c r="H1938">
        <v>6</v>
      </c>
      <c r="I1938" t="s">
        <v>20</v>
      </c>
      <c r="J1938">
        <v>2</v>
      </c>
      <c r="K1938" t="s">
        <v>21</v>
      </c>
      <c r="L1938" t="s">
        <v>17</v>
      </c>
    </row>
    <row r="1939" spans="1:12" x14ac:dyDescent="0.25">
      <c r="A1939">
        <v>1938</v>
      </c>
      <c r="B1939">
        <v>25</v>
      </c>
      <c r="C1939" t="s">
        <v>12</v>
      </c>
      <c r="D1939" s="1">
        <v>45550</v>
      </c>
      <c r="E1939" s="1">
        <v>45556</v>
      </c>
      <c r="F1939" t="s">
        <v>31</v>
      </c>
      <c r="G1939" t="s">
        <v>23</v>
      </c>
      <c r="H1939">
        <v>6</v>
      </c>
      <c r="I1939" t="s">
        <v>20</v>
      </c>
      <c r="J1939">
        <v>4</v>
      </c>
      <c r="K1939" t="s">
        <v>16</v>
      </c>
      <c r="L1939" t="s">
        <v>22</v>
      </c>
    </row>
    <row r="1940" spans="1:12" x14ac:dyDescent="0.25">
      <c r="A1940">
        <v>1939</v>
      </c>
      <c r="B1940">
        <v>82</v>
      </c>
      <c r="C1940" t="s">
        <v>12</v>
      </c>
      <c r="D1940" s="1">
        <v>45388</v>
      </c>
      <c r="E1940" s="1">
        <v>45397</v>
      </c>
      <c r="F1940" t="s">
        <v>18</v>
      </c>
      <c r="G1940" t="s">
        <v>23</v>
      </c>
      <c r="H1940">
        <v>9</v>
      </c>
      <c r="I1940" t="s">
        <v>20</v>
      </c>
      <c r="J1940">
        <v>4</v>
      </c>
      <c r="K1940" t="s">
        <v>24</v>
      </c>
      <c r="L1940" t="s">
        <v>29</v>
      </c>
    </row>
    <row r="1941" spans="1:12" x14ac:dyDescent="0.25">
      <c r="A1941">
        <v>1940</v>
      </c>
      <c r="B1941">
        <v>66</v>
      </c>
      <c r="C1941" t="s">
        <v>26</v>
      </c>
      <c r="D1941" s="1">
        <v>45378</v>
      </c>
      <c r="E1941" s="1">
        <v>45385</v>
      </c>
      <c r="F1941" t="s">
        <v>31</v>
      </c>
      <c r="G1941" t="s">
        <v>19</v>
      </c>
      <c r="H1941">
        <v>7</v>
      </c>
      <c r="I1941" t="s">
        <v>15</v>
      </c>
      <c r="J1941">
        <v>3</v>
      </c>
      <c r="K1941" t="s">
        <v>24</v>
      </c>
      <c r="L1941" t="s">
        <v>22</v>
      </c>
    </row>
    <row r="1942" spans="1:12" x14ac:dyDescent="0.25">
      <c r="A1942">
        <v>1941</v>
      </c>
      <c r="B1942">
        <v>27</v>
      </c>
      <c r="C1942" t="s">
        <v>12</v>
      </c>
      <c r="D1942" s="1">
        <v>45461</v>
      </c>
      <c r="E1942" s="1">
        <v>45464</v>
      </c>
      <c r="F1942" t="s">
        <v>27</v>
      </c>
      <c r="G1942" t="s">
        <v>23</v>
      </c>
      <c r="H1942">
        <v>3</v>
      </c>
      <c r="I1942" t="s">
        <v>15</v>
      </c>
      <c r="J1942">
        <v>2</v>
      </c>
      <c r="K1942" t="s">
        <v>21</v>
      </c>
      <c r="L1942" t="s">
        <v>30</v>
      </c>
    </row>
    <row r="1943" spans="1:12" x14ac:dyDescent="0.25">
      <c r="A1943">
        <v>1942</v>
      </c>
      <c r="B1943">
        <v>83</v>
      </c>
      <c r="C1943" t="s">
        <v>12</v>
      </c>
      <c r="D1943" s="1">
        <v>45362</v>
      </c>
      <c r="E1943" s="1">
        <v>45372</v>
      </c>
      <c r="F1943" t="s">
        <v>13</v>
      </c>
      <c r="G1943" t="s">
        <v>19</v>
      </c>
      <c r="H1943">
        <v>10</v>
      </c>
      <c r="I1943" t="s">
        <v>15</v>
      </c>
      <c r="J1943">
        <v>0</v>
      </c>
      <c r="K1943" t="s">
        <v>16</v>
      </c>
      <c r="L1943" t="s">
        <v>30</v>
      </c>
    </row>
    <row r="1944" spans="1:12" x14ac:dyDescent="0.25">
      <c r="A1944">
        <v>1943</v>
      </c>
      <c r="B1944">
        <v>23</v>
      </c>
      <c r="C1944" t="s">
        <v>12</v>
      </c>
      <c r="D1944" s="1">
        <v>45319</v>
      </c>
      <c r="E1944" s="1">
        <v>45334</v>
      </c>
      <c r="F1944" t="s">
        <v>18</v>
      </c>
      <c r="G1944" t="s">
        <v>23</v>
      </c>
      <c r="H1944">
        <v>15</v>
      </c>
      <c r="I1944" t="s">
        <v>15</v>
      </c>
      <c r="J1944">
        <v>0</v>
      </c>
      <c r="K1944" t="s">
        <v>24</v>
      </c>
      <c r="L1944" t="s">
        <v>22</v>
      </c>
    </row>
    <row r="1945" spans="1:12" x14ac:dyDescent="0.25">
      <c r="A1945">
        <v>1944</v>
      </c>
      <c r="B1945">
        <v>82</v>
      </c>
      <c r="C1945" t="s">
        <v>12</v>
      </c>
      <c r="D1945" s="1">
        <v>45532</v>
      </c>
      <c r="E1945" s="1">
        <v>45539</v>
      </c>
      <c r="F1945" t="s">
        <v>31</v>
      </c>
      <c r="G1945" t="s">
        <v>19</v>
      </c>
      <c r="H1945">
        <v>7</v>
      </c>
      <c r="I1945" t="s">
        <v>15</v>
      </c>
      <c r="J1945">
        <v>1</v>
      </c>
      <c r="K1945" t="s">
        <v>16</v>
      </c>
      <c r="L1945" t="s">
        <v>29</v>
      </c>
    </row>
    <row r="1946" spans="1:12" x14ac:dyDescent="0.25">
      <c r="A1946">
        <v>1945</v>
      </c>
      <c r="B1946">
        <v>86</v>
      </c>
      <c r="C1946" t="s">
        <v>12</v>
      </c>
      <c r="D1946" s="1">
        <v>45517</v>
      </c>
      <c r="E1946" s="1">
        <v>45521</v>
      </c>
      <c r="F1946" t="s">
        <v>31</v>
      </c>
      <c r="G1946" t="s">
        <v>23</v>
      </c>
      <c r="H1946">
        <v>4</v>
      </c>
      <c r="I1946" t="s">
        <v>15</v>
      </c>
      <c r="J1946">
        <v>1</v>
      </c>
      <c r="K1946" t="s">
        <v>24</v>
      </c>
      <c r="L1946" t="s">
        <v>17</v>
      </c>
    </row>
    <row r="1947" spans="1:12" x14ac:dyDescent="0.25">
      <c r="A1947">
        <v>1946</v>
      </c>
      <c r="B1947">
        <v>63</v>
      </c>
      <c r="C1947" t="s">
        <v>12</v>
      </c>
      <c r="D1947" s="1">
        <v>45335</v>
      </c>
      <c r="E1947" s="1">
        <v>45339</v>
      </c>
      <c r="F1947" t="s">
        <v>31</v>
      </c>
      <c r="G1947" t="s">
        <v>14</v>
      </c>
      <c r="H1947">
        <v>4</v>
      </c>
      <c r="I1947" t="s">
        <v>15</v>
      </c>
      <c r="J1947">
        <v>0</v>
      </c>
      <c r="K1947" t="s">
        <v>16</v>
      </c>
      <c r="L1947" t="s">
        <v>17</v>
      </c>
    </row>
    <row r="1948" spans="1:12" x14ac:dyDescent="0.25">
      <c r="A1948">
        <v>1947</v>
      </c>
      <c r="B1948">
        <v>49</v>
      </c>
      <c r="C1948" t="s">
        <v>12</v>
      </c>
      <c r="D1948" s="1">
        <v>45425</v>
      </c>
      <c r="E1948" s="1">
        <v>45434</v>
      </c>
      <c r="F1948" t="s">
        <v>18</v>
      </c>
      <c r="G1948" t="s">
        <v>19</v>
      </c>
      <c r="H1948">
        <v>9</v>
      </c>
      <c r="I1948" t="s">
        <v>20</v>
      </c>
      <c r="J1948">
        <v>3</v>
      </c>
      <c r="K1948" t="s">
        <v>16</v>
      </c>
      <c r="L1948" t="s">
        <v>29</v>
      </c>
    </row>
    <row r="1949" spans="1:12" x14ac:dyDescent="0.25">
      <c r="A1949">
        <v>1948</v>
      </c>
      <c r="B1949">
        <v>80</v>
      </c>
      <c r="C1949" t="s">
        <v>26</v>
      </c>
      <c r="D1949" s="1">
        <v>45428</v>
      </c>
      <c r="E1949" s="1">
        <v>45429</v>
      </c>
      <c r="F1949" t="s">
        <v>27</v>
      </c>
      <c r="G1949" t="s">
        <v>23</v>
      </c>
      <c r="H1949">
        <v>1</v>
      </c>
      <c r="I1949" t="s">
        <v>15</v>
      </c>
      <c r="J1949">
        <v>3</v>
      </c>
      <c r="K1949" t="s">
        <v>21</v>
      </c>
      <c r="L1949" t="s">
        <v>25</v>
      </c>
    </row>
    <row r="1950" spans="1:12" x14ac:dyDescent="0.25">
      <c r="A1950">
        <v>1949</v>
      </c>
      <c r="B1950">
        <v>44</v>
      </c>
      <c r="C1950" t="s">
        <v>12</v>
      </c>
      <c r="D1950" s="1">
        <v>45561</v>
      </c>
      <c r="E1950" s="1">
        <v>45563</v>
      </c>
      <c r="F1950" t="s">
        <v>13</v>
      </c>
      <c r="G1950" t="s">
        <v>19</v>
      </c>
      <c r="H1950">
        <v>2</v>
      </c>
      <c r="I1950" t="s">
        <v>20</v>
      </c>
      <c r="J1950">
        <v>4</v>
      </c>
      <c r="K1950" t="s">
        <v>24</v>
      </c>
      <c r="L1950" t="s">
        <v>30</v>
      </c>
    </row>
    <row r="1951" spans="1:12" x14ac:dyDescent="0.25">
      <c r="A1951">
        <v>1950</v>
      </c>
      <c r="B1951">
        <v>24</v>
      </c>
      <c r="C1951" t="s">
        <v>26</v>
      </c>
      <c r="D1951" s="1">
        <v>45491</v>
      </c>
      <c r="E1951" s="1">
        <v>45497</v>
      </c>
      <c r="F1951" t="s">
        <v>28</v>
      </c>
      <c r="G1951" t="s">
        <v>19</v>
      </c>
      <c r="H1951">
        <v>6</v>
      </c>
      <c r="I1951" t="s">
        <v>20</v>
      </c>
      <c r="J1951">
        <v>0</v>
      </c>
      <c r="K1951" t="s">
        <v>24</v>
      </c>
      <c r="L1951" t="s">
        <v>22</v>
      </c>
    </row>
    <row r="1952" spans="1:12" x14ac:dyDescent="0.25">
      <c r="A1952">
        <v>1951</v>
      </c>
      <c r="B1952">
        <v>26</v>
      </c>
      <c r="C1952" t="s">
        <v>12</v>
      </c>
      <c r="D1952" s="1">
        <v>45594</v>
      </c>
      <c r="E1952" s="1">
        <v>45608</v>
      </c>
      <c r="F1952" t="s">
        <v>31</v>
      </c>
      <c r="G1952" t="s">
        <v>14</v>
      </c>
      <c r="H1952">
        <v>14</v>
      </c>
      <c r="I1952" t="s">
        <v>20</v>
      </c>
      <c r="J1952">
        <v>2</v>
      </c>
      <c r="K1952" t="s">
        <v>16</v>
      </c>
      <c r="L1952" t="s">
        <v>29</v>
      </c>
    </row>
    <row r="1953" spans="1:12" x14ac:dyDescent="0.25">
      <c r="A1953">
        <v>1952</v>
      </c>
      <c r="B1953">
        <v>56</v>
      </c>
      <c r="C1953" t="s">
        <v>12</v>
      </c>
      <c r="D1953" s="1">
        <v>45494</v>
      </c>
      <c r="E1953" s="1">
        <v>45503</v>
      </c>
      <c r="F1953" t="s">
        <v>28</v>
      </c>
      <c r="G1953" t="s">
        <v>14</v>
      </c>
      <c r="H1953">
        <v>9</v>
      </c>
      <c r="I1953" t="s">
        <v>15</v>
      </c>
      <c r="J1953">
        <v>4</v>
      </c>
      <c r="K1953" t="s">
        <v>24</v>
      </c>
      <c r="L1953" t="s">
        <v>29</v>
      </c>
    </row>
    <row r="1954" spans="1:12" x14ac:dyDescent="0.25">
      <c r="A1954">
        <v>1953</v>
      </c>
      <c r="B1954">
        <v>60</v>
      </c>
      <c r="C1954" t="s">
        <v>12</v>
      </c>
      <c r="D1954" s="1">
        <v>45335</v>
      </c>
      <c r="E1954" s="1">
        <v>45349</v>
      </c>
      <c r="F1954" t="s">
        <v>27</v>
      </c>
      <c r="G1954" t="s">
        <v>14</v>
      </c>
      <c r="H1954">
        <v>14</v>
      </c>
      <c r="I1954" t="s">
        <v>15</v>
      </c>
      <c r="J1954">
        <v>1</v>
      </c>
      <c r="K1954" t="s">
        <v>24</v>
      </c>
      <c r="L1954" t="s">
        <v>29</v>
      </c>
    </row>
    <row r="1955" spans="1:12" x14ac:dyDescent="0.25">
      <c r="A1955">
        <v>1954</v>
      </c>
      <c r="B1955">
        <v>49</v>
      </c>
      <c r="C1955" t="s">
        <v>26</v>
      </c>
      <c r="D1955" s="1">
        <v>45503</v>
      </c>
      <c r="E1955" s="1">
        <v>45516</v>
      </c>
      <c r="F1955" t="s">
        <v>31</v>
      </c>
      <c r="G1955" t="s">
        <v>23</v>
      </c>
      <c r="H1955">
        <v>13</v>
      </c>
      <c r="I1955" t="s">
        <v>15</v>
      </c>
      <c r="J1955">
        <v>0</v>
      </c>
      <c r="K1955" t="s">
        <v>16</v>
      </c>
      <c r="L1955" t="s">
        <v>30</v>
      </c>
    </row>
    <row r="1956" spans="1:12" x14ac:dyDescent="0.25">
      <c r="A1956">
        <v>1955</v>
      </c>
      <c r="B1956">
        <v>35</v>
      </c>
      <c r="C1956" t="s">
        <v>26</v>
      </c>
      <c r="D1956" s="1">
        <v>45440</v>
      </c>
      <c r="E1956" s="1">
        <v>45448</v>
      </c>
      <c r="F1956" t="s">
        <v>31</v>
      </c>
      <c r="G1956" t="s">
        <v>14</v>
      </c>
      <c r="H1956">
        <v>8</v>
      </c>
      <c r="I1956" t="s">
        <v>15</v>
      </c>
      <c r="J1956">
        <v>0</v>
      </c>
      <c r="K1956" t="s">
        <v>21</v>
      </c>
      <c r="L1956" t="s">
        <v>29</v>
      </c>
    </row>
    <row r="1957" spans="1:12" x14ac:dyDescent="0.25">
      <c r="A1957">
        <v>1956</v>
      </c>
      <c r="B1957">
        <v>80</v>
      </c>
      <c r="C1957" t="s">
        <v>12</v>
      </c>
      <c r="D1957" s="1">
        <v>45359</v>
      </c>
      <c r="E1957" s="1">
        <v>45371</v>
      </c>
      <c r="F1957" t="s">
        <v>31</v>
      </c>
      <c r="G1957" t="s">
        <v>19</v>
      </c>
      <c r="H1957">
        <v>12</v>
      </c>
      <c r="I1957" t="s">
        <v>15</v>
      </c>
      <c r="J1957">
        <v>4</v>
      </c>
      <c r="K1957" t="s">
        <v>16</v>
      </c>
      <c r="L1957" t="s">
        <v>22</v>
      </c>
    </row>
    <row r="1958" spans="1:12" x14ac:dyDescent="0.25">
      <c r="A1958">
        <v>1957</v>
      </c>
      <c r="B1958">
        <v>36</v>
      </c>
      <c r="C1958" t="s">
        <v>26</v>
      </c>
      <c r="D1958" s="1">
        <v>45607</v>
      </c>
      <c r="E1958" s="1">
        <v>45615</v>
      </c>
      <c r="F1958" t="s">
        <v>27</v>
      </c>
      <c r="G1958" t="s">
        <v>19</v>
      </c>
      <c r="H1958">
        <v>8</v>
      </c>
      <c r="I1958" t="s">
        <v>15</v>
      </c>
      <c r="J1958">
        <v>2</v>
      </c>
      <c r="K1958" t="s">
        <v>24</v>
      </c>
      <c r="L1958" t="s">
        <v>22</v>
      </c>
    </row>
    <row r="1959" spans="1:12" x14ac:dyDescent="0.25">
      <c r="A1959">
        <v>1958</v>
      </c>
      <c r="B1959">
        <v>46</v>
      </c>
      <c r="C1959" t="s">
        <v>26</v>
      </c>
      <c r="D1959" s="1">
        <v>45429</v>
      </c>
      <c r="E1959" s="1">
        <v>45444</v>
      </c>
      <c r="F1959" t="s">
        <v>31</v>
      </c>
      <c r="G1959" t="s">
        <v>19</v>
      </c>
      <c r="H1959">
        <v>15</v>
      </c>
      <c r="I1959" t="s">
        <v>20</v>
      </c>
      <c r="J1959">
        <v>0</v>
      </c>
      <c r="K1959" t="s">
        <v>21</v>
      </c>
      <c r="L1959" t="s">
        <v>17</v>
      </c>
    </row>
    <row r="1960" spans="1:12" x14ac:dyDescent="0.25">
      <c r="A1960">
        <v>1959</v>
      </c>
      <c r="B1960">
        <v>42</v>
      </c>
      <c r="C1960" t="s">
        <v>12</v>
      </c>
      <c r="D1960" s="1">
        <v>45354</v>
      </c>
      <c r="E1960" s="1">
        <v>45355</v>
      </c>
      <c r="F1960" t="s">
        <v>28</v>
      </c>
      <c r="G1960" t="s">
        <v>19</v>
      </c>
      <c r="H1960">
        <v>1</v>
      </c>
      <c r="I1960" t="s">
        <v>20</v>
      </c>
      <c r="J1960">
        <v>1</v>
      </c>
      <c r="K1960" t="s">
        <v>21</v>
      </c>
      <c r="L1960" t="s">
        <v>17</v>
      </c>
    </row>
    <row r="1961" spans="1:12" x14ac:dyDescent="0.25">
      <c r="A1961">
        <v>1960</v>
      </c>
      <c r="B1961">
        <v>78</v>
      </c>
      <c r="C1961" t="s">
        <v>12</v>
      </c>
      <c r="D1961" s="1">
        <v>45628</v>
      </c>
      <c r="E1961" s="1">
        <v>45629</v>
      </c>
      <c r="F1961" t="s">
        <v>13</v>
      </c>
      <c r="G1961" t="s">
        <v>23</v>
      </c>
      <c r="H1961">
        <v>1</v>
      </c>
      <c r="I1961" t="s">
        <v>15</v>
      </c>
      <c r="J1961">
        <v>4</v>
      </c>
      <c r="K1961" t="s">
        <v>16</v>
      </c>
      <c r="L1961" t="s">
        <v>30</v>
      </c>
    </row>
    <row r="1962" spans="1:12" x14ac:dyDescent="0.25">
      <c r="A1962">
        <v>1961</v>
      </c>
      <c r="B1962">
        <v>72</v>
      </c>
      <c r="C1962" t="s">
        <v>26</v>
      </c>
      <c r="D1962" s="1">
        <v>45324</v>
      </c>
      <c r="E1962" s="1">
        <v>45328</v>
      </c>
      <c r="F1962" t="s">
        <v>18</v>
      </c>
      <c r="G1962" t="s">
        <v>19</v>
      </c>
      <c r="H1962">
        <v>4</v>
      </c>
      <c r="I1962" t="s">
        <v>15</v>
      </c>
      <c r="J1962">
        <v>3</v>
      </c>
      <c r="K1962" t="s">
        <v>21</v>
      </c>
      <c r="L1962" t="s">
        <v>29</v>
      </c>
    </row>
    <row r="1963" spans="1:12" x14ac:dyDescent="0.25">
      <c r="A1963">
        <v>1962</v>
      </c>
      <c r="B1963">
        <v>87</v>
      </c>
      <c r="C1963" t="s">
        <v>26</v>
      </c>
      <c r="D1963" s="1">
        <v>45356</v>
      </c>
      <c r="E1963" s="1">
        <v>45367</v>
      </c>
      <c r="F1963" t="s">
        <v>27</v>
      </c>
      <c r="G1963" t="s">
        <v>23</v>
      </c>
      <c r="H1963">
        <v>11</v>
      </c>
      <c r="I1963" t="s">
        <v>20</v>
      </c>
      <c r="J1963">
        <v>2</v>
      </c>
      <c r="K1963" t="s">
        <v>24</v>
      </c>
      <c r="L1963" t="s">
        <v>22</v>
      </c>
    </row>
    <row r="1964" spans="1:12" x14ac:dyDescent="0.25">
      <c r="A1964">
        <v>1963</v>
      </c>
      <c r="B1964">
        <v>21</v>
      </c>
      <c r="C1964" t="s">
        <v>12</v>
      </c>
      <c r="D1964" s="1">
        <v>45309</v>
      </c>
      <c r="E1964" s="1">
        <v>45318</v>
      </c>
      <c r="F1964" t="s">
        <v>28</v>
      </c>
      <c r="G1964" t="s">
        <v>19</v>
      </c>
      <c r="H1964">
        <v>9</v>
      </c>
      <c r="I1964" t="s">
        <v>15</v>
      </c>
      <c r="J1964">
        <v>0</v>
      </c>
      <c r="K1964" t="s">
        <v>21</v>
      </c>
      <c r="L1964" t="s">
        <v>17</v>
      </c>
    </row>
    <row r="1965" spans="1:12" x14ac:dyDescent="0.25">
      <c r="A1965">
        <v>1964</v>
      </c>
      <c r="B1965">
        <v>76</v>
      </c>
      <c r="C1965" t="s">
        <v>26</v>
      </c>
      <c r="D1965" s="1">
        <v>45395</v>
      </c>
      <c r="E1965" s="1">
        <v>45405</v>
      </c>
      <c r="F1965" t="s">
        <v>13</v>
      </c>
      <c r="G1965" t="s">
        <v>23</v>
      </c>
      <c r="H1965">
        <v>10</v>
      </c>
      <c r="I1965" t="s">
        <v>15</v>
      </c>
      <c r="J1965">
        <v>1</v>
      </c>
      <c r="K1965" t="s">
        <v>24</v>
      </c>
      <c r="L1965" t="s">
        <v>22</v>
      </c>
    </row>
    <row r="1966" spans="1:12" x14ac:dyDescent="0.25">
      <c r="A1966">
        <v>1965</v>
      </c>
      <c r="B1966">
        <v>22</v>
      </c>
      <c r="C1966" t="s">
        <v>12</v>
      </c>
      <c r="D1966" s="1">
        <v>45545</v>
      </c>
      <c r="E1966" s="1">
        <v>45549</v>
      </c>
      <c r="F1966" t="s">
        <v>27</v>
      </c>
      <c r="G1966" t="s">
        <v>14</v>
      </c>
      <c r="H1966">
        <v>4</v>
      </c>
      <c r="I1966" t="s">
        <v>15</v>
      </c>
      <c r="J1966">
        <v>4</v>
      </c>
      <c r="K1966" t="s">
        <v>24</v>
      </c>
      <c r="L1966" t="s">
        <v>29</v>
      </c>
    </row>
    <row r="1967" spans="1:12" x14ac:dyDescent="0.25">
      <c r="A1967">
        <v>1966</v>
      </c>
      <c r="B1967">
        <v>26</v>
      </c>
      <c r="C1967" t="s">
        <v>12</v>
      </c>
      <c r="D1967" s="1">
        <v>45639</v>
      </c>
      <c r="E1967" s="1">
        <v>45652</v>
      </c>
      <c r="F1967" t="s">
        <v>13</v>
      </c>
      <c r="G1967" t="s">
        <v>23</v>
      </c>
      <c r="H1967">
        <v>13</v>
      </c>
      <c r="I1967" t="s">
        <v>15</v>
      </c>
      <c r="J1967">
        <v>1</v>
      </c>
      <c r="K1967" t="s">
        <v>24</v>
      </c>
      <c r="L1967" t="s">
        <v>22</v>
      </c>
    </row>
    <row r="1968" spans="1:12" x14ac:dyDescent="0.25">
      <c r="A1968">
        <v>1967</v>
      </c>
      <c r="B1968">
        <v>87</v>
      </c>
      <c r="C1968" t="s">
        <v>12</v>
      </c>
      <c r="D1968" s="1">
        <v>45478</v>
      </c>
      <c r="E1968" s="1">
        <v>45489</v>
      </c>
      <c r="F1968" t="s">
        <v>28</v>
      </c>
      <c r="G1968" t="s">
        <v>23</v>
      </c>
      <c r="H1968">
        <v>11</v>
      </c>
      <c r="I1968" t="s">
        <v>15</v>
      </c>
      <c r="J1968">
        <v>4</v>
      </c>
      <c r="K1968" t="s">
        <v>24</v>
      </c>
      <c r="L1968" t="s">
        <v>22</v>
      </c>
    </row>
    <row r="1969" spans="1:12" x14ac:dyDescent="0.25">
      <c r="A1969">
        <v>1968</v>
      </c>
      <c r="B1969">
        <v>36</v>
      </c>
      <c r="C1969" t="s">
        <v>26</v>
      </c>
      <c r="D1969" s="1">
        <v>45364</v>
      </c>
      <c r="E1969" s="1">
        <v>45374</v>
      </c>
      <c r="F1969" t="s">
        <v>18</v>
      </c>
      <c r="G1969" t="s">
        <v>19</v>
      </c>
      <c r="H1969">
        <v>10</v>
      </c>
      <c r="I1969" t="s">
        <v>20</v>
      </c>
      <c r="J1969">
        <v>3</v>
      </c>
      <c r="K1969" t="s">
        <v>21</v>
      </c>
      <c r="L1969" t="s">
        <v>17</v>
      </c>
    </row>
    <row r="1970" spans="1:12" x14ac:dyDescent="0.25">
      <c r="A1970">
        <v>1969</v>
      </c>
      <c r="B1970">
        <v>71</v>
      </c>
      <c r="C1970" t="s">
        <v>26</v>
      </c>
      <c r="D1970" s="1">
        <v>45437</v>
      </c>
      <c r="E1970" s="1">
        <v>45448</v>
      </c>
      <c r="F1970" t="s">
        <v>31</v>
      </c>
      <c r="G1970" t="s">
        <v>23</v>
      </c>
      <c r="H1970">
        <v>11</v>
      </c>
      <c r="I1970" t="s">
        <v>15</v>
      </c>
      <c r="J1970">
        <v>4</v>
      </c>
      <c r="K1970" t="s">
        <v>21</v>
      </c>
      <c r="L1970" t="s">
        <v>25</v>
      </c>
    </row>
    <row r="1971" spans="1:12" x14ac:dyDescent="0.25">
      <c r="A1971">
        <v>1970</v>
      </c>
      <c r="B1971">
        <v>55</v>
      </c>
      <c r="C1971" t="s">
        <v>12</v>
      </c>
      <c r="D1971" s="1">
        <v>45521</v>
      </c>
      <c r="E1971" s="1">
        <v>45526</v>
      </c>
      <c r="F1971" t="s">
        <v>18</v>
      </c>
      <c r="G1971" t="s">
        <v>19</v>
      </c>
      <c r="H1971">
        <v>5</v>
      </c>
      <c r="I1971" t="s">
        <v>20</v>
      </c>
      <c r="J1971">
        <v>4</v>
      </c>
      <c r="K1971" t="s">
        <v>16</v>
      </c>
      <c r="L1971" t="s">
        <v>29</v>
      </c>
    </row>
    <row r="1972" spans="1:12" x14ac:dyDescent="0.25">
      <c r="A1972">
        <v>1971</v>
      </c>
      <c r="B1972">
        <v>43</v>
      </c>
      <c r="C1972" t="s">
        <v>26</v>
      </c>
      <c r="D1972" s="1">
        <v>45456</v>
      </c>
      <c r="E1972" s="1">
        <v>45471</v>
      </c>
      <c r="F1972" t="s">
        <v>28</v>
      </c>
      <c r="G1972" t="s">
        <v>23</v>
      </c>
      <c r="H1972">
        <v>15</v>
      </c>
      <c r="I1972" t="s">
        <v>15</v>
      </c>
      <c r="J1972">
        <v>1</v>
      </c>
      <c r="K1972" t="s">
        <v>21</v>
      </c>
      <c r="L1972" t="s">
        <v>17</v>
      </c>
    </row>
    <row r="1973" spans="1:12" x14ac:dyDescent="0.25">
      <c r="A1973">
        <v>1972</v>
      </c>
      <c r="B1973">
        <v>73</v>
      </c>
      <c r="C1973" t="s">
        <v>26</v>
      </c>
      <c r="D1973" s="1">
        <v>45641</v>
      </c>
      <c r="E1973" s="1">
        <v>45644</v>
      </c>
      <c r="F1973" t="s">
        <v>13</v>
      </c>
      <c r="G1973" t="s">
        <v>14</v>
      </c>
      <c r="H1973">
        <v>3</v>
      </c>
      <c r="I1973" t="s">
        <v>15</v>
      </c>
      <c r="J1973">
        <v>3</v>
      </c>
      <c r="K1973" t="s">
        <v>24</v>
      </c>
      <c r="L1973" t="s">
        <v>22</v>
      </c>
    </row>
    <row r="1974" spans="1:12" x14ac:dyDescent="0.25">
      <c r="A1974">
        <v>1973</v>
      </c>
      <c r="B1974">
        <v>66</v>
      </c>
      <c r="C1974" t="s">
        <v>26</v>
      </c>
      <c r="D1974" s="1">
        <v>45590</v>
      </c>
      <c r="E1974" s="1">
        <v>45595</v>
      </c>
      <c r="F1974" t="s">
        <v>27</v>
      </c>
      <c r="G1974" t="s">
        <v>14</v>
      </c>
      <c r="H1974">
        <v>5</v>
      </c>
      <c r="I1974" t="s">
        <v>20</v>
      </c>
      <c r="J1974">
        <v>4</v>
      </c>
      <c r="K1974" t="s">
        <v>21</v>
      </c>
      <c r="L1974" t="s">
        <v>25</v>
      </c>
    </row>
    <row r="1975" spans="1:12" x14ac:dyDescent="0.25">
      <c r="A1975">
        <v>1974</v>
      </c>
      <c r="B1975">
        <v>37</v>
      </c>
      <c r="C1975" t="s">
        <v>26</v>
      </c>
      <c r="D1975" s="1">
        <v>45464</v>
      </c>
      <c r="E1975" s="1">
        <v>45469</v>
      </c>
      <c r="F1975" t="s">
        <v>27</v>
      </c>
      <c r="G1975" t="s">
        <v>23</v>
      </c>
      <c r="H1975">
        <v>5</v>
      </c>
      <c r="I1975" t="s">
        <v>15</v>
      </c>
      <c r="J1975">
        <v>0</v>
      </c>
      <c r="K1975" t="s">
        <v>21</v>
      </c>
      <c r="L1975" t="s">
        <v>29</v>
      </c>
    </row>
    <row r="1976" spans="1:12" x14ac:dyDescent="0.25">
      <c r="A1976">
        <v>1975</v>
      </c>
      <c r="B1976">
        <v>37</v>
      </c>
      <c r="C1976" t="s">
        <v>12</v>
      </c>
      <c r="D1976" s="1">
        <v>45627</v>
      </c>
      <c r="E1976" s="1">
        <v>45634</v>
      </c>
      <c r="F1976" t="s">
        <v>18</v>
      </c>
      <c r="G1976" t="s">
        <v>19</v>
      </c>
      <c r="H1976">
        <v>7</v>
      </c>
      <c r="I1976" t="s">
        <v>20</v>
      </c>
      <c r="J1976">
        <v>3</v>
      </c>
      <c r="K1976" t="s">
        <v>21</v>
      </c>
      <c r="L1976" t="s">
        <v>30</v>
      </c>
    </row>
    <row r="1977" spans="1:12" x14ac:dyDescent="0.25">
      <c r="A1977">
        <v>1976</v>
      </c>
      <c r="B1977">
        <v>31</v>
      </c>
      <c r="C1977" t="s">
        <v>26</v>
      </c>
      <c r="D1977" s="1">
        <v>45450</v>
      </c>
      <c r="E1977" s="1">
        <v>45463</v>
      </c>
      <c r="F1977" t="s">
        <v>18</v>
      </c>
      <c r="G1977" t="s">
        <v>23</v>
      </c>
      <c r="H1977">
        <v>13</v>
      </c>
      <c r="I1977" t="s">
        <v>15</v>
      </c>
      <c r="J1977">
        <v>1</v>
      </c>
      <c r="K1977" t="s">
        <v>16</v>
      </c>
      <c r="L1977" t="s">
        <v>29</v>
      </c>
    </row>
    <row r="1978" spans="1:12" x14ac:dyDescent="0.25">
      <c r="A1978">
        <v>1977</v>
      </c>
      <c r="B1978">
        <v>69</v>
      </c>
      <c r="C1978" t="s">
        <v>26</v>
      </c>
      <c r="D1978" s="1">
        <v>45463</v>
      </c>
      <c r="E1978" s="1">
        <v>45478</v>
      </c>
      <c r="F1978" t="s">
        <v>27</v>
      </c>
      <c r="G1978" t="s">
        <v>23</v>
      </c>
      <c r="H1978">
        <v>15</v>
      </c>
      <c r="I1978" t="s">
        <v>15</v>
      </c>
      <c r="J1978">
        <v>1</v>
      </c>
      <c r="K1978" t="s">
        <v>24</v>
      </c>
      <c r="L1978" t="s">
        <v>25</v>
      </c>
    </row>
    <row r="1979" spans="1:12" x14ac:dyDescent="0.25">
      <c r="A1979">
        <v>1978</v>
      </c>
      <c r="B1979">
        <v>77</v>
      </c>
      <c r="C1979" t="s">
        <v>26</v>
      </c>
      <c r="D1979" s="1">
        <v>45298</v>
      </c>
      <c r="E1979" s="1">
        <v>45310</v>
      </c>
      <c r="F1979" t="s">
        <v>31</v>
      </c>
      <c r="G1979" t="s">
        <v>19</v>
      </c>
      <c r="H1979">
        <v>12</v>
      </c>
      <c r="I1979" t="s">
        <v>15</v>
      </c>
      <c r="J1979">
        <v>1</v>
      </c>
      <c r="K1979" t="s">
        <v>21</v>
      </c>
      <c r="L1979" t="s">
        <v>29</v>
      </c>
    </row>
    <row r="1980" spans="1:12" x14ac:dyDescent="0.25">
      <c r="A1980">
        <v>1979</v>
      </c>
      <c r="B1980">
        <v>28</v>
      </c>
      <c r="C1980" t="s">
        <v>26</v>
      </c>
      <c r="D1980" s="1">
        <v>45510</v>
      </c>
      <c r="E1980" s="1">
        <v>45513</v>
      </c>
      <c r="F1980" t="s">
        <v>28</v>
      </c>
      <c r="G1980" t="s">
        <v>14</v>
      </c>
      <c r="H1980">
        <v>3</v>
      </c>
      <c r="I1980" t="s">
        <v>15</v>
      </c>
      <c r="J1980">
        <v>2</v>
      </c>
      <c r="K1980" t="s">
        <v>16</v>
      </c>
      <c r="L1980" t="s">
        <v>29</v>
      </c>
    </row>
    <row r="1981" spans="1:12" x14ac:dyDescent="0.25">
      <c r="A1981">
        <v>1980</v>
      </c>
      <c r="B1981">
        <v>20</v>
      </c>
      <c r="C1981" t="s">
        <v>26</v>
      </c>
      <c r="D1981" s="1">
        <v>45465</v>
      </c>
      <c r="E1981" s="1">
        <v>45469</v>
      </c>
      <c r="F1981" t="s">
        <v>18</v>
      </c>
      <c r="G1981" t="s">
        <v>23</v>
      </c>
      <c r="H1981">
        <v>4</v>
      </c>
      <c r="I1981" t="s">
        <v>15</v>
      </c>
      <c r="J1981">
        <v>3</v>
      </c>
      <c r="K1981" t="s">
        <v>16</v>
      </c>
      <c r="L1981" t="s">
        <v>17</v>
      </c>
    </row>
    <row r="1982" spans="1:12" x14ac:dyDescent="0.25">
      <c r="A1982">
        <v>1981</v>
      </c>
      <c r="B1982">
        <v>87</v>
      </c>
      <c r="C1982" t="s">
        <v>12</v>
      </c>
      <c r="D1982" s="1">
        <v>45613</v>
      </c>
      <c r="E1982" s="1">
        <v>45618</v>
      </c>
      <c r="F1982" t="s">
        <v>13</v>
      </c>
      <c r="G1982" t="s">
        <v>14</v>
      </c>
      <c r="H1982">
        <v>5</v>
      </c>
      <c r="I1982" t="s">
        <v>15</v>
      </c>
      <c r="J1982">
        <v>1</v>
      </c>
      <c r="K1982" t="s">
        <v>24</v>
      </c>
      <c r="L1982" t="s">
        <v>30</v>
      </c>
    </row>
    <row r="1983" spans="1:12" x14ac:dyDescent="0.25">
      <c r="A1983">
        <v>1982</v>
      </c>
      <c r="B1983">
        <v>51</v>
      </c>
      <c r="C1983" t="s">
        <v>26</v>
      </c>
      <c r="D1983" s="1">
        <v>45310</v>
      </c>
      <c r="E1983" s="1">
        <v>45316</v>
      </c>
      <c r="F1983" t="s">
        <v>18</v>
      </c>
      <c r="G1983" t="s">
        <v>23</v>
      </c>
      <c r="H1983">
        <v>6</v>
      </c>
      <c r="I1983" t="s">
        <v>20</v>
      </c>
      <c r="J1983">
        <v>0</v>
      </c>
      <c r="K1983" t="s">
        <v>16</v>
      </c>
      <c r="L1983" t="s">
        <v>29</v>
      </c>
    </row>
    <row r="1984" spans="1:12" x14ac:dyDescent="0.25">
      <c r="A1984">
        <v>1983</v>
      </c>
      <c r="B1984">
        <v>90</v>
      </c>
      <c r="C1984" t="s">
        <v>26</v>
      </c>
      <c r="D1984" s="1">
        <v>45369</v>
      </c>
      <c r="E1984" s="1">
        <v>45370</v>
      </c>
      <c r="F1984" t="s">
        <v>28</v>
      </c>
      <c r="G1984" t="s">
        <v>23</v>
      </c>
      <c r="H1984">
        <v>1</v>
      </c>
      <c r="I1984" t="s">
        <v>20</v>
      </c>
      <c r="J1984">
        <v>1</v>
      </c>
      <c r="K1984" t="s">
        <v>16</v>
      </c>
      <c r="L1984" t="s">
        <v>25</v>
      </c>
    </row>
    <row r="1985" spans="1:12" x14ac:dyDescent="0.25">
      <c r="A1985">
        <v>1984</v>
      </c>
      <c r="B1985">
        <v>22</v>
      </c>
      <c r="C1985" t="s">
        <v>12</v>
      </c>
      <c r="D1985" s="1">
        <v>45359</v>
      </c>
      <c r="E1985" s="1">
        <v>45367</v>
      </c>
      <c r="F1985" t="s">
        <v>28</v>
      </c>
      <c r="G1985" t="s">
        <v>23</v>
      </c>
      <c r="H1985">
        <v>8</v>
      </c>
      <c r="I1985" t="s">
        <v>20</v>
      </c>
      <c r="J1985">
        <v>3</v>
      </c>
      <c r="K1985" t="s">
        <v>24</v>
      </c>
      <c r="L1985" t="s">
        <v>30</v>
      </c>
    </row>
    <row r="1986" spans="1:12" x14ac:dyDescent="0.25">
      <c r="A1986">
        <v>1985</v>
      </c>
      <c r="B1986">
        <v>78</v>
      </c>
      <c r="C1986" t="s">
        <v>26</v>
      </c>
      <c r="D1986" s="1">
        <v>45593</v>
      </c>
      <c r="E1986" s="1">
        <v>45598</v>
      </c>
      <c r="F1986" t="s">
        <v>31</v>
      </c>
      <c r="G1986" t="s">
        <v>19</v>
      </c>
      <c r="H1986">
        <v>5</v>
      </c>
      <c r="I1986" t="s">
        <v>15</v>
      </c>
      <c r="J1986">
        <v>3</v>
      </c>
      <c r="K1986" t="s">
        <v>16</v>
      </c>
      <c r="L1986" t="s">
        <v>29</v>
      </c>
    </row>
    <row r="1987" spans="1:12" x14ac:dyDescent="0.25">
      <c r="A1987">
        <v>1986</v>
      </c>
      <c r="B1987">
        <v>80</v>
      </c>
      <c r="C1987" t="s">
        <v>26</v>
      </c>
      <c r="D1987" s="1">
        <v>45422</v>
      </c>
      <c r="E1987" s="1">
        <v>45425</v>
      </c>
      <c r="F1987" t="s">
        <v>18</v>
      </c>
      <c r="G1987" t="s">
        <v>23</v>
      </c>
      <c r="H1987">
        <v>3</v>
      </c>
      <c r="I1987" t="s">
        <v>15</v>
      </c>
      <c r="J1987">
        <v>2</v>
      </c>
      <c r="K1987" t="s">
        <v>24</v>
      </c>
      <c r="L1987" t="s">
        <v>17</v>
      </c>
    </row>
    <row r="1988" spans="1:12" x14ac:dyDescent="0.25">
      <c r="A1988">
        <v>1987</v>
      </c>
      <c r="B1988">
        <v>84</v>
      </c>
      <c r="C1988" t="s">
        <v>12</v>
      </c>
      <c r="D1988" s="1">
        <v>45377</v>
      </c>
      <c r="E1988" s="1">
        <v>45383</v>
      </c>
      <c r="F1988" t="s">
        <v>13</v>
      </c>
      <c r="G1988" t="s">
        <v>19</v>
      </c>
      <c r="H1988">
        <v>6</v>
      </c>
      <c r="I1988" t="s">
        <v>15</v>
      </c>
      <c r="J1988">
        <v>3</v>
      </c>
      <c r="K1988" t="s">
        <v>21</v>
      </c>
      <c r="L1988" t="s">
        <v>29</v>
      </c>
    </row>
    <row r="1989" spans="1:12" x14ac:dyDescent="0.25">
      <c r="A1989">
        <v>1988</v>
      </c>
      <c r="B1989">
        <v>69</v>
      </c>
      <c r="C1989" t="s">
        <v>26</v>
      </c>
      <c r="D1989" s="1">
        <v>45614</v>
      </c>
      <c r="E1989" s="1">
        <v>45617</v>
      </c>
      <c r="F1989" t="s">
        <v>27</v>
      </c>
      <c r="G1989" t="s">
        <v>23</v>
      </c>
      <c r="H1989">
        <v>3</v>
      </c>
      <c r="I1989" t="s">
        <v>15</v>
      </c>
      <c r="J1989">
        <v>4</v>
      </c>
      <c r="K1989" t="s">
        <v>21</v>
      </c>
      <c r="L1989" t="s">
        <v>25</v>
      </c>
    </row>
    <row r="1990" spans="1:12" x14ac:dyDescent="0.25">
      <c r="A1990">
        <v>1989</v>
      </c>
      <c r="B1990">
        <v>67</v>
      </c>
      <c r="C1990" t="s">
        <v>12</v>
      </c>
      <c r="D1990" s="1">
        <v>45337</v>
      </c>
      <c r="E1990" s="1">
        <v>45344</v>
      </c>
      <c r="F1990" t="s">
        <v>27</v>
      </c>
      <c r="G1990" t="s">
        <v>23</v>
      </c>
      <c r="H1990">
        <v>7</v>
      </c>
      <c r="I1990" t="s">
        <v>15</v>
      </c>
      <c r="J1990">
        <v>1</v>
      </c>
      <c r="K1990" t="s">
        <v>16</v>
      </c>
      <c r="L1990" t="s">
        <v>22</v>
      </c>
    </row>
    <row r="1991" spans="1:12" x14ac:dyDescent="0.25">
      <c r="A1991">
        <v>1990</v>
      </c>
      <c r="B1991">
        <v>71</v>
      </c>
      <c r="C1991" t="s">
        <v>12</v>
      </c>
      <c r="D1991" s="1">
        <v>45393</v>
      </c>
      <c r="E1991" s="1">
        <v>45400</v>
      </c>
      <c r="F1991" t="s">
        <v>31</v>
      </c>
      <c r="G1991" t="s">
        <v>14</v>
      </c>
      <c r="H1991">
        <v>7</v>
      </c>
      <c r="I1991" t="s">
        <v>20</v>
      </c>
      <c r="J1991">
        <v>3</v>
      </c>
      <c r="K1991" t="s">
        <v>24</v>
      </c>
      <c r="L1991" t="s">
        <v>17</v>
      </c>
    </row>
    <row r="1992" spans="1:12" x14ac:dyDescent="0.25">
      <c r="A1992">
        <v>1991</v>
      </c>
      <c r="B1992">
        <v>84</v>
      </c>
      <c r="C1992" t="s">
        <v>12</v>
      </c>
      <c r="D1992" s="1">
        <v>45651</v>
      </c>
      <c r="E1992" s="1">
        <v>45660</v>
      </c>
      <c r="F1992" t="s">
        <v>31</v>
      </c>
      <c r="G1992" t="s">
        <v>23</v>
      </c>
      <c r="H1992">
        <v>9</v>
      </c>
      <c r="I1992" t="s">
        <v>15</v>
      </c>
      <c r="J1992">
        <v>0</v>
      </c>
      <c r="K1992" t="s">
        <v>24</v>
      </c>
      <c r="L1992" t="s">
        <v>22</v>
      </c>
    </row>
    <row r="1993" spans="1:12" x14ac:dyDescent="0.25">
      <c r="A1993">
        <v>1992</v>
      </c>
      <c r="B1993">
        <v>74</v>
      </c>
      <c r="C1993" t="s">
        <v>26</v>
      </c>
      <c r="D1993" s="1">
        <v>45535</v>
      </c>
      <c r="E1993" s="1">
        <v>45546</v>
      </c>
      <c r="F1993" t="s">
        <v>27</v>
      </c>
      <c r="G1993" t="s">
        <v>14</v>
      </c>
      <c r="H1993">
        <v>11</v>
      </c>
      <c r="I1993" t="s">
        <v>15</v>
      </c>
      <c r="J1993">
        <v>2</v>
      </c>
      <c r="K1993" t="s">
        <v>16</v>
      </c>
      <c r="L1993" t="s">
        <v>30</v>
      </c>
    </row>
    <row r="1994" spans="1:12" x14ac:dyDescent="0.25">
      <c r="A1994">
        <v>1993</v>
      </c>
      <c r="B1994">
        <v>24</v>
      </c>
      <c r="C1994" t="s">
        <v>26</v>
      </c>
      <c r="D1994" s="1">
        <v>45646</v>
      </c>
      <c r="E1994" s="1">
        <v>45648</v>
      </c>
      <c r="F1994" t="s">
        <v>27</v>
      </c>
      <c r="G1994" t="s">
        <v>19</v>
      </c>
      <c r="H1994">
        <v>2</v>
      </c>
      <c r="I1994" t="s">
        <v>20</v>
      </c>
      <c r="J1994">
        <v>1</v>
      </c>
      <c r="K1994" t="s">
        <v>24</v>
      </c>
      <c r="L1994" t="s">
        <v>22</v>
      </c>
    </row>
    <row r="1995" spans="1:12" x14ac:dyDescent="0.25">
      <c r="A1995">
        <v>1994</v>
      </c>
      <c r="B1995">
        <v>44</v>
      </c>
      <c r="C1995" t="s">
        <v>26</v>
      </c>
      <c r="D1995" s="1">
        <v>45563</v>
      </c>
      <c r="E1995" s="1">
        <v>45575</v>
      </c>
      <c r="F1995" t="s">
        <v>27</v>
      </c>
      <c r="G1995" t="s">
        <v>23</v>
      </c>
      <c r="H1995">
        <v>12</v>
      </c>
      <c r="I1995" t="s">
        <v>15</v>
      </c>
      <c r="J1995">
        <v>0</v>
      </c>
      <c r="K1995" t="s">
        <v>16</v>
      </c>
      <c r="L1995" t="s">
        <v>25</v>
      </c>
    </row>
    <row r="1996" spans="1:12" x14ac:dyDescent="0.25">
      <c r="A1996">
        <v>1995</v>
      </c>
      <c r="B1996">
        <v>55</v>
      </c>
      <c r="C1996" t="s">
        <v>26</v>
      </c>
      <c r="D1996" s="1">
        <v>45580</v>
      </c>
      <c r="E1996" s="1">
        <v>45586</v>
      </c>
      <c r="F1996" t="s">
        <v>13</v>
      </c>
      <c r="G1996" t="s">
        <v>19</v>
      </c>
      <c r="H1996">
        <v>6</v>
      </c>
      <c r="I1996" t="s">
        <v>15</v>
      </c>
      <c r="J1996">
        <v>3</v>
      </c>
      <c r="K1996" t="s">
        <v>24</v>
      </c>
      <c r="L1996" t="s">
        <v>17</v>
      </c>
    </row>
    <row r="1997" spans="1:12" x14ac:dyDescent="0.25">
      <c r="A1997">
        <v>1996</v>
      </c>
      <c r="B1997">
        <v>87</v>
      </c>
      <c r="C1997" t="s">
        <v>12</v>
      </c>
      <c r="D1997" s="1">
        <v>45578</v>
      </c>
      <c r="E1997" s="1">
        <v>45587</v>
      </c>
      <c r="F1997" t="s">
        <v>27</v>
      </c>
      <c r="G1997" t="s">
        <v>23</v>
      </c>
      <c r="H1997">
        <v>9</v>
      </c>
      <c r="I1997" t="s">
        <v>15</v>
      </c>
      <c r="J1997">
        <v>2</v>
      </c>
      <c r="K1997" t="s">
        <v>24</v>
      </c>
      <c r="L1997" t="s">
        <v>25</v>
      </c>
    </row>
    <row r="1998" spans="1:12" x14ac:dyDescent="0.25">
      <c r="A1998">
        <v>1997</v>
      </c>
      <c r="B1998">
        <v>28</v>
      </c>
      <c r="C1998" t="s">
        <v>26</v>
      </c>
      <c r="D1998" s="1">
        <v>45299</v>
      </c>
      <c r="E1998" s="1">
        <v>45309</v>
      </c>
      <c r="F1998" t="s">
        <v>28</v>
      </c>
      <c r="G1998" t="s">
        <v>19</v>
      </c>
      <c r="H1998">
        <v>10</v>
      </c>
      <c r="I1998" t="s">
        <v>20</v>
      </c>
      <c r="J1998">
        <v>1</v>
      </c>
      <c r="K1998" t="s">
        <v>24</v>
      </c>
      <c r="L1998" t="s">
        <v>17</v>
      </c>
    </row>
    <row r="1999" spans="1:12" x14ac:dyDescent="0.25">
      <c r="A1999">
        <v>1998</v>
      </c>
      <c r="B1999">
        <v>31</v>
      </c>
      <c r="C1999" t="s">
        <v>12</v>
      </c>
      <c r="D1999" s="1">
        <v>45475</v>
      </c>
      <c r="E1999" s="1">
        <v>45476</v>
      </c>
      <c r="F1999" t="s">
        <v>28</v>
      </c>
      <c r="G1999" t="s">
        <v>19</v>
      </c>
      <c r="H1999">
        <v>1</v>
      </c>
      <c r="I1999" t="s">
        <v>15</v>
      </c>
      <c r="J1999">
        <v>1</v>
      </c>
      <c r="K1999" t="s">
        <v>24</v>
      </c>
      <c r="L1999" t="s">
        <v>17</v>
      </c>
    </row>
    <row r="2000" spans="1:12" x14ac:dyDescent="0.25">
      <c r="A2000">
        <v>1999</v>
      </c>
      <c r="B2000">
        <v>29</v>
      </c>
      <c r="C2000" t="s">
        <v>26</v>
      </c>
      <c r="D2000" s="1">
        <v>45599</v>
      </c>
      <c r="E2000" s="1">
        <v>45605</v>
      </c>
      <c r="F2000" t="s">
        <v>18</v>
      </c>
      <c r="G2000" t="s">
        <v>19</v>
      </c>
      <c r="H2000">
        <v>6</v>
      </c>
      <c r="I2000" t="s">
        <v>15</v>
      </c>
      <c r="J2000">
        <v>2</v>
      </c>
      <c r="K2000" t="s">
        <v>21</v>
      </c>
      <c r="L2000" t="s">
        <v>30</v>
      </c>
    </row>
    <row r="2001" spans="1:12" x14ac:dyDescent="0.25">
      <c r="A2001">
        <v>2000</v>
      </c>
      <c r="B2001">
        <v>78</v>
      </c>
      <c r="C2001" t="s">
        <v>26</v>
      </c>
      <c r="D2001" s="1">
        <v>45356</v>
      </c>
      <c r="E2001" s="1">
        <v>45367</v>
      </c>
      <c r="F2001" t="s">
        <v>31</v>
      </c>
      <c r="G2001" t="s">
        <v>23</v>
      </c>
      <c r="H2001">
        <v>11</v>
      </c>
      <c r="I2001" t="s">
        <v>15</v>
      </c>
      <c r="J2001">
        <v>4</v>
      </c>
      <c r="K2001" t="s">
        <v>24</v>
      </c>
      <c r="L2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readmission_formula</vt:lpstr>
      <vt:lpstr>readmission_data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Ballesteros</dc:creator>
  <cp:lastModifiedBy>Clark Ballesteros</cp:lastModifiedBy>
  <dcterms:created xsi:type="dcterms:W3CDTF">2026-04-07T00:21:54Z</dcterms:created>
  <dcterms:modified xsi:type="dcterms:W3CDTF">2026-04-07T00:46:07Z</dcterms:modified>
</cp:coreProperties>
</file>